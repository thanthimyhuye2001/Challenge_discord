
<file path=[Content_Types].xml><?xml version="1.0" encoding="utf-8"?>
<Types xmlns="http://schemas.openxmlformats.org/package/2006/content-types">
  <Default Extension="emf" ContentType="image/x-emf"/>
  <Default Extension="jp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6.xml" ContentType="application/vnd.openxmlformats-officedocument.spreadsheetml.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E:\Chuyển từ download sang\Data Analyst\Challenge Discord\Excel anh Rùa\anh nhìn thấy ko\21 Day Excel\Excel Challenge\Project\"/>
    </mc:Choice>
  </mc:AlternateContent>
  <xr:revisionPtr revIDLastSave="0" documentId="13_ncr:1_{E9D57F9E-1554-43B1-B27E-BE52A14B7BD0}" xr6:coauthVersionLast="47" xr6:coauthVersionMax="47" xr10:uidLastSave="{00000000-0000-0000-0000-000000000000}"/>
  <bookViews>
    <workbookView xWindow="-108" yWindow="-108" windowWidth="23256" windowHeight="12456" tabRatio="812" xr2:uid="{00000000-000D-0000-FFFF-FFFF00000000}"/>
  </bookViews>
  <sheets>
    <sheet name="For Manage" sheetId="2" r:id="rId1"/>
    <sheet name="For Employee" sheetId="3" r:id="rId2"/>
    <sheet name="Dataset" sheetId="4" r:id="rId3"/>
    <sheet name="Pivot Target 1" sheetId="11" state="hidden" r:id="rId4"/>
    <sheet name="Pivot Target 2" sheetId="18" state="hidden" r:id="rId5"/>
    <sheet name="Pivot Target 3" sheetId="15" state="hidden" r:id="rId6"/>
    <sheet name="Pivot Target 4" sheetId="14" state="hidden" r:id="rId7"/>
    <sheet name="Xlookup Compensation scheme" sheetId="19" state="hidden" r:id="rId8"/>
    <sheet name="Employees " sheetId="5" state="hidden" r:id="rId9"/>
    <sheet name="1 USD = " sheetId="22" state="hidden" r:id="rId10"/>
    <sheet name="Sheet14" sheetId="36" state="hidden" r:id="rId11"/>
    <sheet name="Chart" sheetId="25" state="hidden" r:id="rId12"/>
  </sheets>
  <definedNames>
    <definedName name="_xlnm._FilterDatabase" localSheetId="2" hidden="1">Dataset!$A$1:$H$205</definedName>
    <definedName name="_xlnm._FilterDatabase" localSheetId="8" hidden="1">'Employees '!$AH$1:$AN$32</definedName>
    <definedName name="_xlnm.Criteria" localSheetId="2">Dataset!$O$1:$O$2</definedName>
    <definedName name="_xlnm.Criteria" localSheetId="8">'Employees '!$J$1:$J$2</definedName>
    <definedName name="_xlnm.Extract" localSheetId="2">Dataset!$O$6:$U$6</definedName>
    <definedName name="_xlnm.Extract" localSheetId="8">'Employees '!$J$4:$P$4</definedName>
    <definedName name="note">'For Manage'!$EI$3</definedName>
    <definedName name="TOP_CUSTOMER">Dataset!$AO$2:$AP$4</definedName>
  </definedNames>
  <calcPr calcId="191029"/>
  <pivotCaches>
    <pivotCache cacheId="0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6" i="3" l="1"/>
  <c r="D35" i="3"/>
  <c r="D25" i="3"/>
  <c r="D14" i="3"/>
  <c r="B52" i="2"/>
  <c r="B24" i="2"/>
  <c r="B44" i="2"/>
  <c r="B23" i="2"/>
  <c r="B36" i="2"/>
  <c r="B22" i="2"/>
  <c r="B28" i="2"/>
  <c r="B21" i="2"/>
  <c r="Q11" i="3"/>
  <c r="Q10" i="3"/>
  <c r="E11" i="2"/>
  <c r="E10" i="2"/>
  <c r="L11" i="3"/>
  <c r="L10" i="3"/>
  <c r="L9" i="3"/>
  <c r="L8" i="3"/>
  <c r="K2" i="4"/>
  <c r="G7" i="2"/>
  <c r="G14" i="2"/>
  <c r="F26" i="19"/>
  <c r="G26" i="19" s="1"/>
  <c r="H26" i="19" s="1"/>
  <c r="I26" i="19" s="1"/>
  <c r="J26" i="19" s="1"/>
  <c r="K26" i="19" s="1"/>
  <c r="L26" i="19" s="1"/>
  <c r="M26" i="19" s="1"/>
  <c r="N26" i="19" s="1"/>
  <c r="O26" i="19" s="1"/>
  <c r="E26" i="19"/>
  <c r="E17" i="19"/>
  <c r="F17" i="19" s="1"/>
  <c r="F43" i="19"/>
  <c r="G43" i="19" s="1"/>
  <c r="H43" i="19" s="1"/>
  <c r="I43" i="19" s="1"/>
  <c r="J43" i="19" s="1"/>
  <c r="K43" i="19" s="1"/>
  <c r="L43" i="19" s="1"/>
  <c r="M43" i="19" s="1"/>
  <c r="N43" i="19" s="1"/>
  <c r="O43" i="19" s="1"/>
  <c r="E43" i="19"/>
  <c r="Q35" i="19"/>
  <c r="F35" i="19"/>
  <c r="G35" i="19" s="1"/>
  <c r="H35" i="19" s="1"/>
  <c r="I35" i="19" s="1"/>
  <c r="J35" i="19" s="1"/>
  <c r="K35" i="19" s="1"/>
  <c r="L35" i="19" s="1"/>
  <c r="M35" i="19" s="1"/>
  <c r="N35" i="19" s="1"/>
  <c r="O35" i="19" s="1"/>
  <c r="E35" i="19"/>
  <c r="G17" i="19" l="1"/>
  <c r="E12" i="2"/>
  <c r="F16" i="2" s="1"/>
  <c r="I2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Q28" i="3"/>
  <c r="G22" i="2"/>
  <c r="G23" i="2"/>
  <c r="Q49" i="3"/>
  <c r="F49" i="3" s="1"/>
  <c r="Q38" i="3"/>
  <c r="K38" i="3" s="1"/>
  <c r="Q17" i="3"/>
  <c r="H17" i="3" s="1"/>
  <c r="E17" i="2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2" i="5"/>
  <c r="G24" i="2"/>
  <c r="G21" i="2"/>
  <c r="E9" i="2" l="1"/>
  <c r="M28" i="3"/>
  <c r="F28" i="3"/>
  <c r="N28" i="3"/>
  <c r="G28" i="3"/>
  <c r="O28" i="3"/>
  <c r="H28" i="3"/>
  <c r="I28" i="3"/>
  <c r="E28" i="3"/>
  <c r="E29" i="3" s="1"/>
  <c r="J28" i="3"/>
  <c r="K28" i="3"/>
  <c r="L28" i="3"/>
  <c r="P28" i="3"/>
  <c r="H17" i="19"/>
  <c r="L188" i="4"/>
  <c r="L165" i="4"/>
  <c r="L142" i="4"/>
  <c r="L124" i="4"/>
  <c r="L101" i="4"/>
  <c r="L78" i="4"/>
  <c r="L60" i="4"/>
  <c r="L37" i="4"/>
  <c r="L14" i="4"/>
  <c r="L205" i="4"/>
  <c r="L182" i="4"/>
  <c r="L164" i="4"/>
  <c r="L141" i="4"/>
  <c r="L118" i="4"/>
  <c r="L100" i="4"/>
  <c r="L77" i="4"/>
  <c r="L54" i="4"/>
  <c r="L36" i="4"/>
  <c r="L13" i="4"/>
  <c r="L204" i="4"/>
  <c r="L181" i="4"/>
  <c r="L158" i="4"/>
  <c r="L140" i="4"/>
  <c r="L117" i="4"/>
  <c r="L94" i="4"/>
  <c r="L76" i="4"/>
  <c r="L53" i="4"/>
  <c r="L30" i="4"/>
  <c r="L12" i="4"/>
  <c r="L198" i="4"/>
  <c r="L180" i="4"/>
  <c r="L157" i="4"/>
  <c r="L134" i="4"/>
  <c r="L116" i="4"/>
  <c r="L93" i="4"/>
  <c r="L70" i="4"/>
  <c r="L52" i="4"/>
  <c r="L29" i="4"/>
  <c r="L6" i="4"/>
  <c r="L197" i="4"/>
  <c r="L174" i="4"/>
  <c r="L156" i="4"/>
  <c r="L133" i="4"/>
  <c r="L110" i="4"/>
  <c r="L92" i="4"/>
  <c r="L69" i="4"/>
  <c r="L46" i="4"/>
  <c r="L28" i="4"/>
  <c r="L5" i="4"/>
  <c r="L196" i="4"/>
  <c r="L173" i="4"/>
  <c r="L150" i="4"/>
  <c r="L132" i="4"/>
  <c r="L109" i="4"/>
  <c r="L86" i="4"/>
  <c r="L68" i="4"/>
  <c r="L45" i="4"/>
  <c r="L22" i="4"/>
  <c r="L4" i="4"/>
  <c r="L190" i="4"/>
  <c r="L172" i="4"/>
  <c r="L149" i="4"/>
  <c r="L126" i="4"/>
  <c r="L108" i="4"/>
  <c r="L85" i="4"/>
  <c r="L62" i="4"/>
  <c r="L44" i="4"/>
  <c r="L21" i="4"/>
  <c r="L189" i="4"/>
  <c r="L166" i="4"/>
  <c r="L148" i="4"/>
  <c r="L125" i="4"/>
  <c r="L102" i="4"/>
  <c r="L84" i="4"/>
  <c r="L61" i="4"/>
  <c r="L38" i="4"/>
  <c r="L20" i="4"/>
  <c r="L201" i="4"/>
  <c r="L193" i="4"/>
  <c r="L185" i="4"/>
  <c r="L177" i="4"/>
  <c r="L169" i="4"/>
  <c r="L161" i="4"/>
  <c r="L153" i="4"/>
  <c r="L145" i="4"/>
  <c r="L137" i="4"/>
  <c r="L129" i="4"/>
  <c r="L121" i="4"/>
  <c r="L113" i="4"/>
  <c r="L105" i="4"/>
  <c r="L97" i="4"/>
  <c r="L89" i="4"/>
  <c r="L81" i="4"/>
  <c r="L73" i="4"/>
  <c r="L65" i="4"/>
  <c r="L57" i="4"/>
  <c r="L49" i="4"/>
  <c r="L41" i="4"/>
  <c r="L33" i="4"/>
  <c r="L25" i="4"/>
  <c r="L17" i="4"/>
  <c r="L9" i="4"/>
  <c r="L200" i="4"/>
  <c r="L192" i="4"/>
  <c r="L184" i="4"/>
  <c r="L176" i="4"/>
  <c r="L168" i="4"/>
  <c r="L160" i="4"/>
  <c r="L152" i="4"/>
  <c r="L144" i="4"/>
  <c r="L136" i="4"/>
  <c r="L128" i="4"/>
  <c r="L120" i="4"/>
  <c r="L112" i="4"/>
  <c r="L104" i="4"/>
  <c r="L96" i="4"/>
  <c r="L88" i="4"/>
  <c r="L80" i="4"/>
  <c r="L72" i="4"/>
  <c r="L64" i="4"/>
  <c r="L56" i="4"/>
  <c r="L48" i="4"/>
  <c r="L40" i="4"/>
  <c r="L32" i="4"/>
  <c r="L24" i="4"/>
  <c r="L16" i="4"/>
  <c r="L8" i="4"/>
  <c r="L199" i="4"/>
  <c r="L191" i="4"/>
  <c r="L183" i="4"/>
  <c r="L175" i="4"/>
  <c r="L167" i="4"/>
  <c r="L159" i="4"/>
  <c r="L151" i="4"/>
  <c r="L143" i="4"/>
  <c r="L135" i="4"/>
  <c r="L127" i="4"/>
  <c r="L119" i="4"/>
  <c r="L111" i="4"/>
  <c r="L103" i="4"/>
  <c r="L95" i="4"/>
  <c r="L87" i="4"/>
  <c r="L79" i="4"/>
  <c r="L71" i="4"/>
  <c r="L63" i="4"/>
  <c r="L55" i="4"/>
  <c r="L47" i="4"/>
  <c r="L39" i="4"/>
  <c r="L31" i="4"/>
  <c r="L23" i="4"/>
  <c r="L15" i="4"/>
  <c r="L7" i="4"/>
  <c r="L203" i="4"/>
  <c r="L195" i="4"/>
  <c r="L187" i="4"/>
  <c r="L179" i="4"/>
  <c r="L171" i="4"/>
  <c r="L163" i="4"/>
  <c r="L155" i="4"/>
  <c r="L147" i="4"/>
  <c r="L139" i="4"/>
  <c r="L131" i="4"/>
  <c r="L123" i="4"/>
  <c r="L115" i="4"/>
  <c r="L107" i="4"/>
  <c r="L99" i="4"/>
  <c r="L91" i="4"/>
  <c r="L83" i="4"/>
  <c r="L75" i="4"/>
  <c r="L67" i="4"/>
  <c r="L59" i="4"/>
  <c r="L51" i="4"/>
  <c r="L43" i="4"/>
  <c r="L35" i="4"/>
  <c r="L27" i="4"/>
  <c r="L19" i="4"/>
  <c r="L11" i="4"/>
  <c r="L3" i="4"/>
  <c r="L202" i="4"/>
  <c r="L194" i="4"/>
  <c r="L186" i="4"/>
  <c r="L178" i="4"/>
  <c r="L170" i="4"/>
  <c r="L162" i="4"/>
  <c r="L154" i="4"/>
  <c r="L146" i="4"/>
  <c r="L138" i="4"/>
  <c r="L130" i="4"/>
  <c r="L122" i="4"/>
  <c r="L114" i="4"/>
  <c r="L106" i="4"/>
  <c r="L98" i="4"/>
  <c r="L90" i="4"/>
  <c r="L82" i="4"/>
  <c r="L74" i="4"/>
  <c r="L66" i="4"/>
  <c r="L58" i="4"/>
  <c r="L50" i="4"/>
  <c r="L42" i="4"/>
  <c r="L34" i="4"/>
  <c r="L26" i="4"/>
  <c r="L18" i="4"/>
  <c r="L10" i="4"/>
  <c r="L2" i="4"/>
  <c r="F38" i="3"/>
  <c r="K17" i="3"/>
  <c r="J17" i="3"/>
  <c r="I17" i="3"/>
  <c r="H38" i="3"/>
  <c r="I38" i="3"/>
  <c r="O38" i="3"/>
  <c r="P38" i="3"/>
  <c r="G38" i="3"/>
  <c r="L38" i="3"/>
  <c r="N38" i="3"/>
  <c r="O17" i="3"/>
  <c r="N17" i="3"/>
  <c r="G17" i="3"/>
  <c r="M49" i="3"/>
  <c r="E49" i="3"/>
  <c r="E50" i="3" s="1"/>
  <c r="F50" i="3" s="1"/>
  <c r="G49" i="3"/>
  <c r="P49" i="3"/>
  <c r="L17" i="3"/>
  <c r="O49" i="3"/>
  <c r="K49" i="3"/>
  <c r="J49" i="3"/>
  <c r="I49" i="3"/>
  <c r="F17" i="3"/>
  <c r="H49" i="3"/>
  <c r="L49" i="3"/>
  <c r="N49" i="3"/>
  <c r="E38" i="3"/>
  <c r="E39" i="3" s="1"/>
  <c r="M38" i="3"/>
  <c r="J38" i="3"/>
  <c r="M17" i="3"/>
  <c r="E17" i="3"/>
  <c r="E18" i="3" s="1"/>
  <c r="F18" i="3" s="1"/>
  <c r="P17" i="3"/>
  <c r="G50" i="3" l="1"/>
  <c r="H50" i="3" s="1"/>
  <c r="I50" i="3" s="1"/>
  <c r="J50" i="3" s="1"/>
  <c r="K50" i="3" s="1"/>
  <c r="F39" i="3"/>
  <c r="G39" i="3" s="1"/>
  <c r="H39" i="3" s="1"/>
  <c r="I39" i="3" s="1"/>
  <c r="J39" i="3" s="1"/>
  <c r="K39" i="3" s="1"/>
  <c r="L39" i="3" s="1"/>
  <c r="M39" i="3" s="1"/>
  <c r="N39" i="3" s="1"/>
  <c r="O39" i="3" s="1"/>
  <c r="P39" i="3" s="1"/>
  <c r="N4" i="4" a="1"/>
  <c r="N4" i="4" s="1"/>
  <c r="I17" i="19"/>
  <c r="G18" i="3"/>
  <c r="H18" i="3" s="1"/>
  <c r="I18" i="3" s="1"/>
  <c r="J18" i="3" s="1"/>
  <c r="K18" i="3" s="1"/>
  <c r="L18" i="3" s="1"/>
  <c r="M18" i="3" s="1"/>
  <c r="N18" i="3" s="1"/>
  <c r="O18" i="3" s="1"/>
  <c r="P18" i="3" s="1"/>
  <c r="F29" i="3"/>
  <c r="G29" i="3" s="1"/>
  <c r="H29" i="3" s="1"/>
  <c r="I29" i="3" s="1"/>
  <c r="J29" i="3" s="1"/>
  <c r="K29" i="3" s="1"/>
  <c r="L29" i="3" s="1"/>
  <c r="M30" i="3"/>
  <c r="J17" i="19" l="1"/>
  <c r="K17" i="19" s="1"/>
  <c r="L17" i="19" s="1"/>
  <c r="M17" i="19" s="1"/>
  <c r="N17" i="19" s="1"/>
  <c r="O17" i="19" s="1"/>
  <c r="L50" i="3"/>
  <c r="M29" i="3"/>
  <c r="N29" i="3" s="1"/>
  <c r="O29" i="3" s="1"/>
  <c r="P29" i="3" s="1"/>
  <c r="L30" i="3"/>
  <c r="P30" i="3"/>
  <c r="E19" i="3"/>
  <c r="F30" i="3"/>
  <c r="K30" i="3"/>
  <c r="O30" i="3"/>
  <c r="E40" i="3"/>
  <c r="J30" i="3"/>
  <c r="I30" i="3"/>
  <c r="E30" i="3"/>
  <c r="E51" i="3"/>
  <c r="G30" i="3"/>
  <c r="H30" i="3"/>
  <c r="N30" i="3"/>
  <c r="M31" i="3" l="1"/>
  <c r="M32" i="3" s="1"/>
  <c r="N31" i="3"/>
  <c r="N32" i="3" s="1"/>
  <c r="E31" i="3"/>
  <c r="E32" i="3" s="1"/>
  <c r="G31" i="3"/>
  <c r="G32" i="3" s="1"/>
  <c r="D19" i="25" s="1"/>
  <c r="F31" i="3"/>
  <c r="F32" i="3" s="1"/>
  <c r="F33" i="3" s="1"/>
  <c r="Q30" i="3"/>
  <c r="O31" i="3"/>
  <c r="O32" i="3" s="1"/>
  <c r="H31" i="3"/>
  <c r="H32" i="3" s="1"/>
  <c r="E19" i="25" s="1"/>
  <c r="J31" i="3"/>
  <c r="J32" i="3" s="1"/>
  <c r="K31" i="3"/>
  <c r="K32" i="3" s="1"/>
  <c r="H19" i="25" s="1"/>
  <c r="L31" i="3"/>
  <c r="L32" i="3" s="1"/>
  <c r="I31" i="3"/>
  <c r="I32" i="3" s="1"/>
  <c r="F19" i="25" s="1"/>
  <c r="P31" i="3"/>
  <c r="P32" i="3" s="1"/>
  <c r="M19" i="25" s="1"/>
  <c r="M50" i="3"/>
  <c r="O39" i="2" l="1" a="1"/>
  <c r="O39" i="2" s="1"/>
  <c r="J21" i="19"/>
  <c r="J24" i="19" s="1"/>
  <c r="K33" i="3" s="1"/>
  <c r="F21" i="19"/>
  <c r="F24" i="19" s="1"/>
  <c r="G33" i="3" s="1"/>
  <c r="Q31" i="3"/>
  <c r="L21" i="19"/>
  <c r="L24" i="19" s="1"/>
  <c r="M33" i="3" s="1"/>
  <c r="J19" i="25"/>
  <c r="M21" i="19"/>
  <c r="M24" i="19" s="1"/>
  <c r="N33" i="3" s="1"/>
  <c r="K19" i="25"/>
  <c r="D21" i="19"/>
  <c r="D25" i="19" s="1"/>
  <c r="E33" i="3" s="1"/>
  <c r="B19" i="25"/>
  <c r="E21" i="19"/>
  <c r="C19" i="25"/>
  <c r="K21" i="19"/>
  <c r="I19" i="25"/>
  <c r="N21" i="19"/>
  <c r="N24" i="19" s="1"/>
  <c r="O33" i="3" s="1"/>
  <c r="L19" i="25"/>
  <c r="H21" i="19"/>
  <c r="H25" i="19" s="1"/>
  <c r="I21" i="19"/>
  <c r="G19" i="25"/>
  <c r="Q32" i="3"/>
  <c r="N90" i="2" s="1"/>
  <c r="O21" i="19"/>
  <c r="O40" i="2" a="1"/>
  <c r="O40" i="2" s="1"/>
  <c r="G21" i="19"/>
  <c r="N50" i="3"/>
  <c r="K19" i="3"/>
  <c r="J19" i="3"/>
  <c r="P40" i="3"/>
  <c r="J40" i="3"/>
  <c r="L19" i="3"/>
  <c r="F51" i="3"/>
  <c r="M19" i="3"/>
  <c r="I40" i="3"/>
  <c r="N19" i="3"/>
  <c r="J51" i="3"/>
  <c r="P19" i="3"/>
  <c r="O51" i="3"/>
  <c r="O19" i="3"/>
  <c r="H51" i="3"/>
  <c r="I19" i="3"/>
  <c r="K40" i="3"/>
  <c r="M40" i="3"/>
  <c r="M51" i="3"/>
  <c r="L40" i="3"/>
  <c r="F40" i="3"/>
  <c r="F19" i="3"/>
  <c r="K51" i="3"/>
  <c r="N40" i="3"/>
  <c r="I51" i="3"/>
  <c r="P51" i="3"/>
  <c r="H19" i="3"/>
  <c r="G51" i="3"/>
  <c r="H40" i="3"/>
  <c r="N51" i="3"/>
  <c r="O40" i="3"/>
  <c r="L51" i="3"/>
  <c r="G40" i="3"/>
  <c r="G19" i="3"/>
  <c r="J25" i="19" l="1"/>
  <c r="F25" i="19"/>
  <c r="H24" i="19"/>
  <c r="I33" i="3" s="1"/>
  <c r="L25" i="19"/>
  <c r="M25" i="19"/>
  <c r="E24" i="19"/>
  <c r="E25" i="19"/>
  <c r="I25" i="19"/>
  <c r="I24" i="19"/>
  <c r="J33" i="3" s="1"/>
  <c r="D24" i="19"/>
  <c r="N25" i="19"/>
  <c r="K24" i="19"/>
  <c r="L33" i="3" s="1"/>
  <c r="K25" i="19"/>
  <c r="G24" i="19"/>
  <c r="H33" i="3" s="1"/>
  <c r="O41" i="2" s="1" a="1"/>
  <c r="O41" i="2" s="1"/>
  <c r="G25" i="19"/>
  <c r="O24" i="19"/>
  <c r="P33" i="3" s="1"/>
  <c r="Q33" i="3" s="1"/>
  <c r="O25" i="19"/>
  <c r="I41" i="3"/>
  <c r="I42" i="3" s="1"/>
  <c r="F30" i="25" s="1"/>
  <c r="E41" i="3"/>
  <c r="J41" i="3"/>
  <c r="J42" i="3" s="1"/>
  <c r="G30" i="25" s="1"/>
  <c r="K41" i="3"/>
  <c r="K42" i="3" s="1"/>
  <c r="H30" i="25" s="1"/>
  <c r="L41" i="3"/>
  <c r="L42" i="3" s="1"/>
  <c r="I30" i="25" s="1"/>
  <c r="Q40" i="3"/>
  <c r="M41" i="3"/>
  <c r="M42" i="3" s="1"/>
  <c r="J30" i="25" s="1"/>
  <c r="F41" i="3"/>
  <c r="F42" i="3" s="1"/>
  <c r="C30" i="25" s="1"/>
  <c r="N41" i="3"/>
  <c r="N42" i="3" s="1"/>
  <c r="K30" i="25" s="1"/>
  <c r="G41" i="3"/>
  <c r="G42" i="3" s="1"/>
  <c r="D30" i="25" s="1"/>
  <c r="O41" i="3"/>
  <c r="O42" i="3" s="1"/>
  <c r="L30" i="25" s="1"/>
  <c r="H41" i="3"/>
  <c r="P41" i="3"/>
  <c r="J52" i="3"/>
  <c r="J53" i="3" s="1"/>
  <c r="G42" i="25" s="1"/>
  <c r="O52" i="3"/>
  <c r="K52" i="3"/>
  <c r="K53" i="3" s="1"/>
  <c r="H42" i="25" s="1"/>
  <c r="I52" i="3"/>
  <c r="I53" i="3" s="1"/>
  <c r="F42" i="25" s="1"/>
  <c r="M52" i="3"/>
  <c r="M53" i="3" s="1"/>
  <c r="J42" i="25" s="1"/>
  <c r="P52" i="3"/>
  <c r="Q52" i="3" s="1"/>
  <c r="F52" i="3"/>
  <c r="F53" i="3" s="1"/>
  <c r="C42" i="25" s="1"/>
  <c r="N52" i="3"/>
  <c r="N53" i="3" s="1"/>
  <c r="K42" i="25" s="1"/>
  <c r="G52" i="3"/>
  <c r="G53" i="3" s="1"/>
  <c r="D42" i="25" s="1"/>
  <c r="Q51" i="3"/>
  <c r="E52" i="3"/>
  <c r="E53" i="3" s="1"/>
  <c r="L52" i="3"/>
  <c r="L53" i="3" s="1"/>
  <c r="I42" i="25" s="1"/>
  <c r="H52" i="3"/>
  <c r="E20" i="3"/>
  <c r="O50" i="3"/>
  <c r="F20" i="3"/>
  <c r="F21" i="3" s="1"/>
  <c r="C8" i="25" s="1"/>
  <c r="G20" i="3"/>
  <c r="G21" i="3" s="1"/>
  <c r="D8" i="25" s="1"/>
  <c r="K20" i="3"/>
  <c r="K21" i="3" s="1"/>
  <c r="M20" i="3"/>
  <c r="M21" i="3" s="1"/>
  <c r="J8" i="25" s="1"/>
  <c r="P20" i="3"/>
  <c r="J20" i="3"/>
  <c r="J21" i="3" s="1"/>
  <c r="G8" i="25" s="1"/>
  <c r="I20" i="3"/>
  <c r="I21" i="3" s="1"/>
  <c r="F8" i="25" s="1"/>
  <c r="Q19" i="3"/>
  <c r="L20" i="3"/>
  <c r="L21" i="3" s="1"/>
  <c r="N20" i="3"/>
  <c r="N21" i="3" s="1"/>
  <c r="K8" i="25" s="1"/>
  <c r="O20" i="3"/>
  <c r="O21" i="3" s="1"/>
  <c r="L8" i="25" s="1"/>
  <c r="H20" i="3"/>
  <c r="J12" i="19" l="1"/>
  <c r="J16" i="19" s="1"/>
  <c r="K22" i="3" s="1"/>
  <c r="H8" i="25"/>
  <c r="K12" i="19"/>
  <c r="K16" i="19" s="1"/>
  <c r="L22" i="3" s="1"/>
  <c r="I8" i="25"/>
  <c r="C39" i="2" a="1"/>
  <c r="C39" i="2" s="1"/>
  <c r="H21" i="3"/>
  <c r="O31" i="2" a="1"/>
  <c r="O31" i="2" s="1"/>
  <c r="P42" i="3"/>
  <c r="Q42" i="3" s="1"/>
  <c r="Q41" i="3"/>
  <c r="H42" i="3"/>
  <c r="O47" i="2" a="1"/>
  <c r="O47" i="2" s="1"/>
  <c r="E21" i="3"/>
  <c r="H53" i="3"/>
  <c r="O55" i="2" a="1"/>
  <c r="O55" i="2" s="1"/>
  <c r="P21" i="3"/>
  <c r="Q20" i="3"/>
  <c r="E42" i="3"/>
  <c r="E12" i="19"/>
  <c r="M40" i="19"/>
  <c r="M42" i="19" s="1"/>
  <c r="N54" i="3" s="1"/>
  <c r="K31" i="19"/>
  <c r="L12" i="19"/>
  <c r="J40" i="19"/>
  <c r="J42" i="19" s="1"/>
  <c r="K54" i="3" s="1"/>
  <c r="E31" i="19"/>
  <c r="N12" i="19"/>
  <c r="J15" i="19"/>
  <c r="L31" i="19"/>
  <c r="M12" i="19"/>
  <c r="F12" i="19"/>
  <c r="G22" i="3"/>
  <c r="F40" i="19"/>
  <c r="F42" i="19" s="1"/>
  <c r="G54" i="3" s="1"/>
  <c r="I40" i="19"/>
  <c r="I42" i="19" s="1"/>
  <c r="J54" i="3" s="1"/>
  <c r="E40" i="19"/>
  <c r="E42" i="19" s="1"/>
  <c r="F54" i="3" s="1"/>
  <c r="J31" i="19"/>
  <c r="H12" i="19"/>
  <c r="I22" i="3"/>
  <c r="N31" i="19"/>
  <c r="I31" i="19"/>
  <c r="I12" i="19"/>
  <c r="J22" i="3"/>
  <c r="L40" i="19"/>
  <c r="L42" i="19" s="1"/>
  <c r="M54" i="3" s="1"/>
  <c r="F31" i="19"/>
  <c r="K40" i="19"/>
  <c r="K42" i="19" s="1"/>
  <c r="L54" i="3" s="1"/>
  <c r="H40" i="19"/>
  <c r="H42" i="19" s="1"/>
  <c r="I54" i="3" s="1"/>
  <c r="M31" i="19"/>
  <c r="H31" i="19"/>
  <c r="P50" i="3"/>
  <c r="P53" i="3" s="1"/>
  <c r="O53" i="3"/>
  <c r="L42" i="25" s="1"/>
  <c r="K15" i="19" l="1"/>
  <c r="O56" i="2" a="1"/>
  <c r="O56" i="2" s="1"/>
  <c r="E42" i="25"/>
  <c r="O32" i="2" a="1"/>
  <c r="O32" i="2" s="1"/>
  <c r="E8" i="25"/>
  <c r="Q21" i="3"/>
  <c r="N70" i="2" s="1"/>
  <c r="M8" i="25"/>
  <c r="D40" i="19"/>
  <c r="D42" i="19" s="1"/>
  <c r="E54" i="3" s="1"/>
  <c r="B42" i="25"/>
  <c r="E22" i="3"/>
  <c r="B8" i="25"/>
  <c r="Q53" i="3"/>
  <c r="N126" i="2" s="1"/>
  <c r="M42" i="25"/>
  <c r="O48" i="2" a="1"/>
  <c r="O48" i="2" s="1"/>
  <c r="E30" i="25"/>
  <c r="D31" i="19"/>
  <c r="D34" i="19" s="1"/>
  <c r="B30" i="25"/>
  <c r="N107" i="2"/>
  <c r="M30" i="25"/>
  <c r="O12" i="19"/>
  <c r="O15" i="19" s="1"/>
  <c r="D12" i="19"/>
  <c r="D15" i="19" s="1"/>
  <c r="H22" i="3"/>
  <c r="O33" i="2" s="1" a="1"/>
  <c r="O33" i="2" s="1"/>
  <c r="G12" i="19"/>
  <c r="G15" i="19" s="1"/>
  <c r="G31" i="19"/>
  <c r="G33" i="19" s="1"/>
  <c r="H43" i="3" s="1"/>
  <c r="O49" i="2" s="1" a="1"/>
  <c r="O49" i="2" s="1"/>
  <c r="O31" i="19"/>
  <c r="O34" i="19" s="1"/>
  <c r="G40" i="19"/>
  <c r="G42" i="19" s="1"/>
  <c r="H54" i="3" s="1"/>
  <c r="O57" i="2" s="1" a="1"/>
  <c r="O57" i="2" s="1"/>
  <c r="O40" i="19"/>
  <c r="O42" i="19" s="1"/>
  <c r="P54" i="3" s="1"/>
  <c r="Q54" i="3" s="1"/>
  <c r="N15" i="19"/>
  <c r="N16" i="19"/>
  <c r="O22" i="3" s="1"/>
  <c r="I34" i="19"/>
  <c r="I33" i="19"/>
  <c r="J43" i="3" s="1"/>
  <c r="J34" i="19"/>
  <c r="J33" i="19"/>
  <c r="K43" i="3" s="1"/>
  <c r="F33" i="19"/>
  <c r="G43" i="3" s="1"/>
  <c r="F34" i="19"/>
  <c r="N40" i="19"/>
  <c r="N42" i="19" s="1"/>
  <c r="O54" i="3" s="1"/>
  <c r="N33" i="19"/>
  <c r="O43" i="3" s="1"/>
  <c r="N34" i="19"/>
  <c r="F16" i="19"/>
  <c r="F15" i="19"/>
  <c r="L16" i="19"/>
  <c r="M22" i="3" s="1"/>
  <c r="L15" i="19"/>
  <c r="H34" i="19"/>
  <c r="H33" i="19"/>
  <c r="I43" i="3" s="1"/>
  <c r="E34" i="19"/>
  <c r="E33" i="19"/>
  <c r="F43" i="3" s="1"/>
  <c r="M15" i="19"/>
  <c r="M16" i="19"/>
  <c r="N22" i="3" s="1"/>
  <c r="E16" i="19"/>
  <c r="F22" i="3" s="1"/>
  <c r="E15" i="19"/>
  <c r="M33" i="19"/>
  <c r="N43" i="3" s="1"/>
  <c r="M34" i="19"/>
  <c r="K33" i="19"/>
  <c r="L43" i="3" s="1"/>
  <c r="K34" i="19"/>
  <c r="I15" i="19"/>
  <c r="I16" i="19"/>
  <c r="H15" i="19"/>
  <c r="H16" i="19"/>
  <c r="L33" i="19"/>
  <c r="M43" i="3" s="1"/>
  <c r="L34" i="19"/>
  <c r="C31" i="2" l="1" a="1"/>
  <c r="C31" i="2" s="1"/>
  <c r="D33" i="19"/>
  <c r="E43" i="3" s="1"/>
  <c r="C47" i="2" s="1" a="1"/>
  <c r="C47" i="2" s="1"/>
  <c r="E16" i="2"/>
  <c r="O16" i="19"/>
  <c r="P22" i="3" s="1"/>
  <c r="Q22" i="3" s="1"/>
  <c r="D16" i="19"/>
  <c r="G34" i="19"/>
  <c r="O33" i="19"/>
  <c r="P43" i="3" s="1"/>
  <c r="Q43" i="3" s="1"/>
  <c r="G16" i="19"/>
  <c r="C55" i="2" a="1"/>
  <c r="C55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<sst xmlns="http://schemas.openxmlformats.org/spreadsheetml/2006/main" count="2056" uniqueCount="303">
  <si>
    <t>COMMISSION CALCULATOR</t>
  </si>
  <si>
    <t xml:space="preserve">SALES  REPRESENTATIVE  INFORMATION  </t>
  </si>
  <si>
    <t>SALES REPRESENTATIVE'S NAME</t>
  </si>
  <si>
    <t>Sarah Brown</t>
  </si>
  <si>
    <t>COUNTRY</t>
  </si>
  <si>
    <t>CURRENCY</t>
  </si>
  <si>
    <t>September</t>
  </si>
  <si>
    <t>Balance in bank account up to the current month</t>
  </si>
  <si>
    <t>Name of Target</t>
  </si>
  <si>
    <t>Commission Weights</t>
  </si>
  <si>
    <t>Commission Amount</t>
  </si>
  <si>
    <t>Total Orders Value (in Local Currency)</t>
  </si>
  <si>
    <t>Orders from Top Customers (Value in Local Currency) </t>
  </si>
  <si>
    <t>Orders from New Customers (Value in Local Currency)</t>
  </si>
  <si>
    <t>Total</t>
  </si>
  <si>
    <t>January </t>
  </si>
  <si>
    <t>February </t>
  </si>
  <si>
    <t>March</t>
  </si>
  <si>
    <t>April</t>
  </si>
  <si>
    <t>May</t>
  </si>
  <si>
    <t>June</t>
  </si>
  <si>
    <t>July</t>
  </si>
  <si>
    <t>August</t>
  </si>
  <si>
    <t>October</t>
  </si>
  <si>
    <t>November</t>
  </si>
  <si>
    <t>December</t>
  </si>
  <si>
    <t>TOTAL</t>
  </si>
  <si>
    <t>YTD result</t>
  </si>
  <si>
    <t>YTD achievement %</t>
  </si>
  <si>
    <t>YTD Commission payment</t>
  </si>
  <si>
    <t xml:space="preserve">1. </t>
  </si>
  <si>
    <t>TARGET: Total Orders Value (in Local Currency)</t>
  </si>
  <si>
    <t>MTD target</t>
  </si>
  <si>
    <t>YTD target</t>
  </si>
  <si>
    <t>MTD result</t>
  </si>
  <si>
    <t>Commission payment</t>
  </si>
  <si>
    <t>2.</t>
  </si>
  <si>
    <t>TARGET: Orders from Top Customers (Value in Local Currency)</t>
  </si>
  <si>
    <t>3.</t>
  </si>
  <si>
    <t>TARGET: Orders from New Customers (Value in Local Currency)</t>
  </si>
  <si>
    <t>Order Date</t>
  </si>
  <si>
    <t>Customer Name</t>
  </si>
  <si>
    <t>Country</t>
  </si>
  <si>
    <t>Region</t>
  </si>
  <si>
    <t>Value of the Order</t>
  </si>
  <si>
    <t>Order Type</t>
  </si>
  <si>
    <t>Sales Rep</t>
  </si>
  <si>
    <t>Transaction currency</t>
  </si>
  <si>
    <t>ABC Manufacturing</t>
  </si>
  <si>
    <t>USA</t>
  </si>
  <si>
    <t>NA</t>
  </si>
  <si>
    <t>Machine Order</t>
  </si>
  <si>
    <t>USD</t>
  </si>
  <si>
    <t>XYZ Corporation</t>
  </si>
  <si>
    <t>Normal Order</t>
  </si>
  <si>
    <t>LMN Enterprises</t>
  </si>
  <si>
    <t>Service</t>
  </si>
  <si>
    <t>123 Industries</t>
  </si>
  <si>
    <t>PQR Incorporated</t>
  </si>
  <si>
    <t>Smith Enterprises</t>
  </si>
  <si>
    <t>Doe Industries</t>
  </si>
  <si>
    <t>Brown Co.</t>
  </si>
  <si>
    <t>Johnson Group</t>
  </si>
  <si>
    <t>Taylor Inc.</t>
  </si>
  <si>
    <t>Miller Enterprises</t>
  </si>
  <si>
    <t>Martinez Industries</t>
  </si>
  <si>
    <t>Davis Corporation</t>
  </si>
  <si>
    <t>Williams Ltd.</t>
  </si>
  <si>
    <t>White Co.</t>
  </si>
  <si>
    <t>Wilson Enterprises</t>
  </si>
  <si>
    <t>Clark Industries</t>
  </si>
  <si>
    <t>Adams Inc.</t>
  </si>
  <si>
    <t>Thomas Co.</t>
  </si>
  <si>
    <t>Lewis Group</t>
  </si>
  <si>
    <t>Harris Corporation</t>
  </si>
  <si>
    <t>Young Co.</t>
  </si>
  <si>
    <t>King Enterprises</t>
  </si>
  <si>
    <t>Wright Industries</t>
  </si>
  <si>
    <t>Hall Inc.</t>
  </si>
  <si>
    <t>Scott Co.</t>
  </si>
  <si>
    <t>Green Corporation</t>
  </si>
  <si>
    <t>Adams Ltd.</t>
  </si>
  <si>
    <t>Stewart Group</t>
  </si>
  <si>
    <t>Hughes Inc.</t>
  </si>
  <si>
    <t>Price Enterprises</t>
  </si>
  <si>
    <t>Carter Co.</t>
  </si>
  <si>
    <t>Bell Corporation</t>
  </si>
  <si>
    <t>Long Enterprises</t>
  </si>
  <si>
    <t>Hill Group</t>
  </si>
  <si>
    <t>Cole Co.</t>
  </si>
  <si>
    <t>Reed Ltd.</t>
  </si>
  <si>
    <t>Harrison Corporation</t>
  </si>
  <si>
    <t>Paulson Enterprises</t>
  </si>
  <si>
    <t>Johnson Industries</t>
  </si>
  <si>
    <t>Doe Corporation</t>
  </si>
  <si>
    <t>Roberts Enterprises</t>
  </si>
  <si>
    <t>Jones Co.</t>
  </si>
  <si>
    <t>Brown Manufacturing</t>
  </si>
  <si>
    <t>Wilson Solutions</t>
  </si>
  <si>
    <t>Taylor &amp; Sons</t>
  </si>
  <si>
    <t>Martinez Corporation</t>
  </si>
  <si>
    <t>Davis Incorporated</t>
  </si>
  <si>
    <t>Williams Industries</t>
  </si>
  <si>
    <t>Miller Co.</t>
  </si>
  <si>
    <t>Smith &amp; Sons</t>
  </si>
  <si>
    <t>Johnson Incorporated</t>
  </si>
  <si>
    <t>Martinez &amp; Co.</t>
  </si>
  <si>
    <t>Taylor Enterprises</t>
  </si>
  <si>
    <t>Wilson Manufacturing</t>
  </si>
  <si>
    <t>Brown Solutions</t>
  </si>
  <si>
    <t>Johnson Solutions</t>
  </si>
  <si>
    <t>Smith Manufacturing</t>
  </si>
  <si>
    <t>Miller &amp; Co.</t>
  </si>
  <si>
    <t>Davis Solutions</t>
  </si>
  <si>
    <t>Taylor &amp; Co.</t>
  </si>
  <si>
    <t>Martinez Enterprises</t>
  </si>
  <si>
    <t>Smith Solutions</t>
  </si>
  <si>
    <t>Johnson &amp; Sons</t>
  </si>
  <si>
    <t>Taylor Co.</t>
  </si>
  <si>
    <t>Brown &amp; Co.</t>
  </si>
  <si>
    <t>Miller Incorporated</t>
  </si>
  <si>
    <t>Davis &amp; Sons</t>
  </si>
  <si>
    <t>Wilson &amp; Co.</t>
  </si>
  <si>
    <t>Martinez Solutions</t>
  </si>
  <si>
    <t>Jones Inc.</t>
  </si>
  <si>
    <t>Brown Industries</t>
  </si>
  <si>
    <t>Martinez Group</t>
  </si>
  <si>
    <t>Johnson &amp; Partners</t>
  </si>
  <si>
    <t>White &amp; Co.</t>
  </si>
  <si>
    <t>Clark Enterprises</t>
  </si>
  <si>
    <t>Walker &amp; Sons</t>
  </si>
  <si>
    <t>Anderson Corporation</t>
  </si>
  <si>
    <t>Thomas Enterprises</t>
  </si>
  <si>
    <t>Harris Co.</t>
  </si>
  <si>
    <t>Young Group</t>
  </si>
  <si>
    <t>Wright &amp; Co.</t>
  </si>
  <si>
    <t>Scott Corporation</t>
  </si>
  <si>
    <t>Green Group</t>
  </si>
  <si>
    <t>Hall Industries</t>
  </si>
  <si>
    <t>Evans Corporation</t>
  </si>
  <si>
    <t>Baker &amp; Sons</t>
  </si>
  <si>
    <t>Cooper Group</t>
  </si>
  <si>
    <t>Gray &amp; Co.</t>
  </si>
  <si>
    <t>Ross Enterprises</t>
  </si>
  <si>
    <t>Price Group</t>
  </si>
  <si>
    <t>Watson &amp; Co.</t>
  </si>
  <si>
    <t>Reed Corporation</t>
  </si>
  <si>
    <t>DEF Industries</t>
  </si>
  <si>
    <t>PQR Inc.</t>
  </si>
  <si>
    <t>RST Corporation</t>
  </si>
  <si>
    <t>GHI Manufacturing</t>
  </si>
  <si>
    <t>JKL Enterprises</t>
  </si>
  <si>
    <t>UVW Inc.</t>
  </si>
  <si>
    <t>MNO Corporation</t>
  </si>
  <si>
    <t>HIJ Industries</t>
  </si>
  <si>
    <t>STU Corporation</t>
  </si>
  <si>
    <t>OPQ Manufacturing</t>
  </si>
  <si>
    <t>EFG Inc.</t>
  </si>
  <si>
    <t>STT</t>
  </si>
  <si>
    <t>name</t>
  </si>
  <si>
    <t>positions</t>
  </si>
  <si>
    <t>report to</t>
  </si>
  <si>
    <t>country</t>
  </si>
  <si>
    <t>currency</t>
  </si>
  <si>
    <t>Hans Schmidt </t>
  </si>
  <si>
    <t>Head of Sales</t>
  </si>
  <si>
    <t>Germany</t>
  </si>
  <si>
    <t>Anna Müller</t>
  </si>
  <si>
    <t>Sales Managers</t>
  </si>
  <si>
    <t>Markus Wagner</t>
  </si>
  <si>
    <t>Lena Fischer</t>
  </si>
  <si>
    <t>Klaus Becker</t>
  </si>
  <si>
    <t>Julia Schneider</t>
  </si>
  <si>
    <t>Stefan Weber</t>
  </si>
  <si>
    <t>Petra Schulz</t>
  </si>
  <si>
    <t>Andreas Hoffmann</t>
  </si>
  <si>
    <t>Sabine Meyer</t>
  </si>
  <si>
    <t>Emily Johnson</t>
  </si>
  <si>
    <t>John Smith</t>
  </si>
  <si>
    <t>Michael Williams</t>
  </si>
  <si>
    <t>David Jones</t>
  </si>
  <si>
    <t>Jennifer Davis</t>
  </si>
  <si>
    <t>James Miller</t>
  </si>
  <si>
    <t>Amanda Wilson</t>
  </si>
  <si>
    <t>Robert Taylor</t>
  </si>
  <si>
    <t>Jessica Martinez</t>
  </si>
  <si>
    <t>Giovanni Rossi</t>
  </si>
  <si>
    <t>Italy</t>
  </si>
  <si>
    <t>Sofia Bianchi</t>
  </si>
  <si>
    <t>Marco Esposito</t>
  </si>
  <si>
    <t>Chiara Romano</t>
  </si>
  <si>
    <t>Luca Ricci</t>
  </si>
  <si>
    <t>Takashi Nakamura</t>
  </si>
  <si>
    <t>Japan</t>
  </si>
  <si>
    <t>Aya Tanaka</t>
  </si>
  <si>
    <t>Sales Rep &amp; Manager</t>
  </si>
  <si>
    <t>Kazuki Kobayashi</t>
  </si>
  <si>
    <t>Mio Sato</t>
  </si>
  <si>
    <t>Yusuke Takahashi</t>
  </si>
  <si>
    <t>Sakura Ito</t>
  </si>
  <si>
    <t>HEAD OF SALES</t>
  </si>
  <si>
    <t>REPORT TO</t>
  </si>
  <si>
    <t>Target Value</t>
  </si>
  <si>
    <t>Team total orders value achieved  (in Local Currency)</t>
  </si>
  <si>
    <t>4.</t>
  </si>
  <si>
    <t>Column Labels</t>
  </si>
  <si>
    <t>Grand Total</t>
  </si>
  <si>
    <t>2021</t>
  </si>
  <si>
    <t>2022</t>
  </si>
  <si>
    <t>2023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</si>
  <si>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</si>
  <si>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</si>
  <si>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</si>
  <si>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</si>
  <si>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</si>
  <si>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</si>
  <si>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</si>
  <si>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</si>
  <si>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</si>
  <si>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</si>
  <si>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</si>
  <si>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Sum of Value of the Order</t>
  </si>
  <si>
    <t>2023 Total</t>
  </si>
  <si>
    <t>2022 Total</t>
  </si>
  <si>
    <t>2021 Total</t>
  </si>
  <si>
    <t>Sarah Brown Total</t>
  </si>
  <si>
    <t>Row Labels</t>
  </si>
  <si>
    <t>Years (Order Date)</t>
  </si>
  <si>
    <t>February</t>
  </si>
  <si>
    <t>January</t>
  </si>
  <si>
    <t>TARGET: Team total orders value achieved (Value in Local Currency)</t>
  </si>
  <si>
    <t>Sale Rep IS  E7</t>
  </si>
  <si>
    <t>OLD/NEW customer</t>
  </si>
  <si>
    <t>New Customer</t>
  </si>
  <si>
    <t>Months (Order Date)</t>
  </si>
  <si>
    <t>Top Customers</t>
  </si>
  <si>
    <t>Yes</t>
  </si>
  <si>
    <t>JPY</t>
  </si>
  <si>
    <t>EUR</t>
  </si>
  <si>
    <t>Country IS E11</t>
  </si>
  <si>
    <t>The Compensation scheme for each components</t>
  </si>
  <si>
    <t>0&lt;= E21 &lt;= 0.5</t>
  </si>
  <si>
    <t>thì E22 =0</t>
  </si>
  <si>
    <t>0.5&lt; E21 &lt;= 1</t>
  </si>
  <si>
    <t>thì E22 =E21</t>
  </si>
  <si>
    <t>E21 &gt; 1</t>
  </si>
  <si>
    <t>thì E22 = (E21-1)*2+1</t>
  </si>
  <si>
    <t>A) The personal total orders value</t>
  </si>
  <si>
    <t>thì E32 =0</t>
  </si>
  <si>
    <t>thì E32 =E21</t>
  </si>
  <si>
    <t>thì E32 = (E21-1)*2+1</t>
  </si>
  <si>
    <t>1&lt; E21 &lt; 2</t>
  </si>
  <si>
    <t>B) Team total orders value</t>
  </si>
  <si>
    <t>C) Total orders from top customer</t>
  </si>
  <si>
    <t>E42 &lt;= 1</t>
  </si>
  <si>
    <t>thì E43 = E42</t>
  </si>
  <si>
    <t>E42 &gt; 1</t>
  </si>
  <si>
    <t>thì E43 = (E42-1)*3+1</t>
  </si>
  <si>
    <t>Max =</t>
  </si>
  <si>
    <t>D) Total orders from new customers</t>
  </si>
  <si>
    <t>thì E54 = E53</t>
  </si>
  <si>
    <t>E53 &lt;= 3</t>
  </si>
  <si>
    <t>( according to contract )</t>
  </si>
  <si>
    <t></t>
  </si>
  <si>
    <r>
      <t>CURRENT MONTH</t>
    </r>
    <r>
      <rPr>
        <b/>
        <i/>
        <sz val="12"/>
        <color theme="1"/>
        <rFont val="Calibri"/>
        <family val="2"/>
      </rPr>
      <t xml:space="preserve"> </t>
    </r>
    <r>
      <rPr>
        <i/>
        <sz val="12"/>
        <color theme="1" tint="0.499984740745262"/>
        <rFont val="Calibri"/>
        <family val="2"/>
      </rPr>
      <t>(example: January)</t>
    </r>
  </si>
  <si>
    <t>Sort Dataset =&gt; Get Currency Year. Maybe should get YEAR(MAX(Order Date))</t>
  </si>
  <si>
    <t xml:space="preserve">TARGETS  FOR  EACH  SALES  REPRESENTATIVE </t>
  </si>
  <si>
    <t>AUSTRALIA</t>
  </si>
  <si>
    <t>BRAZIL</t>
  </si>
  <si>
    <t>CANADA</t>
  </si>
  <si>
    <t>CHINA, P.R.</t>
  </si>
  <si>
    <t>DENMARK</t>
  </si>
  <si>
    <t>EMU MEMBERS</t>
  </si>
  <si>
    <t>HONG KONG</t>
  </si>
  <si>
    <t>INDIA</t>
  </si>
  <si>
    <t>JAPAN</t>
  </si>
  <si>
    <t>MALAYSIA</t>
  </si>
  <si>
    <t>MEXICO</t>
  </si>
  <si>
    <t>NEW ZEALAND</t>
  </si>
  <si>
    <t>NORWAY</t>
  </si>
  <si>
    <t>SINGAPORE</t>
  </si>
  <si>
    <t>SOUTH AFRICA</t>
  </si>
  <si>
    <t>SOUTH KOREA</t>
  </si>
  <si>
    <t>SRI LANKA</t>
  </si>
  <si>
    <t>SWEDEN</t>
  </si>
  <si>
    <t>SWITZERLAND</t>
  </si>
  <si>
    <t>TAIWAN</t>
  </si>
  <si>
    <t>THAILAND</t>
  </si>
  <si>
    <t>UNITED KINGDOM</t>
  </si>
  <si>
    <t>VENEZUELA</t>
  </si>
  <si>
    <t>Rates</t>
  </si>
  <si>
    <t>1 USD  =  132.01 Japan</t>
  </si>
  <si>
    <t>usa</t>
  </si>
  <si>
    <t>Graphs to illustrate how Sarah's YTD result and the YTD target evolve in 2023</t>
  </si>
  <si>
    <t>Target</t>
  </si>
  <si>
    <t>Fair</t>
  </si>
  <si>
    <t>Good</t>
  </si>
  <si>
    <t>Excellent</t>
  </si>
  <si>
    <t>Great</t>
  </si>
  <si>
    <t xml:space="preserve">Foreign Exchange Rates </t>
  </si>
  <si>
    <t>TOTAL YEAR</t>
  </si>
  <si>
    <t>Thỏ Cáo 88 Vĩnh Phúc</t>
  </si>
  <si>
    <t>Local 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</si>
</sst>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3" formatCode="_(* #,##0.00_);_(* \(#,##0.00\);_(* &quot;-&quot;??_);_(@_)"/>
    <numFmt numFmtId="164" formatCode="\ \*"/>
    <numFmt numFmtId="165" formatCode="#,##0;\(#,##0\)"/>
    <numFmt numFmtId="166" formatCode="#,##0[$$]"/>
    <numFmt numFmtId="167" formatCode="_(* #,##0_);_(* \(#,##0\);_(* &quot;-&quot;??_);_(@_)"/>
    <numFmt numFmtId="168" formatCode="@* \:"/>
    <numFmt numFmtId="169" formatCode="0.000"/>
    <numFmt numFmtId="170" formatCode="0.0%"/>
  </numFmts>
  <fonts count="51" x14ac:knownFonts="1">
    <font>
      <sz val="12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32"/>
      <color rgb="FF1E8478"/>
      <name val="Times New Roman"/>
      <family val="1"/>
    </font>
    <font>
      <sz val="20"/>
      <color theme="1"/>
      <name val="Calibri"/>
      <family val="2"/>
    </font>
    <font>
      <b/>
      <sz val="20"/>
      <color theme="0"/>
      <name val="Calibri"/>
      <family val="2"/>
    </font>
    <font>
      <sz val="12"/>
      <name val="Calibri"/>
      <family val="2"/>
    </font>
    <font>
      <b/>
      <sz val="16"/>
      <color rgb="FF1E8478"/>
      <name val="Times New Roman"/>
      <family val="1"/>
    </font>
    <font>
      <b/>
      <sz val="12"/>
      <color rgb="FF16645B"/>
      <name val="Calibri"/>
      <family val="2"/>
    </font>
    <font>
      <sz val="12"/>
      <color theme="1"/>
      <name val="Calibri"/>
      <family val="2"/>
    </font>
    <font>
      <b/>
      <sz val="13"/>
      <color rgb="FF16645B"/>
      <name val="Calibri"/>
      <family val="2"/>
    </font>
    <font>
      <sz val="11"/>
      <color rgb="FF000000"/>
      <name val="Arial"/>
      <family val="2"/>
    </font>
    <font>
      <b/>
      <sz val="20"/>
      <color theme="0"/>
      <name val="Arial"/>
      <family val="2"/>
    </font>
    <font>
      <b/>
      <sz val="12"/>
      <color theme="0"/>
      <name val="Calibri"/>
      <family val="2"/>
    </font>
    <font>
      <sz val="12"/>
      <color rgb="FF000000"/>
      <name val="Calibri"/>
      <family val="2"/>
    </font>
    <font>
      <b/>
      <sz val="20"/>
      <color rgb="FF277D73"/>
      <name val="Times New Roman"/>
      <family val="1"/>
    </font>
    <font>
      <b/>
      <sz val="14"/>
      <color rgb="FF1E8478"/>
      <name val="Times New Roman"/>
      <family val="1"/>
    </font>
    <font>
      <b/>
      <sz val="14"/>
      <color rgb="FF277D73"/>
      <name val="Times New Roman"/>
      <family val="1"/>
    </font>
    <font>
      <b/>
      <sz val="14"/>
      <color rgb="FF16645B"/>
      <name val="Times New Roman"/>
      <family val="1"/>
    </font>
    <font>
      <b/>
      <sz val="11"/>
      <color theme="0"/>
      <name val="Arial"/>
      <family val="2"/>
    </font>
    <font>
      <b/>
      <sz val="12"/>
      <color rgb="FF000000"/>
      <name val="Calibri"/>
      <family val="2"/>
    </font>
    <font>
      <b/>
      <sz val="14"/>
      <color rgb="FF017E70"/>
      <name val="Times New Roman"/>
      <family val="1"/>
    </font>
    <font>
      <b/>
      <sz val="12"/>
      <color rgb="FFFFFFFF"/>
      <name val="Calibri"/>
      <family val="2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name val="Calibri"/>
      <family val="2"/>
    </font>
    <font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C00000"/>
      <name val="Calibri"/>
      <family val="2"/>
      <scheme val="minor"/>
    </font>
    <font>
      <b/>
      <sz val="14"/>
      <color theme="0"/>
      <name val="Calibri"/>
      <family val="2"/>
    </font>
    <font>
      <b/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32"/>
      <color rgb="FF16645B"/>
      <name val="Times New Roman"/>
      <family val="1"/>
    </font>
    <font>
      <sz val="14"/>
      <color theme="1"/>
      <name val="Calibri"/>
      <family val="2"/>
      <scheme val="minor"/>
    </font>
    <font>
      <i/>
      <sz val="12"/>
      <color theme="2" tint="-0.499984740745262"/>
      <name val="Calibri"/>
      <family val="2"/>
      <scheme val="minor"/>
    </font>
    <font>
      <b/>
      <i/>
      <sz val="12"/>
      <color theme="1"/>
      <name val="Calibri"/>
      <family val="2"/>
    </font>
    <font>
      <i/>
      <sz val="12"/>
      <color theme="1" tint="0.499984740745262"/>
      <name val="Calibri"/>
      <family val="2"/>
    </font>
    <font>
      <sz val="20"/>
      <color rgb="FF29A783"/>
      <name val="Wingdings 3"/>
      <family val="1"/>
      <charset val="2"/>
    </font>
    <font>
      <sz val="12"/>
      <color rgb="FF135951"/>
      <name val="Calibri"/>
      <family val="2"/>
    </font>
    <font>
      <sz val="12"/>
      <color rgb="FF135951"/>
      <name val="Calibri"/>
      <family val="2"/>
      <scheme val="minor"/>
    </font>
    <font>
      <b/>
      <sz val="12"/>
      <color rgb="FF135951"/>
      <name val="Calibri"/>
      <family val="2"/>
      <scheme val="minor"/>
    </font>
    <font>
      <b/>
      <sz val="20"/>
      <color rgb="FF135951"/>
      <name val="Calibri"/>
      <family val="2"/>
      <scheme val="major"/>
    </font>
    <font>
      <sz val="12"/>
      <color rgb="FF000000"/>
      <name val="Calibri"/>
      <family val="2"/>
      <scheme val="minor"/>
    </font>
    <font>
      <b/>
      <sz val="12"/>
      <color rgb="FF135951"/>
      <name val="Calibri"/>
      <family val="2"/>
    </font>
    <font>
      <b/>
      <sz val="32"/>
      <color rgb="FF135951"/>
      <name val="Calibri"/>
      <family val="2"/>
      <scheme val="minor"/>
    </font>
    <font>
      <b/>
      <sz val="28"/>
      <color rgb="FF13595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16645B"/>
        <bgColor rgb="FF16645B"/>
      </patternFill>
    </fill>
    <fill>
      <patternFill patternType="solid">
        <fgColor rgb="FFE7FBF9"/>
        <bgColor rgb="FFE7FBF9"/>
      </patternFill>
    </fill>
    <fill>
      <patternFill patternType="solid">
        <fgColor rgb="FFE8FBFE"/>
        <bgColor rgb="FFE8FBFE"/>
      </patternFill>
    </fill>
    <fill>
      <patternFill patternType="solid">
        <fgColor rgb="FF277D73"/>
        <bgColor rgb="FF277D73"/>
      </patternFill>
    </fill>
    <fill>
      <patternFill patternType="solid">
        <fgColor rgb="FFE2FFF6"/>
        <bgColor rgb="FFE2FFF6"/>
      </patternFill>
    </fill>
    <fill>
      <patternFill patternType="solid">
        <fgColor rgb="FF3C806C"/>
        <bgColor rgb="FF3C806C"/>
      </patternFill>
    </fill>
    <fill>
      <patternFill patternType="solid">
        <fgColor rgb="FFEAFCFF"/>
        <bgColor rgb="FFEAFCFF"/>
      </patternFill>
    </fill>
    <fill>
      <patternFill patternType="solid">
        <fgColor rgb="FF548135"/>
        <bgColor rgb="FF548135"/>
      </patternFill>
    </fill>
    <fill>
      <patternFill patternType="solid">
        <fgColor rgb="FFE6F1DF"/>
        <bgColor rgb="FFE6F1DF"/>
      </patternFill>
    </fill>
    <fill>
      <patternFill patternType="solid">
        <fgColor rgb="FFE2F9C7"/>
        <bgColor rgb="FFE2F9C7"/>
      </patternFill>
    </fill>
    <fill>
      <patternFill patternType="solid">
        <fgColor rgb="FFF5FDBB"/>
        <bgColor rgb="FFF5FDBB"/>
      </patternFill>
    </fill>
    <fill>
      <patternFill patternType="solid">
        <fgColor rgb="FFF8E99E"/>
        <bgColor rgb="FFF8E99E"/>
      </patternFill>
    </fill>
    <fill>
      <patternFill patternType="solid">
        <fgColor rgb="FF0B5394"/>
        <bgColor rgb="FF0B5394"/>
      </patternFill>
    </fill>
    <fill>
      <patternFill patternType="solid">
        <fgColor rgb="FFFFFF00"/>
        <bgColor indexed="64"/>
      </patternFill>
    </fill>
    <fill>
      <patternFill patternType="solid">
        <fgColor rgb="FF1D8175"/>
        <bgColor rgb="FF16645B"/>
      </patternFill>
    </fill>
    <fill>
      <patternFill patternType="solid">
        <fgColor rgb="FF146057"/>
        <bgColor rgb="FF16645B"/>
      </patternFill>
    </fill>
    <fill>
      <patternFill patternType="solid">
        <fgColor rgb="FFF7FCE8"/>
        <bgColor indexed="64"/>
      </patternFill>
    </fill>
    <fill>
      <patternFill patternType="solid">
        <fgColor rgb="FFF7FCE8"/>
        <bgColor rgb="FFE7E6E6"/>
      </patternFill>
    </fill>
    <fill>
      <patternFill patternType="solid">
        <fgColor rgb="FFF7FCE8"/>
        <bgColor rgb="FFE2FFF6"/>
      </patternFill>
    </fill>
    <fill>
      <patternFill patternType="solid">
        <fgColor theme="0"/>
        <bgColor rgb="FF16645B"/>
      </patternFill>
    </fill>
    <fill>
      <patternFill patternType="solid">
        <fgColor rgb="FFBDF5E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135951"/>
        <bgColor rgb="FF16645B"/>
      </patternFill>
    </fill>
    <fill>
      <patternFill patternType="solid">
        <fgColor rgb="FF1B7B70"/>
        <bgColor rgb="FF16645B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theme="8" tint="0.79998168889431442"/>
      </patternFill>
    </fill>
  </fills>
  <borders count="4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16645B"/>
      </bottom>
      <diagonal/>
    </border>
    <border>
      <left style="medium">
        <color rgb="FF1E8478"/>
      </left>
      <right style="medium">
        <color rgb="FF1E8478"/>
      </right>
      <top style="medium">
        <color rgb="FF1E8478"/>
      </top>
      <bottom style="medium">
        <color rgb="FF1E8478"/>
      </bottom>
      <diagonal/>
    </border>
    <border>
      <left/>
      <right/>
      <top style="thin">
        <color rgb="FF1E8478"/>
      </top>
      <bottom style="thick">
        <color rgb="FF16645B"/>
      </bottom>
      <diagonal/>
    </border>
    <border>
      <left/>
      <right/>
      <top style="thin">
        <color rgb="FF1E8478"/>
      </top>
      <bottom style="thick">
        <color rgb="FF16645B"/>
      </bottom>
      <diagonal/>
    </border>
    <border>
      <left/>
      <right/>
      <top style="thin">
        <color rgb="FF1E8478"/>
      </top>
      <bottom style="thick">
        <color rgb="FF16645B"/>
      </bottom>
      <diagonal/>
    </border>
    <border>
      <left/>
      <right style="thin">
        <color rgb="FF1E8478"/>
      </right>
      <top style="thin">
        <color rgb="FF1E8478"/>
      </top>
      <bottom style="thick">
        <color rgb="FF16645B"/>
      </bottom>
      <diagonal/>
    </border>
    <border>
      <left style="thin">
        <color rgb="FF1E8478"/>
      </left>
      <right/>
      <top/>
      <bottom/>
      <diagonal/>
    </border>
    <border>
      <left/>
      <right style="thin">
        <color rgb="FF1E8478"/>
      </right>
      <top/>
      <bottom/>
      <diagonal/>
    </border>
    <border>
      <left style="thin">
        <color rgb="FF1E8478"/>
      </left>
      <right/>
      <top style="medium">
        <color rgb="FF1E8478"/>
      </top>
      <bottom style="thin">
        <color rgb="FF1E8478"/>
      </bottom>
      <diagonal/>
    </border>
    <border>
      <left/>
      <right/>
      <top style="medium">
        <color rgb="FF1E8478"/>
      </top>
      <bottom style="thin">
        <color rgb="FF1E8478"/>
      </bottom>
      <diagonal/>
    </border>
    <border>
      <left style="thin">
        <color rgb="FFC6F2ED"/>
      </left>
      <right/>
      <top style="thin">
        <color rgb="FFC6F2ED"/>
      </top>
      <bottom/>
      <diagonal/>
    </border>
    <border>
      <left/>
      <right/>
      <top style="thin">
        <color rgb="FFC6F2ED"/>
      </top>
      <bottom/>
      <diagonal/>
    </border>
    <border>
      <left/>
      <right style="thin">
        <color rgb="FFC6F2ED"/>
      </right>
      <top style="thin">
        <color rgb="FFC6F2ED"/>
      </top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medium">
        <color rgb="FF000000"/>
      </bottom>
      <diagonal/>
    </border>
    <border>
      <left style="thin">
        <color theme="0"/>
      </left>
      <right/>
      <top/>
      <bottom/>
      <diagonal/>
    </border>
    <border>
      <left style="medium">
        <color rgb="FF197167"/>
      </left>
      <right/>
      <top style="medium">
        <color rgb="FF197167"/>
      </top>
      <bottom style="medium">
        <color rgb="FF197167"/>
      </bottom>
      <diagonal/>
    </border>
    <border>
      <left/>
      <right/>
      <top style="medium">
        <color rgb="FF197167"/>
      </top>
      <bottom style="medium">
        <color rgb="FF197167"/>
      </bottom>
      <diagonal/>
    </border>
    <border>
      <left/>
      <right style="medium">
        <color rgb="FF197167"/>
      </right>
      <top style="medium">
        <color rgb="FF197167"/>
      </top>
      <bottom style="medium">
        <color rgb="FF197167"/>
      </bottom>
      <diagonal/>
    </border>
    <border>
      <left/>
      <right/>
      <top/>
      <bottom style="thin">
        <color rgb="FFBDF5E5"/>
      </bottom>
      <diagonal/>
    </border>
    <border>
      <left/>
      <right/>
      <top style="thin">
        <color rgb="FFBDF5E5"/>
      </top>
      <bottom style="thin">
        <color rgb="FFBDF5E5"/>
      </bottom>
      <diagonal/>
    </border>
    <border>
      <left/>
      <right style="thin">
        <color rgb="FFBDF5E5"/>
      </right>
      <top style="thick">
        <color rgb="FF135951"/>
      </top>
      <bottom/>
      <diagonal/>
    </border>
    <border>
      <left style="thin">
        <color rgb="FFBDF5E5"/>
      </left>
      <right/>
      <top/>
      <bottom/>
      <diagonal/>
    </border>
    <border>
      <left/>
      <right/>
      <top/>
      <bottom style="medium">
        <color rgb="FF1D8175"/>
      </bottom>
      <diagonal/>
    </border>
    <border>
      <left style="medium">
        <color rgb="FF135951"/>
      </left>
      <right style="medium">
        <color rgb="FF135951"/>
      </right>
      <top style="medium">
        <color rgb="FF135951"/>
      </top>
      <bottom/>
      <diagonal/>
    </border>
    <border>
      <left/>
      <right/>
      <top style="thin">
        <color rgb="FF16645B"/>
      </top>
      <bottom style="thin">
        <color rgb="FF16645B"/>
      </bottom>
      <diagonal/>
    </border>
    <border>
      <left/>
      <right/>
      <top style="thin">
        <color rgb="FF135951"/>
      </top>
      <bottom/>
      <diagonal/>
    </border>
    <border>
      <left/>
      <right/>
      <top/>
      <bottom style="medium">
        <color rgb="FF1E8478"/>
      </bottom>
      <diagonal/>
    </border>
    <border>
      <left/>
      <right/>
      <top style="thin">
        <color rgb="FF1B7B70"/>
      </top>
      <bottom/>
      <diagonal/>
    </border>
    <border>
      <left style="thin">
        <color theme="0"/>
      </left>
      <right style="thin">
        <color rgb="FF1E8478"/>
      </right>
      <top style="medium">
        <color rgb="FF1E8478"/>
      </top>
      <bottom style="thin">
        <color rgb="FF1E8478"/>
      </bottom>
      <diagonal/>
    </border>
    <border>
      <left style="thin">
        <color theme="0"/>
      </left>
      <right style="thin">
        <color theme="0"/>
      </right>
      <top style="medium">
        <color rgb="FF1E8478"/>
      </top>
      <bottom style="thin">
        <color rgb="FF1E8478"/>
      </bottom>
      <diagonal/>
    </border>
    <border>
      <left/>
      <right/>
      <top style="medium">
        <color rgb="FF1B7B70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theme="8" tint="0.39997558519241921"/>
      </bottom>
      <diagonal/>
    </border>
  </borders>
  <cellStyleXfs count="6">
    <xf numFmtId="0" fontId="0" fillId="0" borderId="0"/>
    <xf numFmtId="43" fontId="25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3" fillId="0" borderId="4"/>
    <xf numFmtId="43" fontId="3" fillId="0" borderId="4" applyFont="0" applyFill="0" applyBorder="0" applyAlignment="0" applyProtection="0"/>
    <xf numFmtId="9" fontId="3" fillId="0" borderId="4" applyFont="0" applyFill="0" applyBorder="0" applyAlignment="0" applyProtection="0"/>
  </cellStyleXfs>
  <cellXfs count="247">
    <xf numFmtId="0" fontId="0" fillId="0" borderId="0" xfId="0"/>
    <xf numFmtId="0" fontId="2" fillId="0" borderId="0" xfId="0" applyFont="1"/>
    <xf numFmtId="0" fontId="3" fillId="0" borderId="0" xfId="0" applyFont="1"/>
    <xf numFmtId="0" fontId="6" fillId="0" borderId="0" xfId="0" applyFont="1"/>
    <xf numFmtId="0" fontId="6" fillId="2" borderId="4" xfId="0" applyFont="1" applyFill="1" applyBorder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11" fillId="0" borderId="0" xfId="0" applyFont="1"/>
    <xf numFmtId="0" fontId="14" fillId="0" borderId="0" xfId="0" applyFont="1"/>
    <xf numFmtId="0" fontId="15" fillId="2" borderId="15" xfId="0" applyFont="1" applyFill="1" applyBorder="1"/>
    <xf numFmtId="0" fontId="15" fillId="2" borderId="16" xfId="0" applyFont="1" applyFill="1" applyBorder="1" applyAlignment="1">
      <alignment vertical="center" wrapText="1"/>
    </xf>
    <xf numFmtId="0" fontId="15" fillId="2" borderId="17" xfId="0" applyFont="1" applyFill="1" applyBorder="1" applyAlignment="1">
      <alignment horizontal="center" vertical="center" wrapText="1"/>
    </xf>
    <xf numFmtId="0" fontId="10" fillId="0" borderId="18" xfId="0" applyFont="1" applyBorder="1" applyAlignment="1">
      <alignment vertical="center" wrapText="1"/>
    </xf>
    <xf numFmtId="0" fontId="7" fillId="2" borderId="3" xfId="0" applyFont="1" applyFill="1" applyBorder="1" applyAlignment="1">
      <alignment horizontal="center"/>
    </xf>
    <xf numFmtId="0" fontId="18" fillId="0" borderId="0" xfId="0" applyFont="1" applyAlignment="1">
      <alignment horizontal="right"/>
    </xf>
    <xf numFmtId="0" fontId="19" fillId="0" borderId="0" xfId="0" applyFont="1" applyAlignment="1">
      <alignment horizontal="right"/>
    </xf>
    <xf numFmtId="0" fontId="20" fillId="0" borderId="0" xfId="0" applyFont="1"/>
    <xf numFmtId="166" fontId="13" fillId="0" borderId="0" xfId="0" applyNumberFormat="1" applyFont="1"/>
    <xf numFmtId="0" fontId="15" fillId="2" borderId="19" xfId="0" applyFont="1" applyFill="1" applyBorder="1" applyAlignment="1">
      <alignment vertical="top" wrapText="1"/>
    </xf>
    <xf numFmtId="0" fontId="21" fillId="2" borderId="19" xfId="0" applyFont="1" applyFill="1" applyBorder="1" applyAlignment="1">
      <alignment vertical="center" wrapText="1"/>
    </xf>
    <xf numFmtId="0" fontId="19" fillId="0" borderId="0" xfId="0" applyFont="1"/>
    <xf numFmtId="0" fontId="15" fillId="5" borderId="19" xfId="0" applyFont="1" applyFill="1" applyBorder="1" applyAlignment="1">
      <alignment vertical="top" wrapText="1"/>
    </xf>
    <xf numFmtId="0" fontId="21" fillId="5" borderId="19" xfId="0" applyFont="1" applyFill="1" applyBorder="1" applyAlignment="1">
      <alignment vertical="center" wrapText="1"/>
    </xf>
    <xf numFmtId="0" fontId="22" fillId="6" borderId="19" xfId="0" applyFont="1" applyFill="1" applyBorder="1" applyAlignment="1">
      <alignment vertical="center" wrapText="1"/>
    </xf>
    <xf numFmtId="0" fontId="23" fillId="0" borderId="0" xfId="0" applyFont="1"/>
    <xf numFmtId="0" fontId="15" fillId="7" borderId="19" xfId="0" applyFont="1" applyFill="1" applyBorder="1" applyAlignment="1">
      <alignment vertical="top" wrapText="1"/>
    </xf>
    <xf numFmtId="0" fontId="21" fillId="7" borderId="19" xfId="0" applyFont="1" applyFill="1" applyBorder="1" applyAlignment="1">
      <alignment vertical="center" wrapText="1"/>
    </xf>
    <xf numFmtId="0" fontId="22" fillId="8" borderId="19" xfId="0" applyFont="1" applyFill="1" applyBorder="1" applyAlignment="1">
      <alignment vertical="center" wrapText="1"/>
    </xf>
    <xf numFmtId="0" fontId="15" fillId="9" borderId="4" xfId="0" applyFont="1" applyFill="1" applyBorder="1"/>
    <xf numFmtId="0" fontId="16" fillId="10" borderId="4" xfId="0" applyFont="1" applyFill="1" applyBorder="1" applyAlignment="1">
      <alignment horizontal="right" vertical="center"/>
    </xf>
    <xf numFmtId="0" fontId="16" fillId="10" borderId="4" xfId="0" applyFont="1" applyFill="1" applyBorder="1" applyAlignment="1">
      <alignment vertical="center"/>
    </xf>
    <xf numFmtId="0" fontId="16" fillId="10" borderId="4" xfId="0" applyFont="1" applyFill="1" applyBorder="1"/>
    <xf numFmtId="0" fontId="11" fillId="10" borderId="4" xfId="0" applyFont="1" applyFill="1" applyBorder="1"/>
    <xf numFmtId="0" fontId="16" fillId="10" borderId="20" xfId="0" applyFont="1" applyFill="1" applyBorder="1" applyAlignment="1">
      <alignment horizontal="right" vertical="center"/>
    </xf>
    <xf numFmtId="0" fontId="11" fillId="10" borderId="20" xfId="0" applyFont="1" applyFill="1" applyBorder="1"/>
    <xf numFmtId="0" fontId="16" fillId="10" borderId="20" xfId="0" applyFont="1" applyFill="1" applyBorder="1"/>
    <xf numFmtId="0" fontId="11" fillId="11" borderId="4" xfId="0" applyFont="1" applyFill="1" applyBorder="1" applyAlignment="1">
      <alignment horizontal="right"/>
    </xf>
    <xf numFmtId="0" fontId="11" fillId="11" borderId="4" xfId="0" applyFont="1" applyFill="1" applyBorder="1"/>
    <xf numFmtId="0" fontId="11" fillId="11" borderId="20" xfId="0" applyFont="1" applyFill="1" applyBorder="1" applyAlignment="1">
      <alignment horizontal="right"/>
    </xf>
    <xf numFmtId="0" fontId="11" fillId="11" borderId="20" xfId="0" applyFont="1" applyFill="1" applyBorder="1"/>
    <xf numFmtId="0" fontId="11" fillId="12" borderId="4" xfId="0" applyFont="1" applyFill="1" applyBorder="1" applyAlignment="1">
      <alignment horizontal="right"/>
    </xf>
    <xf numFmtId="0" fontId="11" fillId="12" borderId="4" xfId="0" applyFont="1" applyFill="1" applyBorder="1"/>
    <xf numFmtId="0" fontId="16" fillId="12" borderId="4" xfId="0" applyFont="1" applyFill="1" applyBorder="1"/>
    <xf numFmtId="0" fontId="11" fillId="12" borderId="20" xfId="0" applyFont="1" applyFill="1" applyBorder="1" applyAlignment="1">
      <alignment horizontal="right"/>
    </xf>
    <xf numFmtId="0" fontId="11" fillId="12" borderId="20" xfId="0" applyFont="1" applyFill="1" applyBorder="1"/>
    <xf numFmtId="0" fontId="16" fillId="12" borderId="20" xfId="0" applyFont="1" applyFill="1" applyBorder="1"/>
    <xf numFmtId="0" fontId="11" fillId="13" borderId="4" xfId="0" applyFont="1" applyFill="1" applyBorder="1" applyAlignment="1">
      <alignment horizontal="right"/>
    </xf>
    <xf numFmtId="0" fontId="11" fillId="13" borderId="4" xfId="0" applyFont="1" applyFill="1" applyBorder="1"/>
    <xf numFmtId="0" fontId="16" fillId="13" borderId="4" xfId="0" applyFont="1" applyFill="1" applyBorder="1"/>
    <xf numFmtId="167" fontId="11" fillId="0" borderId="19" xfId="0" applyNumberFormat="1" applyFont="1" applyBorder="1" applyAlignment="1">
      <alignment horizontal="right" vertical="center" wrapText="1"/>
    </xf>
    <xf numFmtId="167" fontId="11" fillId="0" borderId="19" xfId="1" applyNumberFormat="1" applyFont="1" applyBorder="1" applyAlignment="1">
      <alignment horizontal="right" vertical="center" wrapText="1"/>
    </xf>
    <xf numFmtId="0" fontId="22" fillId="4" borderId="19" xfId="0" applyFont="1" applyFill="1" applyBorder="1" applyAlignment="1">
      <alignment horizontal="left" vertical="center" wrapText="1"/>
    </xf>
    <xf numFmtId="14" fontId="21" fillId="2" borderId="19" xfId="0" applyNumberFormat="1" applyFont="1" applyFill="1" applyBorder="1" applyAlignment="1">
      <alignment vertical="center" wrapText="1"/>
    </xf>
    <xf numFmtId="0" fontId="0" fillId="0" borderId="0" xfId="0" applyAlignment="1">
      <alignment horizontal="right" vertical="center"/>
    </xf>
    <xf numFmtId="0" fontId="26" fillId="0" borderId="0" xfId="0" applyFont="1"/>
    <xf numFmtId="0" fontId="24" fillId="14" borderId="0" xfId="0" applyFont="1" applyFill="1"/>
    <xf numFmtId="0" fontId="11" fillId="0" borderId="0" xfId="0" applyFont="1" applyAlignment="1">
      <alignment horizontal="left"/>
    </xf>
    <xf numFmtId="0" fontId="15" fillId="0" borderId="4" xfId="0" applyFont="1" applyBorder="1" applyAlignment="1">
      <alignment vertical="center"/>
    </xf>
    <xf numFmtId="0" fontId="15" fillId="0" borderId="4" xfId="0" applyFont="1" applyBorder="1" applyAlignment="1">
      <alignment horizontal="left" vertical="center"/>
    </xf>
    <xf numFmtId="0" fontId="11" fillId="0" borderId="4" xfId="0" applyFont="1" applyBorder="1" applyAlignment="1">
      <alignment vertical="center"/>
    </xf>
    <xf numFmtId="0" fontId="11" fillId="0" borderId="4" xfId="0" applyFont="1" applyBorder="1" applyAlignment="1">
      <alignment horizontal="left" vertical="center"/>
    </xf>
    <xf numFmtId="0" fontId="0" fillId="0" borderId="4" xfId="0" applyBorder="1"/>
    <xf numFmtId="0" fontId="11" fillId="0" borderId="4" xfId="0" applyFont="1" applyBorder="1" applyAlignment="1">
      <alignment horizontal="left"/>
    </xf>
    <xf numFmtId="0" fontId="15" fillId="0" borderId="4" xfId="0" applyFont="1" applyBorder="1"/>
    <xf numFmtId="0" fontId="11" fillId="0" borderId="4" xfId="0" applyFont="1" applyBorder="1" applyAlignment="1">
      <alignment horizontal="center" vertical="center"/>
    </xf>
    <xf numFmtId="0" fontId="8" fillId="0" borderId="4" xfId="0" applyFont="1" applyBorder="1"/>
    <xf numFmtId="0" fontId="16" fillId="0" borderId="4" xfId="0" applyFont="1" applyBorder="1"/>
    <xf numFmtId="0" fontId="15" fillId="0" borderId="0" xfId="0" applyFont="1"/>
    <xf numFmtId="14" fontId="11" fillId="0" borderId="4" xfId="0" applyNumberFormat="1" applyFont="1" applyBorder="1" applyAlignment="1">
      <alignment horizontal="right"/>
    </xf>
    <xf numFmtId="0" fontId="26" fillId="0" borderId="4" xfId="0" applyFont="1" applyBorder="1"/>
    <xf numFmtId="0" fontId="28" fillId="0" borderId="0" xfId="0" applyFont="1"/>
    <xf numFmtId="0" fontId="30" fillId="0" borderId="0" xfId="0" applyFont="1"/>
    <xf numFmtId="0" fontId="30" fillId="0" borderId="4" xfId="0" applyFont="1" applyBorder="1"/>
    <xf numFmtId="14" fontId="8" fillId="0" borderId="4" xfId="0" applyNumberFormat="1" applyFont="1" applyBorder="1" applyAlignment="1">
      <alignment horizontal="right"/>
    </xf>
    <xf numFmtId="0" fontId="8" fillId="0" borderId="0" xfId="0" applyFont="1"/>
    <xf numFmtId="3" fontId="8" fillId="0" borderId="0" xfId="0" applyNumberFormat="1" applyFont="1" applyAlignment="1">
      <alignment horizontal="right"/>
    </xf>
    <xf numFmtId="3" fontId="24" fillId="14" borderId="0" xfId="0" applyNumberFormat="1" applyFont="1" applyFill="1"/>
    <xf numFmtId="0" fontId="31" fillId="0" borderId="4" xfId="0" applyFont="1" applyBorder="1"/>
    <xf numFmtId="3" fontId="8" fillId="0" borderId="0" xfId="0" applyNumberFormat="1" applyFont="1"/>
    <xf numFmtId="0" fontId="3" fillId="0" borderId="4" xfId="0" applyFont="1" applyBorder="1"/>
    <xf numFmtId="14" fontId="11" fillId="0" borderId="0" xfId="0" applyNumberFormat="1" applyFont="1"/>
    <xf numFmtId="14" fontId="30" fillId="0" borderId="4" xfId="0" applyNumberFormat="1" applyFont="1" applyBorder="1"/>
    <xf numFmtId="14" fontId="3" fillId="0" borderId="4" xfId="0" applyNumberFormat="1" applyFont="1" applyBorder="1"/>
    <xf numFmtId="0" fontId="0" fillId="0" borderId="21" xfId="0" applyBorder="1"/>
    <xf numFmtId="0" fontId="31" fillId="0" borderId="0" xfId="0" applyFont="1"/>
    <xf numFmtId="3" fontId="15" fillId="0" borderId="0" xfId="0" applyNumberFormat="1" applyFont="1"/>
    <xf numFmtId="1" fontId="29" fillId="0" borderId="21" xfId="0" applyNumberFormat="1" applyFont="1" applyBorder="1" applyAlignment="1">
      <alignment horizontal="left" vertical="center"/>
    </xf>
    <xf numFmtId="164" fontId="10" fillId="0" borderId="21" xfId="0" applyNumberFormat="1" applyFont="1" applyBorder="1" applyAlignment="1">
      <alignment horizontal="left" vertical="center"/>
    </xf>
    <xf numFmtId="164" fontId="10" fillId="0" borderId="24" xfId="0" applyNumberFormat="1" applyFont="1" applyBorder="1" applyAlignment="1">
      <alignment horizontal="left" vertical="center"/>
    </xf>
    <xf numFmtId="0" fontId="3" fillId="0" borderId="0" xfId="0" applyFont="1" applyAlignment="1">
      <alignment vertical="top"/>
    </xf>
    <xf numFmtId="0" fontId="28" fillId="15" borderId="0" xfId="0" applyFont="1" applyFill="1"/>
    <xf numFmtId="0" fontId="33" fillId="17" borderId="4" xfId="0" applyFont="1" applyFill="1" applyBorder="1" applyAlignment="1">
      <alignment horizontal="center" vertical="center" wrapText="1"/>
    </xf>
    <xf numFmtId="164" fontId="10" fillId="18" borderId="25" xfId="0" applyNumberFormat="1" applyFont="1" applyFill="1" applyBorder="1" applyAlignment="1">
      <alignment horizontal="left" vertical="center"/>
    </xf>
    <xf numFmtId="164" fontId="10" fillId="18" borderId="4" xfId="0" applyNumberFormat="1" applyFont="1" applyFill="1" applyBorder="1" applyAlignment="1">
      <alignment horizontal="left" vertical="center"/>
    </xf>
    <xf numFmtId="164" fontId="10" fillId="18" borderId="26" xfId="0" applyNumberFormat="1" applyFont="1" applyFill="1" applyBorder="1" applyAlignment="1">
      <alignment horizontal="left" vertical="center"/>
    </xf>
    <xf numFmtId="165" fontId="10" fillId="18" borderId="6" xfId="0" applyNumberFormat="1" applyFont="1" applyFill="1" applyBorder="1" applyAlignment="1">
      <alignment horizontal="center" vertical="center"/>
    </xf>
    <xf numFmtId="167" fontId="11" fillId="18" borderId="12" xfId="0" applyNumberFormat="1" applyFont="1" applyFill="1" applyBorder="1" applyAlignment="1">
      <alignment horizontal="center" vertical="center" wrapText="1"/>
    </xf>
    <xf numFmtId="0" fontId="10" fillId="19" borderId="18" xfId="0" applyFont="1" applyFill="1" applyBorder="1" applyAlignment="1">
      <alignment vertical="center" wrapText="1"/>
    </xf>
    <xf numFmtId="49" fontId="0" fillId="0" borderId="0" xfId="0" applyNumberFormat="1"/>
    <xf numFmtId="49" fontId="17" fillId="0" borderId="0" xfId="0" applyNumberFormat="1" applyFont="1" applyAlignment="1">
      <alignment horizontal="right"/>
    </xf>
    <xf numFmtId="0" fontId="22" fillId="20" borderId="19" xfId="0" applyFont="1" applyFill="1" applyBorder="1" applyAlignment="1">
      <alignment vertical="center" wrapText="1"/>
    </xf>
    <xf numFmtId="167" fontId="11" fillId="18" borderId="19" xfId="0" applyNumberFormat="1" applyFont="1" applyFill="1" applyBorder="1" applyAlignment="1">
      <alignment horizontal="right" vertical="center" wrapText="1"/>
    </xf>
    <xf numFmtId="43" fontId="0" fillId="0" borderId="0" xfId="0" applyNumberFormat="1"/>
    <xf numFmtId="43" fontId="5" fillId="0" borderId="0" xfId="0" applyNumberFormat="1" applyFont="1" applyAlignment="1">
      <alignment horizontal="center" vertical="center"/>
    </xf>
    <xf numFmtId="43" fontId="6" fillId="2" borderId="4" xfId="0" applyNumberFormat="1" applyFont="1" applyFill="1" applyBorder="1"/>
    <xf numFmtId="43" fontId="21" fillId="2" borderId="19" xfId="0" applyNumberFormat="1" applyFont="1" applyFill="1" applyBorder="1" applyAlignment="1">
      <alignment vertical="center" wrapText="1"/>
    </xf>
    <xf numFmtId="43" fontId="2" fillId="0" borderId="19" xfId="1" applyFont="1" applyBorder="1" applyAlignment="1">
      <alignment horizontal="right" vertical="center" wrapText="1"/>
    </xf>
    <xf numFmtId="43" fontId="11" fillId="0" borderId="19" xfId="0" applyNumberFormat="1" applyFont="1" applyBorder="1" applyAlignment="1">
      <alignment horizontal="right" vertical="center" wrapText="1"/>
    </xf>
    <xf numFmtId="43" fontId="21" fillId="5" borderId="19" xfId="0" applyNumberFormat="1" applyFont="1" applyFill="1" applyBorder="1" applyAlignment="1">
      <alignment vertical="center" wrapText="1"/>
    </xf>
    <xf numFmtId="43" fontId="2" fillId="0" borderId="19" xfId="0" applyNumberFormat="1" applyFont="1" applyBorder="1" applyAlignment="1">
      <alignment horizontal="right" vertical="center" wrapText="1"/>
    </xf>
    <xf numFmtId="43" fontId="0" fillId="0" borderId="0" xfId="0" applyNumberFormat="1" applyAlignment="1">
      <alignment horizontal="right" vertical="center"/>
    </xf>
    <xf numFmtId="43" fontId="21" fillId="7" borderId="19" xfId="0" applyNumberFormat="1" applyFont="1" applyFill="1" applyBorder="1" applyAlignment="1">
      <alignment vertical="center" wrapText="1"/>
    </xf>
    <xf numFmtId="9" fontId="11" fillId="0" borderId="19" xfId="2" applyFont="1" applyBorder="1" applyAlignment="1">
      <alignment horizontal="right" vertical="center" wrapText="1"/>
    </xf>
    <xf numFmtId="1" fontId="3" fillId="0" borderId="0" xfId="0" applyNumberFormat="1" applyFont="1"/>
    <xf numFmtId="43" fontId="11" fillId="0" borderId="19" xfId="1" applyFont="1" applyBorder="1" applyAlignment="1">
      <alignment horizontal="right" vertical="center" wrapText="1"/>
    </xf>
    <xf numFmtId="167" fontId="2" fillId="0" borderId="19" xfId="1" applyNumberFormat="1" applyFont="1" applyBorder="1" applyAlignment="1">
      <alignment horizontal="right" vertical="center" wrapText="1"/>
    </xf>
    <xf numFmtId="0" fontId="0" fillId="0" borderId="28" xfId="0" applyBorder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0" fontId="3" fillId="0" borderId="0" xfId="0" quotePrefix="1" applyFont="1"/>
    <xf numFmtId="168" fontId="28" fillId="0" borderId="4" xfId="0" applyNumberFormat="1" applyFont="1" applyBorder="1"/>
    <xf numFmtId="0" fontId="28" fillId="0" borderId="4" xfId="0" applyFont="1" applyBorder="1"/>
    <xf numFmtId="0" fontId="34" fillId="0" borderId="4" xfId="0" applyFont="1" applyBorder="1"/>
    <xf numFmtId="0" fontId="3" fillId="0" borderId="4" xfId="0" quotePrefix="1" applyFont="1" applyBorder="1"/>
    <xf numFmtId="0" fontId="24" fillId="0" borderId="4" xfId="0" applyFont="1" applyBorder="1"/>
    <xf numFmtId="3" fontId="24" fillId="0" borderId="4" xfId="0" applyNumberFormat="1" applyFont="1" applyBorder="1"/>
    <xf numFmtId="14" fontId="21" fillId="0" borderId="4" xfId="0" applyNumberFormat="1" applyFont="1" applyBorder="1" applyAlignment="1">
      <alignment vertical="center" wrapText="1"/>
    </xf>
    <xf numFmtId="0" fontId="21" fillId="0" borderId="4" xfId="0" applyFont="1" applyBorder="1" applyAlignment="1">
      <alignment vertical="center" wrapText="1"/>
    </xf>
    <xf numFmtId="14" fontId="0" fillId="0" borderId="4" xfId="0" applyNumberFormat="1" applyBorder="1"/>
    <xf numFmtId="2" fontId="30" fillId="0" borderId="4" xfId="0" applyNumberFormat="1" applyFont="1" applyBorder="1"/>
    <xf numFmtId="167" fontId="11" fillId="18" borderId="19" xfId="1" applyNumberFormat="1" applyFont="1" applyFill="1" applyBorder="1" applyAlignment="1">
      <alignment horizontal="right" vertical="center" wrapText="1"/>
    </xf>
    <xf numFmtId="0" fontId="0" fillId="0" borderId="29" xfId="0" applyBorder="1"/>
    <xf numFmtId="0" fontId="29" fillId="0" borderId="4" xfId="0" applyFont="1" applyBorder="1"/>
    <xf numFmtId="14" fontId="29" fillId="0" borderId="4" xfId="0" applyNumberFormat="1" applyFont="1" applyBorder="1"/>
    <xf numFmtId="0" fontId="11" fillId="21" borderId="2" xfId="0" applyFont="1" applyFill="1" applyBorder="1"/>
    <xf numFmtId="0" fontId="5" fillId="0" borderId="4" xfId="0" applyFont="1" applyBorder="1" applyAlignment="1">
      <alignment vertical="center"/>
    </xf>
    <xf numFmtId="0" fontId="37" fillId="0" borderId="4" xfId="0" applyFont="1" applyBorder="1" applyAlignment="1">
      <alignment horizontal="center"/>
    </xf>
    <xf numFmtId="169" fontId="37" fillId="0" borderId="4" xfId="0" applyNumberFormat="1" applyFont="1" applyBorder="1" applyAlignment="1">
      <alignment horizontal="center"/>
    </xf>
    <xf numFmtId="0" fontId="0" fillId="23" borderId="4" xfId="0" applyFill="1" applyBorder="1"/>
    <xf numFmtId="0" fontId="0" fillId="24" borderId="0" xfId="0" applyFill="1"/>
    <xf numFmtId="9" fontId="37" fillId="22" borderId="4" xfId="0" applyNumberFormat="1" applyFont="1" applyFill="1" applyBorder="1" applyAlignment="1">
      <alignment horizontal="center"/>
    </xf>
    <xf numFmtId="0" fontId="31" fillId="25" borderId="0" xfId="0" applyFont="1" applyFill="1"/>
    <xf numFmtId="0" fontId="26" fillId="25" borderId="0" xfId="0" applyFont="1" applyFill="1"/>
    <xf numFmtId="0" fontId="26" fillId="25" borderId="4" xfId="0" applyFont="1" applyFill="1" applyBorder="1"/>
    <xf numFmtId="2" fontId="0" fillId="23" borderId="4" xfId="0" applyNumberFormat="1" applyFill="1" applyBorder="1"/>
    <xf numFmtId="2" fontId="0" fillId="0" borderId="4" xfId="0" applyNumberFormat="1" applyBorder="1"/>
    <xf numFmtId="1" fontId="0" fillId="23" borderId="4" xfId="0" applyNumberFormat="1" applyFill="1" applyBorder="1"/>
    <xf numFmtId="9" fontId="3" fillId="0" borderId="4" xfId="0" applyNumberFormat="1" applyFont="1" applyBorder="1" applyAlignment="1">
      <alignment horizontal="left"/>
    </xf>
    <xf numFmtId="9" fontId="0" fillId="0" borderId="0" xfId="0" applyNumberFormat="1" applyAlignment="1">
      <alignment horizontal="left"/>
    </xf>
    <xf numFmtId="170" fontId="11" fillId="0" borderId="19" xfId="2" quotePrefix="1" applyNumberFormat="1" applyFont="1" applyBorder="1" applyAlignment="1">
      <alignment horizontal="right" vertical="center" wrapText="1"/>
    </xf>
    <xf numFmtId="170" fontId="11" fillId="0" borderId="19" xfId="2" applyNumberFormat="1" applyFont="1" applyBorder="1" applyAlignment="1">
      <alignment horizontal="right" vertical="center" wrapText="1"/>
    </xf>
    <xf numFmtId="9" fontId="2" fillId="0" borderId="19" xfId="2" applyFont="1" applyBorder="1" applyAlignment="1">
      <alignment horizontal="right" vertical="center" wrapText="1"/>
    </xf>
    <xf numFmtId="170" fontId="2" fillId="0" borderId="19" xfId="2" applyNumberFormat="1" applyFont="1" applyBorder="1" applyAlignment="1">
      <alignment horizontal="right" vertical="center" wrapText="1"/>
    </xf>
    <xf numFmtId="49" fontId="17" fillId="0" borderId="0" xfId="0" applyNumberFormat="1" applyFont="1"/>
    <xf numFmtId="9" fontId="11" fillId="0" borderId="18" xfId="2" applyFont="1" applyBorder="1"/>
    <xf numFmtId="167" fontId="11" fillId="0" borderId="18" xfId="1" quotePrefix="1" applyNumberFormat="1" applyFont="1" applyBorder="1"/>
    <xf numFmtId="167" fontId="11" fillId="0" borderId="18" xfId="1" applyNumberFormat="1" applyFont="1" applyBorder="1"/>
    <xf numFmtId="9" fontId="11" fillId="19" borderId="18" xfId="2" applyFont="1" applyFill="1" applyBorder="1"/>
    <xf numFmtId="10" fontId="11" fillId="19" borderId="18" xfId="2" applyNumberFormat="1" applyFont="1" applyFill="1" applyBorder="1"/>
    <xf numFmtId="10" fontId="11" fillId="0" borderId="18" xfId="2" applyNumberFormat="1" applyFont="1" applyBorder="1"/>
    <xf numFmtId="9" fontId="11" fillId="18" borderId="19" xfId="2" quotePrefix="1" applyFont="1" applyFill="1" applyBorder="1" applyAlignment="1">
      <alignment horizontal="right" vertical="center" wrapText="1"/>
    </xf>
    <xf numFmtId="9" fontId="2" fillId="18" borderId="19" xfId="2" applyFont="1" applyFill="1" applyBorder="1" applyAlignment="1">
      <alignment horizontal="right" vertical="center" wrapText="1"/>
    </xf>
    <xf numFmtId="167" fontId="2" fillId="0" borderId="19" xfId="0" applyNumberFormat="1" applyFont="1" applyBorder="1" applyAlignment="1">
      <alignment horizontal="right" vertical="center" wrapText="1"/>
    </xf>
    <xf numFmtId="167" fontId="2" fillId="18" borderId="19" xfId="0" applyNumberFormat="1" applyFont="1" applyFill="1" applyBorder="1" applyAlignment="1">
      <alignment horizontal="right" vertical="center" wrapText="1"/>
    </xf>
    <xf numFmtId="9" fontId="2" fillId="0" borderId="19" xfId="0" applyNumberFormat="1" applyFont="1" applyBorder="1" applyAlignment="1">
      <alignment horizontal="right" vertical="center" wrapText="1"/>
    </xf>
    <xf numFmtId="0" fontId="38" fillId="0" borderId="0" xfId="0" applyFont="1" applyAlignment="1">
      <alignment horizontal="left" vertical="center"/>
    </xf>
    <xf numFmtId="0" fontId="32" fillId="0" borderId="0" xfId="0" applyFont="1" applyAlignment="1">
      <alignment horizontal="left"/>
    </xf>
    <xf numFmtId="167" fontId="11" fillId="0" borderId="18" xfId="1" quotePrefix="1" applyNumberFormat="1" applyFont="1" applyBorder="1" applyAlignment="1">
      <alignment horizontal="right"/>
    </xf>
    <xf numFmtId="0" fontId="41" fillId="0" borderId="0" xfId="0" applyFont="1"/>
    <xf numFmtId="10" fontId="11" fillId="18" borderId="18" xfId="2" applyNumberFormat="1" applyFont="1" applyFill="1" applyBorder="1"/>
    <xf numFmtId="1" fontId="30" fillId="0" borderId="0" xfId="0" applyNumberFormat="1" applyFont="1"/>
    <xf numFmtId="9" fontId="0" fillId="0" borderId="0" xfId="0" applyNumberFormat="1"/>
    <xf numFmtId="167" fontId="0" fillId="0" borderId="0" xfId="0" applyNumberFormat="1"/>
    <xf numFmtId="10" fontId="0" fillId="0" borderId="0" xfId="0" applyNumberFormat="1"/>
    <xf numFmtId="0" fontId="15" fillId="27" borderId="10" xfId="0" applyFont="1" applyFill="1" applyBorder="1" applyAlignment="1">
      <alignment horizontal="center" vertical="center" wrapText="1"/>
    </xf>
    <xf numFmtId="0" fontId="15" fillId="26" borderId="30" xfId="0" applyFont="1" applyFill="1" applyBorder="1" applyAlignment="1">
      <alignment horizontal="center" vertical="center" wrapText="1"/>
    </xf>
    <xf numFmtId="167" fontId="16" fillId="18" borderId="27" xfId="1" applyNumberFormat="1" applyFont="1" applyFill="1" applyBorder="1" applyAlignment="1">
      <alignment horizontal="center" vertical="center" wrapText="1"/>
    </xf>
    <xf numFmtId="167" fontId="16" fillId="18" borderId="0" xfId="1" applyNumberFormat="1" applyFont="1" applyFill="1" applyAlignment="1">
      <alignment horizontal="center" vertical="center" wrapText="1"/>
    </xf>
    <xf numFmtId="167" fontId="16" fillId="18" borderId="25" xfId="1" applyNumberFormat="1" applyFont="1" applyFill="1" applyBorder="1" applyAlignment="1">
      <alignment horizontal="center" vertical="center" wrapText="1"/>
    </xf>
    <xf numFmtId="164" fontId="44" fillId="0" borderId="0" xfId="0" applyNumberFormat="1" applyFont="1"/>
    <xf numFmtId="167" fontId="42" fillId="0" borderId="32" xfId="1" applyNumberFormat="1" applyFont="1" applyBorder="1" applyAlignment="1">
      <alignment vertical="center" wrapText="1"/>
    </xf>
    <xf numFmtId="167" fontId="42" fillId="0" borderId="4" xfId="1" applyNumberFormat="1" applyFont="1" applyFill="1" applyBorder="1" applyAlignment="1">
      <alignment vertical="center" wrapText="1"/>
    </xf>
    <xf numFmtId="167" fontId="43" fillId="0" borderId="4" xfId="1" applyNumberFormat="1" applyFont="1" applyBorder="1" applyAlignment="1">
      <alignment vertical="center"/>
    </xf>
    <xf numFmtId="167" fontId="43" fillId="0" borderId="33" xfId="1" applyNumberFormat="1" applyFont="1" applyBorder="1" applyAlignment="1">
      <alignment vertical="center"/>
    </xf>
    <xf numFmtId="9" fontId="16" fillId="18" borderId="4" xfId="0" applyNumberFormat="1" applyFont="1" applyFill="1" applyBorder="1" applyAlignment="1">
      <alignment horizontal="center" vertical="center" wrapText="1"/>
    </xf>
    <xf numFmtId="9" fontId="16" fillId="18" borderId="34" xfId="0" applyNumberFormat="1" applyFont="1" applyFill="1" applyBorder="1" applyAlignment="1">
      <alignment horizontal="center" vertical="center" wrapText="1"/>
    </xf>
    <xf numFmtId="167" fontId="10" fillId="0" borderId="35" xfId="1" applyNumberFormat="1" applyFont="1" applyBorder="1" applyAlignment="1">
      <alignment vertical="center"/>
    </xf>
    <xf numFmtId="0" fontId="29" fillId="0" borderId="14" xfId="0" applyFont="1" applyBorder="1"/>
    <xf numFmtId="0" fontId="0" fillId="28" borderId="38" xfId="0" applyFill="1" applyBorder="1"/>
    <xf numFmtId="9" fontId="1" fillId="28" borderId="38" xfId="2" applyFont="1" applyFill="1" applyBorder="1" applyAlignment="1">
      <alignment horizontal="center"/>
    </xf>
    <xf numFmtId="9" fontId="1" fillId="0" borderId="4" xfId="2" applyFont="1" applyFill="1" applyBorder="1" applyAlignment="1">
      <alignment horizontal="center"/>
    </xf>
    <xf numFmtId="0" fontId="0" fillId="0" borderId="39" xfId="0" applyBorder="1"/>
    <xf numFmtId="9" fontId="3" fillId="0" borderId="0" xfId="2" applyFont="1"/>
    <xf numFmtId="9" fontId="0" fillId="0" borderId="0" xfId="2" applyFont="1"/>
    <xf numFmtId="0" fontId="3" fillId="0" borderId="40" xfId="0" applyFont="1" applyBorder="1"/>
    <xf numFmtId="0" fontId="46" fillId="0" borderId="40" xfId="0" applyFont="1" applyBorder="1"/>
    <xf numFmtId="9" fontId="46" fillId="0" borderId="4" xfId="0" applyNumberFormat="1" applyFont="1" applyBorder="1"/>
    <xf numFmtId="9" fontId="47" fillId="18" borderId="36" xfId="2" applyFont="1" applyFill="1" applyBorder="1" applyAlignment="1">
      <alignment horizontal="center" vertical="center"/>
    </xf>
    <xf numFmtId="0" fontId="49" fillId="0" borderId="0" xfId="0" applyFont="1" applyAlignment="1">
      <alignment horizontal="center"/>
    </xf>
    <xf numFmtId="9" fontId="48" fillId="0" borderId="0" xfId="0" applyNumberFormat="1" applyFont="1" applyAlignment="1">
      <alignment horizontal="center"/>
    </xf>
    <xf numFmtId="9" fontId="49" fillId="0" borderId="0" xfId="2" applyFont="1" applyAlignment="1">
      <alignment horizontal="center"/>
    </xf>
    <xf numFmtId="49" fontId="10" fillId="18" borderId="6" xfId="0" applyNumberFormat="1" applyFont="1" applyFill="1" applyBorder="1" applyAlignment="1">
      <alignment horizontal="center" vertical="center"/>
    </xf>
    <xf numFmtId="43" fontId="3" fillId="0" borderId="0" xfId="1" applyFont="1"/>
    <xf numFmtId="43" fontId="11" fillId="0" borderId="0" xfId="1" applyFont="1"/>
    <xf numFmtId="0" fontId="50" fillId="0" borderId="0" xfId="0" applyFont="1"/>
    <xf numFmtId="0" fontId="50" fillId="29" borderId="41" xfId="0" applyFont="1" applyFill="1" applyBorder="1"/>
    <xf numFmtId="0" fontId="50" fillId="0" borderId="41" xfId="0" applyFont="1" applyBorder="1"/>
    <xf numFmtId="1" fontId="2" fillId="3" borderId="4" xfId="0" applyNumberFormat="1" applyFont="1" applyFill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0" fillId="0" borderId="0" xfId="0"/>
    <xf numFmtId="0" fontId="7" fillId="2" borderId="1" xfId="0" applyFont="1" applyFill="1" applyBorder="1" applyAlignment="1">
      <alignment horizontal="center"/>
    </xf>
    <xf numFmtId="0" fontId="8" fillId="0" borderId="2" xfId="0" applyFont="1" applyBorder="1"/>
    <xf numFmtId="0" fontId="8" fillId="0" borderId="3" xfId="0" applyFont="1" applyBorder="1"/>
    <xf numFmtId="0" fontId="9" fillId="0" borderId="0" xfId="0" applyFont="1" applyAlignment="1">
      <alignment horizontal="center" vertical="center"/>
    </xf>
    <xf numFmtId="1" fontId="2" fillId="3" borderId="22" xfId="0" applyNumberFormat="1" applyFont="1" applyFill="1" applyBorder="1" applyAlignment="1">
      <alignment horizontal="left" vertical="center"/>
    </xf>
    <xf numFmtId="0" fontId="8" fillId="0" borderId="23" xfId="0" applyFont="1" applyBorder="1"/>
    <xf numFmtId="1" fontId="2" fillId="3" borderId="4" xfId="0" applyNumberFormat="1" applyFont="1" applyFill="1" applyBorder="1" applyAlignment="1">
      <alignment horizontal="left" vertical="center"/>
    </xf>
    <xf numFmtId="0" fontId="8" fillId="0" borderId="4" xfId="0" applyFont="1" applyBorder="1"/>
    <xf numFmtId="1" fontId="2" fillId="3" borderId="26" xfId="0" applyNumberFormat="1" applyFont="1" applyFill="1" applyBorder="1" applyAlignment="1">
      <alignment horizontal="left" vertical="center"/>
    </xf>
    <xf numFmtId="0" fontId="8" fillId="0" borderId="26" xfId="0" applyFont="1" applyBorder="1"/>
    <xf numFmtId="1" fontId="12" fillId="0" borderId="5" xfId="0" applyNumberFormat="1" applyFont="1" applyBorder="1" applyAlignment="1">
      <alignment horizontal="left" vertical="center"/>
    </xf>
    <xf numFmtId="0" fontId="8" fillId="0" borderId="5" xfId="0" applyFont="1" applyBorder="1"/>
    <xf numFmtId="0" fontId="15" fillId="2" borderId="7" xfId="0" applyFont="1" applyFill="1" applyBorder="1" applyAlignment="1">
      <alignment horizontal="center" vertical="center" wrapText="1"/>
    </xf>
    <xf numFmtId="0" fontId="8" fillId="0" borderId="8" xfId="0" applyFont="1" applyBorder="1"/>
    <xf numFmtId="0" fontId="8" fillId="0" borderId="9" xfId="0" applyFont="1" applyBorder="1"/>
    <xf numFmtId="0" fontId="16" fillId="3" borderId="11" xfId="0" applyFont="1" applyFill="1" applyBorder="1" applyAlignment="1">
      <alignment vertical="center" wrapText="1"/>
    </xf>
    <xf numFmtId="1" fontId="12" fillId="0" borderId="31" xfId="0" applyNumberFormat="1" applyFont="1" applyBorder="1" applyAlignment="1">
      <alignment horizontal="left" vertical="center"/>
    </xf>
    <xf numFmtId="0" fontId="45" fillId="0" borderId="37" xfId="0" applyFont="1" applyBorder="1" applyAlignment="1">
      <alignment horizontal="left" vertical="center"/>
    </xf>
    <xf numFmtId="0" fontId="16" fillId="3" borderId="11" xfId="0" applyFont="1" applyFill="1" applyBorder="1" applyAlignment="1">
      <alignment horizontal="left" vertical="center" wrapText="1"/>
    </xf>
    <xf numFmtId="0" fontId="16" fillId="3" borderId="4" xfId="0" applyFont="1" applyFill="1" applyBorder="1" applyAlignment="1">
      <alignment horizontal="left" vertical="center" wrapText="1"/>
    </xf>
    <xf numFmtId="0" fontId="9" fillId="0" borderId="4" xfId="0" applyFont="1" applyBorder="1" applyAlignment="1">
      <alignment horizontal="left" vertical="top"/>
    </xf>
    <xf numFmtId="0" fontId="10" fillId="3" borderId="13" xfId="0" applyFont="1" applyFill="1" applyBorder="1" applyAlignment="1">
      <alignment vertical="center" wrapText="1"/>
    </xf>
    <xf numFmtId="0" fontId="8" fillId="0" borderId="14" xfId="0" applyFont="1" applyBorder="1"/>
    <xf numFmtId="49" fontId="17" fillId="0" borderId="0" xfId="0" applyNumberFormat="1" applyFont="1" applyAlignment="1">
      <alignment horizontal="right"/>
    </xf>
    <xf numFmtId="49" fontId="0" fillId="0" borderId="0" xfId="0" applyNumberFormat="1"/>
    <xf numFmtId="0" fontId="33" fillId="16" borderId="4" xfId="0" applyFont="1" applyFill="1" applyBorder="1" applyAlignment="1">
      <alignment horizontal="center" vertical="center" wrapText="1"/>
    </xf>
    <xf numFmtId="0" fontId="16" fillId="3" borderId="4" xfId="0" applyFont="1" applyFill="1" applyBorder="1" applyAlignment="1">
      <alignment vertical="center" wrapText="1"/>
    </xf>
    <xf numFmtId="0" fontId="11" fillId="2" borderId="2" xfId="0" applyFont="1" applyFill="1" applyBorder="1"/>
    <xf numFmtId="0" fontId="4" fillId="0" borderId="4" xfId="0" applyFont="1" applyBorder="1" applyAlignment="1">
      <alignment horizontal="center"/>
    </xf>
    <xf numFmtId="168" fontId="28" fillId="0" borderId="4" xfId="0" applyNumberFormat="1" applyFont="1" applyBorder="1" applyAlignment="1">
      <alignment horizontal="center"/>
    </xf>
    <xf numFmtId="168" fontId="28" fillId="0" borderId="4" xfId="0" applyNumberFormat="1" applyFont="1" applyBorder="1"/>
    <xf numFmtId="168" fontId="28" fillId="15" borderId="4" xfId="0" applyNumberFormat="1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36" fillId="0" borderId="4" xfId="0" applyFont="1" applyBorder="1" applyAlignment="1">
      <alignment horizontal="center" vertical="center"/>
    </xf>
    <xf numFmtId="9" fontId="11" fillId="19" borderId="18" xfId="2" applyNumberFormat="1" applyFont="1" applyFill="1" applyBorder="1"/>
    <xf numFmtId="9" fontId="11" fillId="0" borderId="18" xfId="2" applyNumberFormat="1" applyFont="1" applyBorder="1"/>
  </cellXfs>
  <cellStyles count="6">
    <cellStyle name="Comma" xfId="1" builtinId="3"/>
    <cellStyle name="Comma 2" xfId="4" xr:uid="{62958694-00ED-4F65-BE32-DFE1ECEF8FF0}"/>
    <cellStyle name="Normal" xfId="0" builtinId="0"/>
    <cellStyle name="Normal 2" xfId="3" xr:uid="{0C14766E-657F-4107-83F9-27D66C629C64}"/>
    <cellStyle name="Percent" xfId="2" builtinId="5"/>
    <cellStyle name="Percent 2" xfId="5" xr:uid="{E2182378-4D73-43E5-9F8C-3A95C2C841E4}"/>
  </cellStyles>
  <dxfs count="87"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35" formatCode="_(* #,##0.00_);_(* \(#,##0.00\);_(* &quot;-&quot;??_);_(@_)"/>
      <alignment horizontal="right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alignment horizontal="right" vertical="center" textRotation="0" indent="0" justifyLastLine="0" shrinkToFit="0" readingOrder="0"/>
    </dxf>
    <dxf>
      <alignment horizontal="right" vertical="center" textRotation="0" indent="0" justifyLastLine="0" shrinkToFit="0" readingOrder="0"/>
    </dxf>
    <dxf>
      <alignment horizontal="right" vertical="center" textRotation="0" indent="0" justifyLastLine="0" shrinkToFit="0" readingOrder="0"/>
    </dxf>
    <dxf>
      <alignment horizontal="right" vertical="center" textRotation="0" indent="0" justifyLastLine="0" shrinkToFit="0" readingOrder="0"/>
    </dxf>
    <dxf>
      <alignment horizontal="right" vertical="center" textRotation="0" indent="0" justifyLastLine="0" shrinkToFit="0" readingOrder="0"/>
    </dxf>
    <dxf>
      <alignment horizontal="right" vertical="center" textRotation="0" indent="0" justifyLastLine="0" shrinkToFit="0" readingOrder="0"/>
    </dxf>
    <dxf>
      <alignment horizontal="right" vertical="center" textRotation="0" indent="0" justifyLastLine="0" shrinkToFit="0" readingOrder="0"/>
    </dxf>
    <dxf>
      <alignment horizontal="right" vertical="center" textRotation="0" indent="0" justifyLastLine="0" shrinkToFit="0" readingOrder="0"/>
    </dxf>
    <dxf>
      <alignment horizontal="right" vertical="center" textRotation="0" indent="0" justifyLastLine="0" shrinkToFit="0" readingOrder="0"/>
    </dxf>
    <dxf>
      <alignment horizontal="right" vertical="center" textRotation="0" indent="0" justifyLastLine="0" shrinkToFit="0" readingOrder="0"/>
    </dxf>
    <dxf>
      <alignment horizontal="right" vertical="center" textRotation="0" indent="0" justifyLastLine="0" shrinkToFit="0" readingOrder="0"/>
    </dxf>
    <dxf>
      <alignment horizontal="right" vertical="center" textRotation="0" indent="0" justifyLastLine="0" shrinkToFit="0" readingOrder="0"/>
      <border outline="0">
        <left style="thin">
          <color rgb="FFCCCCCC"/>
        </left>
      </border>
    </dxf>
    <dxf>
      <fill>
        <patternFill patternType="solid">
          <fgColor rgb="FFE2FFF6"/>
          <bgColor rgb="FFF7FCE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35" formatCode="_(* #,##0.00_);_(* \(#,##0.00\);_(* &quot;-&quot;??_);_(@_)"/>
      <alignment horizontal="right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alignment horizontal="right" vertical="center" textRotation="0" indent="0" justifyLastLine="0" shrinkToFit="0" readingOrder="0"/>
    </dxf>
    <dxf>
      <alignment horizontal="right" vertical="center" textRotation="0" indent="0" justifyLastLine="0" shrinkToFit="0" readingOrder="0"/>
    </dxf>
    <dxf>
      <alignment horizontal="right" vertical="center" textRotation="0" indent="0" justifyLastLine="0" shrinkToFit="0" readingOrder="0"/>
    </dxf>
    <dxf>
      <alignment horizontal="right" vertical="center" textRotation="0" indent="0" justifyLastLine="0" shrinkToFit="0" readingOrder="0"/>
    </dxf>
    <dxf>
      <alignment horizontal="right" vertical="center" textRotation="0" indent="0" justifyLastLine="0" shrinkToFit="0" readingOrder="0"/>
    </dxf>
    <dxf>
      <alignment horizontal="right" vertical="center" textRotation="0" indent="0" justifyLastLine="0" shrinkToFit="0" readingOrder="0"/>
    </dxf>
    <dxf>
      <alignment horizontal="right" vertical="center" textRotation="0" indent="0" justifyLastLine="0" shrinkToFit="0" readingOrder="0"/>
    </dxf>
    <dxf>
      <alignment horizontal="right" vertical="center" textRotation="0" indent="0" justifyLastLine="0" shrinkToFit="0" readingOrder="0"/>
    </dxf>
    <dxf>
      <alignment horizontal="right" vertical="center" textRotation="0" indent="0" justifyLastLine="0" shrinkToFit="0" readingOrder="0"/>
    </dxf>
    <dxf>
      <alignment horizontal="right" vertical="center" textRotation="0" indent="0" justifyLastLine="0" shrinkToFit="0" readingOrder="0"/>
    </dxf>
    <dxf>
      <alignment horizontal="right" vertical="center" textRotation="0" indent="0" justifyLastLine="0" shrinkToFit="0" readingOrder="0"/>
    </dxf>
    <dxf>
      <alignment horizontal="right" vertical="center" textRotation="0" indent="0" justifyLastLine="0" shrinkToFit="0" readingOrder="0"/>
    </dxf>
    <dxf>
      <alignment horizontal="right" vertical="center" textRotation="0" indent="0" justifyLastLine="0" shrinkToFit="0" readingOrder="0"/>
    </dxf>
    <dxf>
      <alignment horizontal="right" vertical="center" textRotation="0" indent="0" justifyLastLine="0" shrinkToFit="0" readingOrder="0"/>
    </dxf>
    <dxf>
      <alignment horizontal="right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35" formatCode="_(* #,##0.00_);_(* \(#,##0.00\);_(* &quot;-&quot;??_);_(@_)"/>
      <alignment horizontal="right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alignment horizontal="right" vertical="center" textRotation="0" indent="0" justifyLastLine="0" shrinkToFit="0" readingOrder="0"/>
    </dxf>
    <dxf>
      <alignment horizontal="right" vertical="center" textRotation="0" indent="0" justifyLastLine="0" shrinkToFit="0" readingOrder="0"/>
    </dxf>
    <dxf>
      <alignment horizontal="right" vertical="center" textRotation="0" indent="0" justifyLastLine="0" shrinkToFit="0" readingOrder="0"/>
    </dxf>
    <dxf>
      <alignment horizontal="right" vertical="center" textRotation="0" indent="0" justifyLastLine="0" shrinkToFit="0" readingOrder="0"/>
    </dxf>
    <dxf>
      <alignment horizontal="right" vertical="center" textRotation="0" indent="0" justifyLastLine="0" shrinkToFit="0" readingOrder="0"/>
    </dxf>
    <dxf>
      <alignment horizontal="right" vertical="center" textRotation="0" indent="0" justifyLastLine="0" shrinkToFit="0" readingOrder="0"/>
    </dxf>
    <dxf>
      <alignment horizontal="right" vertical="center" textRotation="0" indent="0" justifyLastLine="0" shrinkToFit="0" readingOrder="0"/>
    </dxf>
    <dxf>
      <alignment horizontal="right" vertical="center" textRotation="0" indent="0" justifyLastLine="0" shrinkToFit="0" readingOrder="0"/>
    </dxf>
    <dxf>
      <alignment horizontal="right" vertical="center" textRotation="0" indent="0" justifyLastLine="0" shrinkToFit="0" readingOrder="0"/>
    </dxf>
    <dxf>
      <alignment horizontal="right" vertical="center" textRotation="0" indent="0" justifyLastLine="0" shrinkToFit="0" readingOrder="0"/>
    </dxf>
    <dxf>
      <alignment horizontal="right" vertical="center" textRotation="0" indent="0" justifyLastLine="0" shrinkToFit="0" readingOrder="0"/>
    </dxf>
    <dxf>
      <alignment horizontal="right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35" formatCode="_(* #,##0.00_);_(* \(#,##0.00\);_(* &quot;-&quot;??_);_(@_)"/>
      <alignment horizontal="left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numFmt numFmtId="167" formatCode="_(* #,##0_);_(* \(#,##0\);_(* &quot;-&quot;??_);_(@_)"/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B5394"/>
          <bgColor rgb="FF0B5394"/>
        </patternFill>
      </fill>
    </dxf>
    <dxf>
      <fill>
        <patternFill patternType="solid">
          <fgColor rgb="FFEAFCFF"/>
          <bgColor rgb="FFEAFC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2FFF6"/>
          <bgColor rgb="FFE2FFF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8FBFE"/>
          <bgColor rgb="FFE8FB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theme="9"/>
          <bgColor theme="9"/>
        </patternFill>
      </fill>
    </dxf>
  </dxfs>
  <tableStyles count="5">
    <tableStyle name="Team-style" pivot="0" count="3" xr9:uid="{00000000-0011-0000-FFFF-FFFF00000000}">
      <tableStyleElement type="headerRow" dxfId="86"/>
      <tableStyleElement type="firstRowStripe" dxfId="85"/>
      <tableStyleElement type="secondRowStripe" dxfId="84"/>
    </tableStyle>
    <tableStyle name="Sheet 2 week 1-style" pivot="0" count="2" xr9:uid="{00000000-0011-0000-FFFF-FFFF01000000}">
      <tableStyleElement type="firstRowStripe" dxfId="83"/>
      <tableStyleElement type="secondRowStripe" dxfId="82"/>
    </tableStyle>
    <tableStyle name="Sheet 2 week 1-style 2" pivot="0" count="2" xr9:uid="{00000000-0011-0000-FFFF-FFFF02000000}">
      <tableStyleElement type="firstRowStripe" dxfId="81"/>
      <tableStyleElement type="secondRowStripe" dxfId="80"/>
    </tableStyle>
    <tableStyle name="Sheet 2 week 1-style 3" pivot="0" count="2" xr9:uid="{00000000-0011-0000-FFFF-FFFF03000000}">
      <tableStyleElement type="firstRowStripe" dxfId="79"/>
      <tableStyleElement type="secondRowStripe" dxfId="78"/>
    </tableStyle>
    <tableStyle name="Dataset week 2-style" pivot="0" count="3" xr9:uid="{00000000-0011-0000-FFFF-FFFF04000000}">
      <tableStyleElement type="headerRow" dxfId="77"/>
      <tableStyleElement type="firstRowStripe" dxfId="76"/>
      <tableStyleElement type="secondRowStripe" dxfId="75"/>
    </tableStyle>
  </tableStyles>
  <colors>
    <mruColors>
      <color rgb="FFFFFF3F"/>
      <color rgb="FFFFFF69"/>
      <color rgb="FFFFFF8B"/>
      <color rgb="FFFFFFAB"/>
      <color rgb="FFE3E971"/>
      <color rgb="FFE6AF00"/>
      <color rgb="FF1B7B70"/>
      <color rgb="FF135951"/>
      <color rgb="FFF7FCE8"/>
      <color rgb="FFBDF5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>
                <a:effectLst/>
              </a:rPr>
              <a:t>Total Orders Value </a:t>
            </a:r>
            <a:r>
              <a:rPr lang="en-US" sz="1800" b="1" i="0" u="none" strike="noStrike" baseline="0"/>
              <a:t> 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Chart!$A$4</c:f>
              <c:strCache>
                <c:ptCount val="1"/>
                <c:pt idx="0">
                  <c:v>Fair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Chart!$B$3:$M$3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Chart!$B$4:$M$4</c:f>
              <c:numCache>
                <c:formatCode>0%</c:formatCode>
                <c:ptCount val="12"/>
                <c:pt idx="0">
                  <c:v>0.7</c:v>
                </c:pt>
                <c:pt idx="1">
                  <c:v>0.7</c:v>
                </c:pt>
                <c:pt idx="2">
                  <c:v>0.7</c:v>
                </c:pt>
                <c:pt idx="3">
                  <c:v>0.7</c:v>
                </c:pt>
                <c:pt idx="4">
                  <c:v>0.7</c:v>
                </c:pt>
                <c:pt idx="5">
                  <c:v>0.7</c:v>
                </c:pt>
                <c:pt idx="6">
                  <c:v>0.7</c:v>
                </c:pt>
                <c:pt idx="7">
                  <c:v>0.7</c:v>
                </c:pt>
                <c:pt idx="8">
                  <c:v>0.7</c:v>
                </c:pt>
                <c:pt idx="9">
                  <c:v>0.7</c:v>
                </c:pt>
                <c:pt idx="10">
                  <c:v>0.7</c:v>
                </c:pt>
                <c:pt idx="11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19-44EB-9E06-83B80923CDF6}"/>
            </c:ext>
          </c:extLst>
        </c:ser>
        <c:ser>
          <c:idx val="1"/>
          <c:order val="1"/>
          <c:tx>
            <c:strRef>
              <c:f>Chart!$A$5</c:f>
              <c:strCache>
                <c:ptCount val="1"/>
                <c:pt idx="0">
                  <c:v>Good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Chart!$B$3:$M$3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Chart!$B$5:$M$5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19-44EB-9E06-83B80923CDF6}"/>
            </c:ext>
          </c:extLst>
        </c:ser>
        <c:ser>
          <c:idx val="2"/>
          <c:order val="2"/>
          <c:tx>
            <c:strRef>
              <c:f>Chart!$A$6</c:f>
              <c:strCache>
                <c:ptCount val="1"/>
                <c:pt idx="0">
                  <c:v>Great</c:v>
                </c:pt>
              </c:strCache>
            </c:strRef>
          </c:tx>
          <c:spPr>
            <a:solidFill>
              <a:srgbClr val="E3E971"/>
            </a:solidFill>
            <a:ln>
              <a:noFill/>
            </a:ln>
            <a:effectLst/>
          </c:spPr>
          <c:invertIfNegative val="0"/>
          <c:cat>
            <c:strRef>
              <c:f>Chart!$B$3:$M$3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Chart!$B$6:$M$6</c:f>
              <c:numCache>
                <c:formatCode>0%</c:formatCode>
                <c:ptCount val="12"/>
                <c:pt idx="0">
                  <c:v>3.5</c:v>
                </c:pt>
                <c:pt idx="1">
                  <c:v>3.5</c:v>
                </c:pt>
                <c:pt idx="2">
                  <c:v>3.5</c:v>
                </c:pt>
                <c:pt idx="3">
                  <c:v>3.5</c:v>
                </c:pt>
                <c:pt idx="4">
                  <c:v>3.5</c:v>
                </c:pt>
                <c:pt idx="5">
                  <c:v>3.5</c:v>
                </c:pt>
                <c:pt idx="6">
                  <c:v>3.5</c:v>
                </c:pt>
                <c:pt idx="7">
                  <c:v>3.5</c:v>
                </c:pt>
                <c:pt idx="8">
                  <c:v>3.5</c:v>
                </c:pt>
                <c:pt idx="9">
                  <c:v>3.5</c:v>
                </c:pt>
                <c:pt idx="10">
                  <c:v>3.5</c:v>
                </c:pt>
                <c:pt idx="11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19-44EB-9E06-83B80923CDF6}"/>
            </c:ext>
          </c:extLst>
        </c:ser>
        <c:ser>
          <c:idx val="3"/>
          <c:order val="3"/>
          <c:tx>
            <c:strRef>
              <c:f>Chart!$A$7</c:f>
              <c:strCache>
                <c:ptCount val="1"/>
                <c:pt idx="0">
                  <c:v>Excellent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Chart!$B$3:$M$3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Chart!$B$7:$M$7</c:f>
              <c:numCache>
                <c:formatCode>0%</c:formatCode>
                <c:ptCount val="12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419-44EB-9E06-83B80923CD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65101368"/>
        <c:axId val="365104112"/>
      </c:barChart>
      <c:barChart>
        <c:barDir val="col"/>
        <c:grouping val="stacked"/>
        <c:varyColors val="0"/>
        <c:ser>
          <c:idx val="4"/>
          <c:order val="4"/>
          <c:tx>
            <c:strRef>
              <c:f>Chart!$A$8</c:f>
              <c:strCache>
                <c:ptCount val="1"/>
                <c:pt idx="0">
                  <c:v>YTD achievement %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Chart!$B$3:$M$3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Chart!$B$8:$M$8</c:f>
              <c:numCache>
                <c:formatCode>0%</c:formatCode>
                <c:ptCount val="12"/>
                <c:pt idx="0">
                  <c:v>4.5546384</c:v>
                </c:pt>
                <c:pt idx="1">
                  <c:v>4.3893390000000005</c:v>
                </c:pt>
                <c:pt idx="2">
                  <c:v>7.5705162000000001</c:v>
                </c:pt>
                <c:pt idx="3">
                  <c:v>7.7055985500000004</c:v>
                </c:pt>
                <c:pt idx="4">
                  <c:v>8.0056460400000002</c:v>
                </c:pt>
                <c:pt idx="5">
                  <c:v>8.6720761</c:v>
                </c:pt>
                <c:pt idx="6">
                  <c:v>7.9119280285714293</c:v>
                </c:pt>
                <c:pt idx="7">
                  <c:v>8.1180660000000007</c:v>
                </c:pt>
                <c:pt idx="8">
                  <c:v>8.1459954666666654</c:v>
                </c:pt>
                <c:pt idx="9">
                  <c:v>7.797659519999999</c:v>
                </c:pt>
                <c:pt idx="10">
                  <c:v>7.2905481818181812</c:v>
                </c:pt>
                <c:pt idx="11">
                  <c:v>7.5790550499999991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419-44EB-9E06-83B80923CD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100"/>
        <c:axId val="365103328"/>
        <c:axId val="365108816"/>
      </c:barChart>
      <c:lineChart>
        <c:grouping val="stacked"/>
        <c:varyColors val="0"/>
        <c:ser>
          <c:idx val="5"/>
          <c:order val="5"/>
          <c:tx>
            <c:strRef>
              <c:f>Chart!$A$9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ash"/>
            <c:size val="12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dPt>
            <c:idx val="1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6-1419-44EB-9E06-83B80923CDF6}"/>
              </c:ext>
            </c:extLst>
          </c:dPt>
          <c:dPt>
            <c:idx val="2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8-1419-44EB-9E06-83B80923CDF6}"/>
              </c:ext>
            </c:extLst>
          </c:dPt>
          <c:cat>
            <c:strRef>
              <c:f>Chart!$B$3:$M$3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Chart!$B$9:$M$9</c:f>
              <c:numCache>
                <c:formatCode>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419-44EB-9E06-83B80923CD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5103328"/>
        <c:axId val="365108816"/>
      </c:lineChart>
      <c:catAx>
        <c:axId val="365101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104112"/>
        <c:crosses val="autoZero"/>
        <c:auto val="1"/>
        <c:lblAlgn val="ctr"/>
        <c:lblOffset val="100"/>
        <c:noMultiLvlLbl val="0"/>
      </c:catAx>
      <c:valAx>
        <c:axId val="365104112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101368"/>
        <c:crosses val="autoZero"/>
        <c:crossBetween val="between"/>
      </c:valAx>
      <c:catAx>
        <c:axId val="3651033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65108816"/>
        <c:crosses val="autoZero"/>
        <c:auto val="1"/>
        <c:lblAlgn val="ctr"/>
        <c:lblOffset val="100"/>
        <c:noMultiLvlLbl val="0"/>
      </c:catAx>
      <c:valAx>
        <c:axId val="365108816"/>
        <c:scaling>
          <c:orientation val="minMax"/>
        </c:scaling>
        <c:delete val="1"/>
        <c:axPos val="r"/>
        <c:majorGridlines>
          <c:spPr>
            <a:ln>
              <a:solidFill>
                <a:schemeClr val="accent6">
                  <a:alpha val="22000"/>
                </a:schemeClr>
              </a:solidFill>
            </a:ln>
          </c:spPr>
        </c:majorGridlines>
        <c:numFmt formatCode="0%" sourceLinked="1"/>
        <c:majorTickMark val="out"/>
        <c:minorTickMark val="none"/>
        <c:tickLblPos val="nextTo"/>
        <c:crossAx val="365103328"/>
        <c:crosses val="max"/>
        <c:crossBetween val="between"/>
      </c:valAx>
      <c:spPr>
        <a:noFill/>
        <a:ln w="25400">
          <a:noFill/>
        </a:ln>
      </c:spPr>
    </c:plotArea>
    <c:legend>
      <c:legendPos val="r"/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>
                <a:effectLst/>
              </a:rPr>
              <a:t>Team total orders value achieved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Chart!$A$15</c:f>
              <c:strCache>
                <c:ptCount val="1"/>
                <c:pt idx="0">
                  <c:v>Fair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Chart!$B$3:$M$3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Chart!$B$15:$M$15</c:f>
              <c:numCache>
                <c:formatCode>0%</c:formatCode>
                <c:ptCount val="12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CB-4FF2-BA57-B0260D76818B}"/>
            </c:ext>
          </c:extLst>
        </c:ser>
        <c:ser>
          <c:idx val="1"/>
          <c:order val="1"/>
          <c:tx>
            <c:strRef>
              <c:f>Chart!$A$16</c:f>
              <c:strCache>
                <c:ptCount val="1"/>
                <c:pt idx="0">
                  <c:v>Good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Chart!$B$3:$M$3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Chart!$B$16:$M$16</c:f>
              <c:numCache>
                <c:formatCode>0%</c:formatCode>
                <c:ptCount val="12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CB-4FF2-BA57-B0260D76818B}"/>
            </c:ext>
          </c:extLst>
        </c:ser>
        <c:ser>
          <c:idx val="2"/>
          <c:order val="2"/>
          <c:tx>
            <c:strRef>
              <c:f>Chart!$A$17</c:f>
              <c:strCache>
                <c:ptCount val="1"/>
                <c:pt idx="0">
                  <c:v>Great</c:v>
                </c:pt>
              </c:strCache>
            </c:strRef>
          </c:tx>
          <c:spPr>
            <a:solidFill>
              <a:srgbClr val="E3E971"/>
            </a:solidFill>
            <a:ln>
              <a:noFill/>
            </a:ln>
            <a:effectLst/>
          </c:spPr>
          <c:invertIfNegative val="0"/>
          <c:cat>
            <c:strRef>
              <c:f>Chart!$B$3:$M$3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Chart!$B$17:$M$17</c:f>
              <c:numCache>
                <c:formatCode>0%</c:formatCode>
                <c:ptCount val="12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CB-4FF2-BA57-B0260D76818B}"/>
            </c:ext>
          </c:extLst>
        </c:ser>
        <c:ser>
          <c:idx val="3"/>
          <c:order val="3"/>
          <c:tx>
            <c:strRef>
              <c:f>Chart!$A$18</c:f>
              <c:strCache>
                <c:ptCount val="1"/>
                <c:pt idx="0">
                  <c:v>Excellent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Chart!$B$3:$M$3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Chart!$B$18:$M$18</c:f>
              <c:numCache>
                <c:formatCode>0%</c:formatCode>
                <c:ptCount val="12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CCB-4FF2-BA57-B0260D7681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65101368"/>
        <c:axId val="365104112"/>
      </c:barChart>
      <c:barChart>
        <c:barDir val="col"/>
        <c:grouping val="stacked"/>
        <c:varyColors val="0"/>
        <c:ser>
          <c:idx val="4"/>
          <c:order val="4"/>
          <c:tx>
            <c:strRef>
              <c:f>Chart!$A$19</c:f>
              <c:strCache>
                <c:ptCount val="1"/>
                <c:pt idx="0">
                  <c:v>YTD achievement %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Chart!$B$3:$M$3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Chart!$B$19:$M$19</c:f>
              <c:numCache>
                <c:formatCode>0%</c:formatCode>
                <c:ptCount val="12"/>
                <c:pt idx="0">
                  <c:v>0.45546384000000001</c:v>
                </c:pt>
                <c:pt idx="1">
                  <c:v>0.43893389999999999</c:v>
                </c:pt>
                <c:pt idx="2">
                  <c:v>0.75705162000000004</c:v>
                </c:pt>
                <c:pt idx="3">
                  <c:v>0.77055985500000002</c:v>
                </c:pt>
                <c:pt idx="4">
                  <c:v>0.80056460399999996</c:v>
                </c:pt>
                <c:pt idx="5">
                  <c:v>0.86720761000000002</c:v>
                </c:pt>
                <c:pt idx="6">
                  <c:v>0.79119280285714289</c:v>
                </c:pt>
                <c:pt idx="7">
                  <c:v>0.81180660000000004</c:v>
                </c:pt>
                <c:pt idx="8">
                  <c:v>0.81459954666666667</c:v>
                </c:pt>
                <c:pt idx="9">
                  <c:v>0.7797659520000001</c:v>
                </c:pt>
                <c:pt idx="10">
                  <c:v>0.72905481818181828</c:v>
                </c:pt>
                <c:pt idx="11">
                  <c:v>0.75790550499999998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CCB-4FF2-BA57-B0260D7681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100"/>
        <c:axId val="365103328"/>
        <c:axId val="365108816"/>
      </c:barChart>
      <c:lineChart>
        <c:grouping val="stacked"/>
        <c:varyColors val="0"/>
        <c:ser>
          <c:idx val="5"/>
          <c:order val="5"/>
          <c:tx>
            <c:strRef>
              <c:f>Chart!$A$9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ash"/>
            <c:size val="12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dPt>
            <c:idx val="1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6-7CCB-4FF2-BA57-B0260D76818B}"/>
              </c:ext>
            </c:extLst>
          </c:dPt>
          <c:dPt>
            <c:idx val="2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8-7CCB-4FF2-BA57-B0260D76818B}"/>
              </c:ext>
            </c:extLst>
          </c:dPt>
          <c:cat>
            <c:strRef>
              <c:f>Chart!$B$3:$M$3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Chart!$B$9:$M$9</c:f>
              <c:numCache>
                <c:formatCode>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CCB-4FF2-BA57-B0260D7681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5103328"/>
        <c:axId val="365108816"/>
      </c:lineChart>
      <c:catAx>
        <c:axId val="365101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104112"/>
        <c:crosses val="autoZero"/>
        <c:auto val="1"/>
        <c:lblAlgn val="ctr"/>
        <c:lblOffset val="100"/>
        <c:noMultiLvlLbl val="0"/>
      </c:catAx>
      <c:valAx>
        <c:axId val="365104112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101368"/>
        <c:crosses val="autoZero"/>
        <c:crossBetween val="between"/>
      </c:valAx>
      <c:catAx>
        <c:axId val="3651033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65108816"/>
        <c:crosses val="autoZero"/>
        <c:auto val="1"/>
        <c:lblAlgn val="ctr"/>
        <c:lblOffset val="100"/>
        <c:noMultiLvlLbl val="0"/>
      </c:catAx>
      <c:valAx>
        <c:axId val="365108816"/>
        <c:scaling>
          <c:orientation val="minMax"/>
        </c:scaling>
        <c:delete val="1"/>
        <c:axPos val="r"/>
        <c:majorGridlines>
          <c:spPr>
            <a:ln>
              <a:solidFill>
                <a:schemeClr val="accent6">
                  <a:alpha val="22000"/>
                </a:schemeClr>
              </a:solidFill>
            </a:ln>
          </c:spPr>
        </c:majorGridlines>
        <c:numFmt formatCode="0%" sourceLinked="1"/>
        <c:majorTickMark val="out"/>
        <c:minorTickMark val="none"/>
        <c:tickLblPos val="nextTo"/>
        <c:crossAx val="365103328"/>
        <c:crosses val="max"/>
        <c:crossBetween val="between"/>
      </c:valAx>
      <c:spPr>
        <a:noFill/>
        <a:ln w="25400">
          <a:noFill/>
        </a:ln>
      </c:spPr>
    </c:plotArea>
    <c:legend>
      <c:legendPos val="r"/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>
                <a:effectLst/>
              </a:rPr>
              <a:t>Orders from Top Customers</a:t>
            </a:r>
            <a:endParaRPr lang="en-US"/>
          </a:p>
        </c:rich>
      </c:tx>
      <c:layout>
        <c:manualLayout>
          <c:xMode val="edge"/>
          <c:yMode val="edge"/>
          <c:x val="0.38114886305517953"/>
          <c:y val="4.4285450764865529E-2"/>
        </c:manualLayout>
      </c:layout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Chart!$A$4</c:f>
              <c:strCache>
                <c:ptCount val="1"/>
                <c:pt idx="0">
                  <c:v>Fair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Chart!$B$3:$M$3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Chart!$B$4:$M$4</c:f>
              <c:numCache>
                <c:formatCode>0%</c:formatCode>
                <c:ptCount val="12"/>
                <c:pt idx="0">
                  <c:v>0.7</c:v>
                </c:pt>
                <c:pt idx="1">
                  <c:v>0.7</c:v>
                </c:pt>
                <c:pt idx="2">
                  <c:v>0.7</c:v>
                </c:pt>
                <c:pt idx="3">
                  <c:v>0.7</c:v>
                </c:pt>
                <c:pt idx="4">
                  <c:v>0.7</c:v>
                </c:pt>
                <c:pt idx="5">
                  <c:v>0.7</c:v>
                </c:pt>
                <c:pt idx="6">
                  <c:v>0.7</c:v>
                </c:pt>
                <c:pt idx="7">
                  <c:v>0.7</c:v>
                </c:pt>
                <c:pt idx="8">
                  <c:v>0.7</c:v>
                </c:pt>
                <c:pt idx="9">
                  <c:v>0.7</c:v>
                </c:pt>
                <c:pt idx="10">
                  <c:v>0.7</c:v>
                </c:pt>
                <c:pt idx="11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8B-4662-BBA8-93943AA5E728}"/>
            </c:ext>
          </c:extLst>
        </c:ser>
        <c:ser>
          <c:idx val="1"/>
          <c:order val="1"/>
          <c:tx>
            <c:strRef>
              <c:f>Chart!$A$5</c:f>
              <c:strCache>
                <c:ptCount val="1"/>
                <c:pt idx="0">
                  <c:v>Good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Chart!$B$3:$M$3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Chart!$B$5:$M$5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8B-4662-BBA8-93943AA5E728}"/>
            </c:ext>
          </c:extLst>
        </c:ser>
        <c:ser>
          <c:idx val="2"/>
          <c:order val="2"/>
          <c:tx>
            <c:strRef>
              <c:f>Chart!$A$6</c:f>
              <c:strCache>
                <c:ptCount val="1"/>
                <c:pt idx="0">
                  <c:v>Great</c:v>
                </c:pt>
              </c:strCache>
            </c:strRef>
          </c:tx>
          <c:spPr>
            <a:solidFill>
              <a:srgbClr val="E3E971"/>
            </a:solidFill>
            <a:ln>
              <a:noFill/>
            </a:ln>
            <a:effectLst/>
          </c:spPr>
          <c:invertIfNegative val="0"/>
          <c:cat>
            <c:strRef>
              <c:f>Chart!$B$3:$M$3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Chart!$B$6:$M$6</c:f>
              <c:numCache>
                <c:formatCode>0%</c:formatCode>
                <c:ptCount val="12"/>
                <c:pt idx="0">
                  <c:v>3.5</c:v>
                </c:pt>
                <c:pt idx="1">
                  <c:v>3.5</c:v>
                </c:pt>
                <c:pt idx="2">
                  <c:v>3.5</c:v>
                </c:pt>
                <c:pt idx="3">
                  <c:v>3.5</c:v>
                </c:pt>
                <c:pt idx="4">
                  <c:v>3.5</c:v>
                </c:pt>
                <c:pt idx="5">
                  <c:v>3.5</c:v>
                </c:pt>
                <c:pt idx="6">
                  <c:v>3.5</c:v>
                </c:pt>
                <c:pt idx="7">
                  <c:v>3.5</c:v>
                </c:pt>
                <c:pt idx="8">
                  <c:v>3.5</c:v>
                </c:pt>
                <c:pt idx="9">
                  <c:v>3.5</c:v>
                </c:pt>
                <c:pt idx="10">
                  <c:v>3.5</c:v>
                </c:pt>
                <c:pt idx="11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8B-4662-BBA8-93943AA5E728}"/>
            </c:ext>
          </c:extLst>
        </c:ser>
        <c:ser>
          <c:idx val="3"/>
          <c:order val="3"/>
          <c:tx>
            <c:strRef>
              <c:f>Chart!$A$7</c:f>
              <c:strCache>
                <c:ptCount val="1"/>
                <c:pt idx="0">
                  <c:v>Excellent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Chart!$B$3:$M$3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Chart!$B$7:$M$7</c:f>
              <c:numCache>
                <c:formatCode>0%</c:formatCode>
                <c:ptCount val="12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A8B-4662-BBA8-93943AA5E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65101368"/>
        <c:axId val="365104112"/>
      </c:barChart>
      <c:barChart>
        <c:barDir val="col"/>
        <c:grouping val="stacked"/>
        <c:varyColors val="0"/>
        <c:ser>
          <c:idx val="4"/>
          <c:order val="4"/>
          <c:tx>
            <c:strRef>
              <c:f>Chart!$A$30</c:f>
              <c:strCache>
                <c:ptCount val="1"/>
                <c:pt idx="0">
                  <c:v>YTD achievement %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Chart!$B$3:$M$3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Chart!$B$30:$M$30</c:f>
              <c:numCache>
                <c:formatCode>0%</c:formatCode>
                <c:ptCount val="12"/>
                <c:pt idx="0">
                  <c:v>0</c:v>
                </c:pt>
                <c:pt idx="1">
                  <c:v>3.6</c:v>
                </c:pt>
                <c:pt idx="2">
                  <c:v>2.4</c:v>
                </c:pt>
                <c:pt idx="3">
                  <c:v>1.8</c:v>
                </c:pt>
                <c:pt idx="4">
                  <c:v>6.7252881600000007</c:v>
                </c:pt>
                <c:pt idx="5">
                  <c:v>5.6044068000000005</c:v>
                </c:pt>
                <c:pt idx="6">
                  <c:v>6.5180629714285718</c:v>
                </c:pt>
                <c:pt idx="7">
                  <c:v>5.7033051000000006</c:v>
                </c:pt>
                <c:pt idx="8">
                  <c:v>5.0696045333333331</c:v>
                </c:pt>
                <c:pt idx="9">
                  <c:v>6.2426440799999998</c:v>
                </c:pt>
                <c:pt idx="10">
                  <c:v>5.6751309818181817</c:v>
                </c:pt>
                <c:pt idx="11">
                  <c:v>8.6022033999999987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A8B-4662-BBA8-93943AA5E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100"/>
        <c:axId val="365103328"/>
        <c:axId val="365108816"/>
      </c:barChart>
      <c:lineChart>
        <c:grouping val="stacked"/>
        <c:varyColors val="0"/>
        <c:ser>
          <c:idx val="5"/>
          <c:order val="5"/>
          <c:tx>
            <c:strRef>
              <c:f>Chart!$A$9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ash"/>
            <c:size val="12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dPt>
            <c:idx val="1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6-7A8B-4662-BBA8-93943AA5E728}"/>
              </c:ext>
            </c:extLst>
          </c:dPt>
          <c:dPt>
            <c:idx val="2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8-7A8B-4662-BBA8-93943AA5E728}"/>
              </c:ext>
            </c:extLst>
          </c:dPt>
          <c:cat>
            <c:strRef>
              <c:f>Chart!$B$3:$M$3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Chart!$B$9:$M$9</c:f>
              <c:numCache>
                <c:formatCode>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A8B-4662-BBA8-93943AA5E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5103328"/>
        <c:axId val="365108816"/>
      </c:lineChart>
      <c:catAx>
        <c:axId val="365101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104112"/>
        <c:crosses val="autoZero"/>
        <c:auto val="1"/>
        <c:lblAlgn val="ctr"/>
        <c:lblOffset val="100"/>
        <c:noMultiLvlLbl val="0"/>
      </c:catAx>
      <c:valAx>
        <c:axId val="365104112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101368"/>
        <c:crosses val="autoZero"/>
        <c:crossBetween val="between"/>
      </c:valAx>
      <c:catAx>
        <c:axId val="3651033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65108816"/>
        <c:crosses val="autoZero"/>
        <c:auto val="1"/>
        <c:lblAlgn val="ctr"/>
        <c:lblOffset val="100"/>
        <c:noMultiLvlLbl val="0"/>
      </c:catAx>
      <c:valAx>
        <c:axId val="365108816"/>
        <c:scaling>
          <c:orientation val="minMax"/>
        </c:scaling>
        <c:delete val="1"/>
        <c:axPos val="r"/>
        <c:majorGridlines>
          <c:spPr>
            <a:ln>
              <a:solidFill>
                <a:schemeClr val="accent6">
                  <a:alpha val="22000"/>
                </a:schemeClr>
              </a:solidFill>
            </a:ln>
          </c:spPr>
        </c:majorGridlines>
        <c:numFmt formatCode="0%" sourceLinked="1"/>
        <c:majorTickMark val="out"/>
        <c:minorTickMark val="none"/>
        <c:tickLblPos val="nextTo"/>
        <c:crossAx val="365103328"/>
        <c:crosses val="max"/>
        <c:crossBetween val="between"/>
      </c:valAx>
      <c:spPr>
        <a:noFill/>
        <a:ln w="25400">
          <a:noFill/>
        </a:ln>
      </c:spPr>
    </c:plotArea>
    <c:legend>
      <c:legendPos val="r"/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>
                <a:effectLst/>
              </a:rPr>
              <a:t>Orders from New Customers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Chart!$A$38</c:f>
              <c:strCache>
                <c:ptCount val="1"/>
                <c:pt idx="0">
                  <c:v>Fair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Chart!$B$3:$M$3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Chart!$B$38:$M$38</c:f>
              <c:numCache>
                <c:formatCode>0%</c:formatCode>
                <c:ptCount val="12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67-4487-B70C-20804FEE0E12}"/>
            </c:ext>
          </c:extLst>
        </c:ser>
        <c:ser>
          <c:idx val="1"/>
          <c:order val="1"/>
          <c:tx>
            <c:strRef>
              <c:f>Chart!$A$39</c:f>
              <c:strCache>
                <c:ptCount val="1"/>
                <c:pt idx="0">
                  <c:v>Good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Chart!$B$3:$M$3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Chart!$B$39:$M$39</c:f>
              <c:numCache>
                <c:formatCode>0%</c:formatCode>
                <c:ptCount val="12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67-4487-B70C-20804FEE0E12}"/>
            </c:ext>
          </c:extLst>
        </c:ser>
        <c:ser>
          <c:idx val="2"/>
          <c:order val="2"/>
          <c:tx>
            <c:strRef>
              <c:f>Chart!$A$40</c:f>
              <c:strCache>
                <c:ptCount val="1"/>
                <c:pt idx="0">
                  <c:v>Great</c:v>
                </c:pt>
              </c:strCache>
            </c:strRef>
          </c:tx>
          <c:spPr>
            <a:solidFill>
              <a:srgbClr val="E3E971"/>
            </a:solidFill>
            <a:ln>
              <a:noFill/>
            </a:ln>
            <a:effectLst/>
          </c:spPr>
          <c:invertIfNegative val="0"/>
          <c:cat>
            <c:strRef>
              <c:f>Chart!$B$3:$M$3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Chart!$B$40:$M$40</c:f>
              <c:numCache>
                <c:formatCode>0%</c:formatCode>
                <c:ptCount val="12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67-4487-B70C-20804FEE0E12}"/>
            </c:ext>
          </c:extLst>
        </c:ser>
        <c:ser>
          <c:idx val="3"/>
          <c:order val="3"/>
          <c:tx>
            <c:strRef>
              <c:f>Chart!$A$41</c:f>
              <c:strCache>
                <c:ptCount val="1"/>
                <c:pt idx="0">
                  <c:v>Excellent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Chart!$B$3:$M$3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Chart!$B$41:$M$41</c:f>
              <c:numCache>
                <c:formatCode>0%</c:formatCode>
                <c:ptCount val="12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F67-4487-B70C-20804FEE0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65101368"/>
        <c:axId val="365104112"/>
      </c:barChart>
      <c:barChart>
        <c:barDir val="col"/>
        <c:grouping val="stacked"/>
        <c:varyColors val="0"/>
        <c:ser>
          <c:idx val="4"/>
          <c:order val="4"/>
          <c:tx>
            <c:strRef>
              <c:f>Chart!$A$42</c:f>
              <c:strCache>
                <c:ptCount val="1"/>
                <c:pt idx="0">
                  <c:v>YTD achievement %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Chart!$B$3:$M$3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Chart!$B$42:$M$42</c:f>
              <c:numCache>
                <c:formatCode>0%</c:formatCode>
                <c:ptCount val="12"/>
                <c:pt idx="0">
                  <c:v>3.5043299999999999</c:v>
                </c:pt>
                <c:pt idx="1">
                  <c:v>13.773284999999998</c:v>
                </c:pt>
                <c:pt idx="2">
                  <c:v>21.591081999999997</c:v>
                </c:pt>
                <c:pt idx="3">
                  <c:v>22.9569075</c:v>
                </c:pt>
                <c:pt idx="4">
                  <c:v>23.431959599999999</c:v>
                </c:pt>
                <c:pt idx="5">
                  <c:v>20.514662999999999</c:v>
                </c:pt>
                <c:pt idx="6">
                  <c:v>18.081182571428567</c:v>
                </c:pt>
                <c:pt idx="7">
                  <c:v>16.499801999999995</c:v>
                </c:pt>
                <c:pt idx="8">
                  <c:v>14.895167333333331</c:v>
                </c:pt>
                <c:pt idx="9">
                  <c:v>13.702080599999999</c:v>
                </c:pt>
                <c:pt idx="10">
                  <c:v>12.836096727272725</c:v>
                </c:pt>
                <c:pt idx="11">
                  <c:v>12.218440999999999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F67-4487-B70C-20804FEE0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100"/>
        <c:axId val="365103328"/>
        <c:axId val="365108816"/>
      </c:barChart>
      <c:lineChart>
        <c:grouping val="stacked"/>
        <c:varyColors val="0"/>
        <c:ser>
          <c:idx val="5"/>
          <c:order val="5"/>
          <c:tx>
            <c:strRef>
              <c:f>Chart!$A$43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ash"/>
            <c:size val="12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dPt>
            <c:idx val="1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6-5F67-4487-B70C-20804FEE0E12}"/>
              </c:ext>
            </c:extLst>
          </c:dPt>
          <c:dPt>
            <c:idx val="2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8-5F67-4487-B70C-20804FEE0E12}"/>
              </c:ext>
            </c:extLst>
          </c:dPt>
          <c:cat>
            <c:strRef>
              <c:f>Chart!$B$3:$M$3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Chart!$B$43:$M$43</c:f>
              <c:numCache>
                <c:formatCode>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F67-4487-B70C-20804FEE0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5103328"/>
        <c:axId val="365108816"/>
      </c:lineChart>
      <c:catAx>
        <c:axId val="365101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104112"/>
        <c:crosses val="autoZero"/>
        <c:auto val="1"/>
        <c:lblAlgn val="ctr"/>
        <c:lblOffset val="100"/>
        <c:noMultiLvlLbl val="0"/>
      </c:catAx>
      <c:valAx>
        <c:axId val="365104112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101368"/>
        <c:crosses val="autoZero"/>
        <c:crossBetween val="between"/>
      </c:valAx>
      <c:catAx>
        <c:axId val="3651033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65108816"/>
        <c:crosses val="autoZero"/>
        <c:auto val="1"/>
        <c:lblAlgn val="ctr"/>
        <c:lblOffset val="100"/>
        <c:noMultiLvlLbl val="0"/>
      </c:catAx>
      <c:valAx>
        <c:axId val="365108816"/>
        <c:scaling>
          <c:orientation val="minMax"/>
        </c:scaling>
        <c:delete val="1"/>
        <c:axPos val="r"/>
        <c:majorGridlines>
          <c:spPr>
            <a:ln>
              <a:solidFill>
                <a:schemeClr val="accent6">
                  <a:alpha val="22000"/>
                </a:schemeClr>
              </a:solidFill>
            </a:ln>
          </c:spPr>
        </c:majorGridlines>
        <c:numFmt formatCode="0%" sourceLinked="1"/>
        <c:majorTickMark val="out"/>
        <c:minorTickMark val="none"/>
        <c:tickLblPos val="nextTo"/>
        <c:crossAx val="365103328"/>
        <c:crosses val="max"/>
        <c:crossBetween val="between"/>
      </c:valAx>
      <c:spPr>
        <a:noFill/>
        <a:ln w="25400">
          <a:noFill/>
        </a:ln>
      </c:spPr>
    </c:plotArea>
    <c:legend>
      <c:legendPos val="r"/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>
                <a:effectLst/>
              </a:rPr>
              <a:t>Total Orders Value </a:t>
            </a:r>
            <a:r>
              <a:rPr lang="en-US" sz="1800" b="1" i="0" u="none" strike="noStrike" baseline="0"/>
              <a:t> 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Chart!$A$4</c:f>
              <c:strCache>
                <c:ptCount val="1"/>
                <c:pt idx="0">
                  <c:v>Fair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Chart!$B$3:$M$3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Chart!$B$4:$M$4</c:f>
              <c:numCache>
                <c:formatCode>0%</c:formatCode>
                <c:ptCount val="12"/>
                <c:pt idx="0">
                  <c:v>0.7</c:v>
                </c:pt>
                <c:pt idx="1">
                  <c:v>0.7</c:v>
                </c:pt>
                <c:pt idx="2">
                  <c:v>0.7</c:v>
                </c:pt>
                <c:pt idx="3">
                  <c:v>0.7</c:v>
                </c:pt>
                <c:pt idx="4">
                  <c:v>0.7</c:v>
                </c:pt>
                <c:pt idx="5">
                  <c:v>0.7</c:v>
                </c:pt>
                <c:pt idx="6">
                  <c:v>0.7</c:v>
                </c:pt>
                <c:pt idx="7">
                  <c:v>0.7</c:v>
                </c:pt>
                <c:pt idx="8">
                  <c:v>0.7</c:v>
                </c:pt>
                <c:pt idx="9">
                  <c:v>0.7</c:v>
                </c:pt>
                <c:pt idx="10">
                  <c:v>0.7</c:v>
                </c:pt>
                <c:pt idx="11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A3-4A43-BD2A-C4264D6678E8}"/>
            </c:ext>
          </c:extLst>
        </c:ser>
        <c:ser>
          <c:idx val="1"/>
          <c:order val="1"/>
          <c:tx>
            <c:strRef>
              <c:f>Chart!$A$5</c:f>
              <c:strCache>
                <c:ptCount val="1"/>
                <c:pt idx="0">
                  <c:v>Good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Chart!$B$3:$M$3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Chart!$B$5:$M$5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A3-4A43-BD2A-C4264D6678E8}"/>
            </c:ext>
          </c:extLst>
        </c:ser>
        <c:ser>
          <c:idx val="2"/>
          <c:order val="2"/>
          <c:tx>
            <c:strRef>
              <c:f>Chart!$A$6</c:f>
              <c:strCache>
                <c:ptCount val="1"/>
                <c:pt idx="0">
                  <c:v>Great</c:v>
                </c:pt>
              </c:strCache>
            </c:strRef>
          </c:tx>
          <c:spPr>
            <a:solidFill>
              <a:srgbClr val="E3E971"/>
            </a:solidFill>
            <a:ln>
              <a:noFill/>
            </a:ln>
            <a:effectLst/>
          </c:spPr>
          <c:invertIfNegative val="0"/>
          <c:cat>
            <c:strRef>
              <c:f>Chart!$B$3:$M$3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Chart!$B$6:$M$6</c:f>
              <c:numCache>
                <c:formatCode>0%</c:formatCode>
                <c:ptCount val="12"/>
                <c:pt idx="0">
                  <c:v>3.5</c:v>
                </c:pt>
                <c:pt idx="1">
                  <c:v>3.5</c:v>
                </c:pt>
                <c:pt idx="2">
                  <c:v>3.5</c:v>
                </c:pt>
                <c:pt idx="3">
                  <c:v>3.5</c:v>
                </c:pt>
                <c:pt idx="4">
                  <c:v>3.5</c:v>
                </c:pt>
                <c:pt idx="5">
                  <c:v>3.5</c:v>
                </c:pt>
                <c:pt idx="6">
                  <c:v>3.5</c:v>
                </c:pt>
                <c:pt idx="7">
                  <c:v>3.5</c:v>
                </c:pt>
                <c:pt idx="8">
                  <c:v>3.5</c:v>
                </c:pt>
                <c:pt idx="9">
                  <c:v>3.5</c:v>
                </c:pt>
                <c:pt idx="10">
                  <c:v>3.5</c:v>
                </c:pt>
                <c:pt idx="11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A3-4A43-BD2A-C4264D6678E8}"/>
            </c:ext>
          </c:extLst>
        </c:ser>
        <c:ser>
          <c:idx val="3"/>
          <c:order val="3"/>
          <c:tx>
            <c:strRef>
              <c:f>Chart!$A$7</c:f>
              <c:strCache>
                <c:ptCount val="1"/>
                <c:pt idx="0">
                  <c:v>Excellent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Chart!$B$3:$M$3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Chart!$B$7:$M$7</c:f>
              <c:numCache>
                <c:formatCode>0%</c:formatCode>
                <c:ptCount val="12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7A3-4A43-BD2A-C4264D6678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65101368"/>
        <c:axId val="365104112"/>
      </c:barChart>
      <c:barChart>
        <c:barDir val="col"/>
        <c:grouping val="stacked"/>
        <c:varyColors val="0"/>
        <c:ser>
          <c:idx val="4"/>
          <c:order val="4"/>
          <c:tx>
            <c:strRef>
              <c:f>Chart!$A$8</c:f>
              <c:strCache>
                <c:ptCount val="1"/>
                <c:pt idx="0">
                  <c:v>YTD achievement %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Chart!$B$3:$M$3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Chart!$B$8:$M$8</c:f>
              <c:numCache>
                <c:formatCode>0%</c:formatCode>
                <c:ptCount val="12"/>
                <c:pt idx="0">
                  <c:v>4.5546384</c:v>
                </c:pt>
                <c:pt idx="1">
                  <c:v>4.3893390000000005</c:v>
                </c:pt>
                <c:pt idx="2">
                  <c:v>7.5705162000000001</c:v>
                </c:pt>
                <c:pt idx="3">
                  <c:v>7.7055985500000004</c:v>
                </c:pt>
                <c:pt idx="4">
                  <c:v>8.0056460400000002</c:v>
                </c:pt>
                <c:pt idx="5">
                  <c:v>8.6720761</c:v>
                </c:pt>
                <c:pt idx="6">
                  <c:v>7.9119280285714293</c:v>
                </c:pt>
                <c:pt idx="7">
                  <c:v>8.1180660000000007</c:v>
                </c:pt>
                <c:pt idx="8">
                  <c:v>8.1459954666666654</c:v>
                </c:pt>
                <c:pt idx="9">
                  <c:v>7.797659519999999</c:v>
                </c:pt>
                <c:pt idx="10">
                  <c:v>7.2905481818181812</c:v>
                </c:pt>
                <c:pt idx="11">
                  <c:v>7.5790550499999991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7A3-4A43-BD2A-C4264D6678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100"/>
        <c:axId val="365103328"/>
        <c:axId val="365108816"/>
      </c:barChart>
      <c:lineChart>
        <c:grouping val="stacked"/>
        <c:varyColors val="0"/>
        <c:ser>
          <c:idx val="5"/>
          <c:order val="5"/>
          <c:tx>
            <c:strRef>
              <c:f>Chart!$A$9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ash"/>
            <c:size val="12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dPt>
            <c:idx val="1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6-F7A3-4A43-BD2A-C4264D6678E8}"/>
              </c:ext>
            </c:extLst>
          </c:dPt>
          <c:dPt>
            <c:idx val="2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8-F7A3-4A43-BD2A-C4264D6678E8}"/>
              </c:ext>
            </c:extLst>
          </c:dPt>
          <c:cat>
            <c:strRef>
              <c:f>Chart!$B$3:$M$3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Chart!$B$9:$M$9</c:f>
              <c:numCache>
                <c:formatCode>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7A3-4A43-BD2A-C4264D6678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5103328"/>
        <c:axId val="365108816"/>
      </c:lineChart>
      <c:catAx>
        <c:axId val="365101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104112"/>
        <c:crosses val="autoZero"/>
        <c:auto val="1"/>
        <c:lblAlgn val="ctr"/>
        <c:lblOffset val="100"/>
        <c:noMultiLvlLbl val="0"/>
      </c:catAx>
      <c:valAx>
        <c:axId val="365104112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101368"/>
        <c:crosses val="autoZero"/>
        <c:crossBetween val="between"/>
      </c:valAx>
      <c:catAx>
        <c:axId val="3651033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65108816"/>
        <c:crosses val="autoZero"/>
        <c:auto val="1"/>
        <c:lblAlgn val="ctr"/>
        <c:lblOffset val="100"/>
        <c:noMultiLvlLbl val="0"/>
      </c:catAx>
      <c:valAx>
        <c:axId val="365108816"/>
        <c:scaling>
          <c:orientation val="minMax"/>
        </c:scaling>
        <c:delete val="1"/>
        <c:axPos val="r"/>
        <c:majorGridlines>
          <c:spPr>
            <a:ln>
              <a:solidFill>
                <a:schemeClr val="accent6">
                  <a:alpha val="22000"/>
                </a:schemeClr>
              </a:solidFill>
            </a:ln>
          </c:spPr>
        </c:majorGridlines>
        <c:numFmt formatCode="0%" sourceLinked="1"/>
        <c:majorTickMark val="out"/>
        <c:minorTickMark val="none"/>
        <c:tickLblPos val="nextTo"/>
        <c:crossAx val="365103328"/>
        <c:crosses val="max"/>
        <c:crossBetween val="between"/>
      </c:valAx>
      <c:spPr>
        <a:noFill/>
        <a:ln w="25400">
          <a:noFill/>
        </a:ln>
      </c:spPr>
    </c:plotArea>
    <c:legend>
      <c:legendPos val="r"/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>
                <a:effectLst/>
              </a:rPr>
              <a:t>Team total orders value achieved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Chart!$A$15</c:f>
              <c:strCache>
                <c:ptCount val="1"/>
                <c:pt idx="0">
                  <c:v>Fair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Chart!$B$3:$M$3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Chart!$B$15:$M$15</c:f>
              <c:numCache>
                <c:formatCode>0%</c:formatCode>
                <c:ptCount val="12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6A-41A9-8449-8158DA5A5913}"/>
            </c:ext>
          </c:extLst>
        </c:ser>
        <c:ser>
          <c:idx val="1"/>
          <c:order val="1"/>
          <c:tx>
            <c:strRef>
              <c:f>Chart!$A$16</c:f>
              <c:strCache>
                <c:ptCount val="1"/>
                <c:pt idx="0">
                  <c:v>Good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Chart!$B$3:$M$3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Chart!$B$16:$M$16</c:f>
              <c:numCache>
                <c:formatCode>0%</c:formatCode>
                <c:ptCount val="12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6A-41A9-8449-8158DA5A5913}"/>
            </c:ext>
          </c:extLst>
        </c:ser>
        <c:ser>
          <c:idx val="2"/>
          <c:order val="2"/>
          <c:tx>
            <c:strRef>
              <c:f>Chart!$A$17</c:f>
              <c:strCache>
                <c:ptCount val="1"/>
                <c:pt idx="0">
                  <c:v>Great</c:v>
                </c:pt>
              </c:strCache>
            </c:strRef>
          </c:tx>
          <c:spPr>
            <a:solidFill>
              <a:srgbClr val="E3E971"/>
            </a:solidFill>
            <a:ln>
              <a:noFill/>
            </a:ln>
            <a:effectLst/>
          </c:spPr>
          <c:invertIfNegative val="0"/>
          <c:cat>
            <c:strRef>
              <c:f>Chart!$B$3:$M$3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Chart!$B$17:$M$17</c:f>
              <c:numCache>
                <c:formatCode>0%</c:formatCode>
                <c:ptCount val="12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96A-41A9-8449-8158DA5A5913}"/>
            </c:ext>
          </c:extLst>
        </c:ser>
        <c:ser>
          <c:idx val="3"/>
          <c:order val="3"/>
          <c:tx>
            <c:strRef>
              <c:f>Chart!$A$18</c:f>
              <c:strCache>
                <c:ptCount val="1"/>
                <c:pt idx="0">
                  <c:v>Excellent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Chart!$B$3:$M$3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Chart!$B$18:$M$18</c:f>
              <c:numCache>
                <c:formatCode>0%</c:formatCode>
                <c:ptCount val="12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96A-41A9-8449-8158DA5A59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65101368"/>
        <c:axId val="365104112"/>
      </c:barChart>
      <c:barChart>
        <c:barDir val="col"/>
        <c:grouping val="stacked"/>
        <c:varyColors val="0"/>
        <c:ser>
          <c:idx val="4"/>
          <c:order val="4"/>
          <c:tx>
            <c:strRef>
              <c:f>Chart!$A$19</c:f>
              <c:strCache>
                <c:ptCount val="1"/>
                <c:pt idx="0">
                  <c:v>YTD achievement %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Chart!$B$3:$M$3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Chart!$B$19:$M$19</c:f>
              <c:numCache>
                <c:formatCode>0%</c:formatCode>
                <c:ptCount val="12"/>
                <c:pt idx="0">
                  <c:v>0.45546384000000001</c:v>
                </c:pt>
                <c:pt idx="1">
                  <c:v>0.43893389999999999</c:v>
                </c:pt>
                <c:pt idx="2">
                  <c:v>0.75705162000000004</c:v>
                </c:pt>
                <c:pt idx="3">
                  <c:v>0.77055985500000002</c:v>
                </c:pt>
                <c:pt idx="4">
                  <c:v>0.80056460399999996</c:v>
                </c:pt>
                <c:pt idx="5">
                  <c:v>0.86720761000000002</c:v>
                </c:pt>
                <c:pt idx="6">
                  <c:v>0.79119280285714289</c:v>
                </c:pt>
                <c:pt idx="7">
                  <c:v>0.81180660000000004</c:v>
                </c:pt>
                <c:pt idx="8">
                  <c:v>0.81459954666666667</c:v>
                </c:pt>
                <c:pt idx="9">
                  <c:v>0.7797659520000001</c:v>
                </c:pt>
                <c:pt idx="10">
                  <c:v>0.72905481818181828</c:v>
                </c:pt>
                <c:pt idx="11">
                  <c:v>0.75790550499999998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96A-41A9-8449-8158DA5A59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100"/>
        <c:axId val="365103328"/>
        <c:axId val="365108816"/>
      </c:barChart>
      <c:lineChart>
        <c:grouping val="stacked"/>
        <c:varyColors val="0"/>
        <c:ser>
          <c:idx val="5"/>
          <c:order val="5"/>
          <c:tx>
            <c:strRef>
              <c:f>Chart!$A$9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ash"/>
            <c:size val="12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dPt>
            <c:idx val="1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6-996A-41A9-8449-8158DA5A5913}"/>
              </c:ext>
            </c:extLst>
          </c:dPt>
          <c:dPt>
            <c:idx val="2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8-996A-41A9-8449-8158DA5A5913}"/>
              </c:ext>
            </c:extLst>
          </c:dPt>
          <c:cat>
            <c:strRef>
              <c:f>Chart!$B$3:$M$3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Chart!$B$9:$M$9</c:f>
              <c:numCache>
                <c:formatCode>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96A-41A9-8449-8158DA5A59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5103328"/>
        <c:axId val="365108816"/>
      </c:lineChart>
      <c:catAx>
        <c:axId val="365101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104112"/>
        <c:crosses val="autoZero"/>
        <c:auto val="1"/>
        <c:lblAlgn val="ctr"/>
        <c:lblOffset val="100"/>
        <c:noMultiLvlLbl val="0"/>
      </c:catAx>
      <c:valAx>
        <c:axId val="365104112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101368"/>
        <c:crosses val="autoZero"/>
        <c:crossBetween val="between"/>
      </c:valAx>
      <c:catAx>
        <c:axId val="3651033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65108816"/>
        <c:crosses val="autoZero"/>
        <c:auto val="1"/>
        <c:lblAlgn val="ctr"/>
        <c:lblOffset val="100"/>
        <c:noMultiLvlLbl val="0"/>
      </c:catAx>
      <c:valAx>
        <c:axId val="365108816"/>
        <c:scaling>
          <c:orientation val="minMax"/>
        </c:scaling>
        <c:delete val="1"/>
        <c:axPos val="r"/>
        <c:majorGridlines>
          <c:spPr>
            <a:ln>
              <a:solidFill>
                <a:schemeClr val="accent6">
                  <a:alpha val="22000"/>
                </a:schemeClr>
              </a:solidFill>
            </a:ln>
          </c:spPr>
        </c:majorGridlines>
        <c:numFmt formatCode="0%" sourceLinked="1"/>
        <c:majorTickMark val="out"/>
        <c:minorTickMark val="none"/>
        <c:tickLblPos val="nextTo"/>
        <c:crossAx val="365103328"/>
        <c:crosses val="max"/>
        <c:crossBetween val="between"/>
      </c:valAx>
      <c:spPr>
        <a:noFill/>
        <a:ln w="25400">
          <a:noFill/>
        </a:ln>
      </c:spPr>
    </c:plotArea>
    <c:legend>
      <c:legendPos val="r"/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>
                <a:effectLst/>
              </a:rPr>
              <a:t>Orders from Top Customers</a:t>
            </a:r>
            <a:endParaRPr lang="en-US"/>
          </a:p>
        </c:rich>
      </c:tx>
      <c:layout>
        <c:manualLayout>
          <c:xMode val="edge"/>
          <c:yMode val="edge"/>
          <c:x val="0.38114886305517953"/>
          <c:y val="4.4285450764865529E-2"/>
        </c:manualLayout>
      </c:layout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Chart!$A$4</c:f>
              <c:strCache>
                <c:ptCount val="1"/>
                <c:pt idx="0">
                  <c:v>Fair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Chart!$B$3:$M$3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Chart!$B$4:$M$4</c:f>
              <c:numCache>
                <c:formatCode>0%</c:formatCode>
                <c:ptCount val="12"/>
                <c:pt idx="0">
                  <c:v>0.7</c:v>
                </c:pt>
                <c:pt idx="1">
                  <c:v>0.7</c:v>
                </c:pt>
                <c:pt idx="2">
                  <c:v>0.7</c:v>
                </c:pt>
                <c:pt idx="3">
                  <c:v>0.7</c:v>
                </c:pt>
                <c:pt idx="4">
                  <c:v>0.7</c:v>
                </c:pt>
                <c:pt idx="5">
                  <c:v>0.7</c:v>
                </c:pt>
                <c:pt idx="6">
                  <c:v>0.7</c:v>
                </c:pt>
                <c:pt idx="7">
                  <c:v>0.7</c:v>
                </c:pt>
                <c:pt idx="8">
                  <c:v>0.7</c:v>
                </c:pt>
                <c:pt idx="9">
                  <c:v>0.7</c:v>
                </c:pt>
                <c:pt idx="10">
                  <c:v>0.7</c:v>
                </c:pt>
                <c:pt idx="11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67-4A27-BE08-809113D582A2}"/>
            </c:ext>
          </c:extLst>
        </c:ser>
        <c:ser>
          <c:idx val="1"/>
          <c:order val="1"/>
          <c:tx>
            <c:strRef>
              <c:f>Chart!$A$5</c:f>
              <c:strCache>
                <c:ptCount val="1"/>
                <c:pt idx="0">
                  <c:v>Good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Chart!$B$3:$M$3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Chart!$B$5:$M$5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67-4A27-BE08-809113D582A2}"/>
            </c:ext>
          </c:extLst>
        </c:ser>
        <c:ser>
          <c:idx val="2"/>
          <c:order val="2"/>
          <c:tx>
            <c:strRef>
              <c:f>Chart!$A$6</c:f>
              <c:strCache>
                <c:ptCount val="1"/>
                <c:pt idx="0">
                  <c:v>Great</c:v>
                </c:pt>
              </c:strCache>
            </c:strRef>
          </c:tx>
          <c:spPr>
            <a:solidFill>
              <a:srgbClr val="E3E971"/>
            </a:solidFill>
            <a:ln>
              <a:noFill/>
            </a:ln>
            <a:effectLst/>
          </c:spPr>
          <c:invertIfNegative val="0"/>
          <c:cat>
            <c:strRef>
              <c:f>Chart!$B$3:$M$3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Chart!$B$6:$M$6</c:f>
              <c:numCache>
                <c:formatCode>0%</c:formatCode>
                <c:ptCount val="12"/>
                <c:pt idx="0">
                  <c:v>3.5</c:v>
                </c:pt>
                <c:pt idx="1">
                  <c:v>3.5</c:v>
                </c:pt>
                <c:pt idx="2">
                  <c:v>3.5</c:v>
                </c:pt>
                <c:pt idx="3">
                  <c:v>3.5</c:v>
                </c:pt>
                <c:pt idx="4">
                  <c:v>3.5</c:v>
                </c:pt>
                <c:pt idx="5">
                  <c:v>3.5</c:v>
                </c:pt>
                <c:pt idx="6">
                  <c:v>3.5</c:v>
                </c:pt>
                <c:pt idx="7">
                  <c:v>3.5</c:v>
                </c:pt>
                <c:pt idx="8">
                  <c:v>3.5</c:v>
                </c:pt>
                <c:pt idx="9">
                  <c:v>3.5</c:v>
                </c:pt>
                <c:pt idx="10">
                  <c:v>3.5</c:v>
                </c:pt>
                <c:pt idx="11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67-4A27-BE08-809113D582A2}"/>
            </c:ext>
          </c:extLst>
        </c:ser>
        <c:ser>
          <c:idx val="3"/>
          <c:order val="3"/>
          <c:tx>
            <c:strRef>
              <c:f>Chart!$A$7</c:f>
              <c:strCache>
                <c:ptCount val="1"/>
                <c:pt idx="0">
                  <c:v>Excellent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Chart!$B$3:$M$3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Chart!$B$7:$M$7</c:f>
              <c:numCache>
                <c:formatCode>0%</c:formatCode>
                <c:ptCount val="12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A67-4A27-BE08-809113D582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65101368"/>
        <c:axId val="365104112"/>
      </c:barChart>
      <c:barChart>
        <c:barDir val="col"/>
        <c:grouping val="stacked"/>
        <c:varyColors val="0"/>
        <c:ser>
          <c:idx val="4"/>
          <c:order val="4"/>
          <c:tx>
            <c:strRef>
              <c:f>Chart!$A$30</c:f>
              <c:strCache>
                <c:ptCount val="1"/>
                <c:pt idx="0">
                  <c:v>YTD achievement %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Chart!$B$3:$M$3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Chart!$B$30:$M$30</c:f>
              <c:numCache>
                <c:formatCode>0%</c:formatCode>
                <c:ptCount val="12"/>
                <c:pt idx="0">
                  <c:v>0</c:v>
                </c:pt>
                <c:pt idx="1">
                  <c:v>3.6</c:v>
                </c:pt>
                <c:pt idx="2">
                  <c:v>2.4</c:v>
                </c:pt>
                <c:pt idx="3">
                  <c:v>1.8</c:v>
                </c:pt>
                <c:pt idx="4">
                  <c:v>6.7252881600000007</c:v>
                </c:pt>
                <c:pt idx="5">
                  <c:v>5.6044068000000005</c:v>
                </c:pt>
                <c:pt idx="6">
                  <c:v>6.5180629714285718</c:v>
                </c:pt>
                <c:pt idx="7">
                  <c:v>5.7033051000000006</c:v>
                </c:pt>
                <c:pt idx="8">
                  <c:v>5.0696045333333331</c:v>
                </c:pt>
                <c:pt idx="9">
                  <c:v>6.2426440799999998</c:v>
                </c:pt>
                <c:pt idx="10">
                  <c:v>5.6751309818181817</c:v>
                </c:pt>
                <c:pt idx="11">
                  <c:v>8.6022033999999987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A67-4A27-BE08-809113D582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100"/>
        <c:axId val="365103328"/>
        <c:axId val="365108816"/>
      </c:barChart>
      <c:lineChart>
        <c:grouping val="stacked"/>
        <c:varyColors val="0"/>
        <c:ser>
          <c:idx val="5"/>
          <c:order val="5"/>
          <c:tx>
            <c:strRef>
              <c:f>Chart!$A$9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ash"/>
            <c:size val="12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dPt>
            <c:idx val="1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6-3A67-4A27-BE08-809113D582A2}"/>
              </c:ext>
            </c:extLst>
          </c:dPt>
          <c:dPt>
            <c:idx val="2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8-3A67-4A27-BE08-809113D582A2}"/>
              </c:ext>
            </c:extLst>
          </c:dPt>
          <c:cat>
            <c:strRef>
              <c:f>Chart!$B$3:$M$3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Chart!$B$9:$M$9</c:f>
              <c:numCache>
                <c:formatCode>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A67-4A27-BE08-809113D582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5103328"/>
        <c:axId val="365108816"/>
      </c:lineChart>
      <c:catAx>
        <c:axId val="365101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104112"/>
        <c:crosses val="autoZero"/>
        <c:auto val="1"/>
        <c:lblAlgn val="ctr"/>
        <c:lblOffset val="100"/>
        <c:noMultiLvlLbl val="0"/>
      </c:catAx>
      <c:valAx>
        <c:axId val="365104112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101368"/>
        <c:crosses val="autoZero"/>
        <c:crossBetween val="between"/>
      </c:valAx>
      <c:catAx>
        <c:axId val="3651033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65108816"/>
        <c:crosses val="autoZero"/>
        <c:auto val="1"/>
        <c:lblAlgn val="ctr"/>
        <c:lblOffset val="100"/>
        <c:noMultiLvlLbl val="0"/>
      </c:catAx>
      <c:valAx>
        <c:axId val="365108816"/>
        <c:scaling>
          <c:orientation val="minMax"/>
        </c:scaling>
        <c:delete val="1"/>
        <c:axPos val="r"/>
        <c:majorGridlines>
          <c:spPr>
            <a:ln>
              <a:solidFill>
                <a:schemeClr val="accent6">
                  <a:alpha val="22000"/>
                </a:schemeClr>
              </a:solidFill>
            </a:ln>
          </c:spPr>
        </c:majorGridlines>
        <c:numFmt formatCode="0%" sourceLinked="1"/>
        <c:majorTickMark val="out"/>
        <c:minorTickMark val="none"/>
        <c:tickLblPos val="nextTo"/>
        <c:crossAx val="365103328"/>
        <c:crosses val="max"/>
        <c:crossBetween val="between"/>
      </c:valAx>
      <c:spPr>
        <a:noFill/>
        <a:ln w="25400">
          <a:noFill/>
        </a:ln>
      </c:spPr>
    </c:plotArea>
    <c:legend>
      <c:legendPos val="r"/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u="none" strike="noStrike" baseline="0">
                <a:effectLst/>
              </a:rPr>
              <a:t>Orders from New Customers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Chart!$A$38</c:f>
              <c:strCache>
                <c:ptCount val="1"/>
                <c:pt idx="0">
                  <c:v>Fair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Chart!$B$3:$M$3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Chart!$B$38:$M$38</c:f>
              <c:numCache>
                <c:formatCode>0%</c:formatCode>
                <c:ptCount val="12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E2-41A5-A9D2-83637CA1783B}"/>
            </c:ext>
          </c:extLst>
        </c:ser>
        <c:ser>
          <c:idx val="1"/>
          <c:order val="1"/>
          <c:tx>
            <c:strRef>
              <c:f>Chart!$A$39</c:f>
              <c:strCache>
                <c:ptCount val="1"/>
                <c:pt idx="0">
                  <c:v>Good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Chart!$B$3:$M$3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Chart!$B$39:$M$39</c:f>
              <c:numCache>
                <c:formatCode>0%</c:formatCode>
                <c:ptCount val="12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E2-41A5-A9D2-83637CA1783B}"/>
            </c:ext>
          </c:extLst>
        </c:ser>
        <c:ser>
          <c:idx val="2"/>
          <c:order val="2"/>
          <c:tx>
            <c:strRef>
              <c:f>Chart!$A$40</c:f>
              <c:strCache>
                <c:ptCount val="1"/>
                <c:pt idx="0">
                  <c:v>Great</c:v>
                </c:pt>
              </c:strCache>
            </c:strRef>
          </c:tx>
          <c:spPr>
            <a:solidFill>
              <a:srgbClr val="E3E971"/>
            </a:solidFill>
            <a:ln>
              <a:noFill/>
            </a:ln>
            <a:effectLst/>
          </c:spPr>
          <c:invertIfNegative val="0"/>
          <c:cat>
            <c:strRef>
              <c:f>Chart!$B$3:$M$3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Chart!$B$40:$M$40</c:f>
              <c:numCache>
                <c:formatCode>0%</c:formatCode>
                <c:ptCount val="12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E2-41A5-A9D2-83637CA1783B}"/>
            </c:ext>
          </c:extLst>
        </c:ser>
        <c:ser>
          <c:idx val="3"/>
          <c:order val="3"/>
          <c:tx>
            <c:strRef>
              <c:f>Chart!$A$41</c:f>
              <c:strCache>
                <c:ptCount val="1"/>
                <c:pt idx="0">
                  <c:v>Excellent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Chart!$B$3:$M$3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Chart!$B$41:$M$41</c:f>
              <c:numCache>
                <c:formatCode>0%</c:formatCode>
                <c:ptCount val="12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AE2-41A5-A9D2-83637CA178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65101368"/>
        <c:axId val="365104112"/>
      </c:barChart>
      <c:barChart>
        <c:barDir val="col"/>
        <c:grouping val="stacked"/>
        <c:varyColors val="0"/>
        <c:ser>
          <c:idx val="4"/>
          <c:order val="4"/>
          <c:tx>
            <c:strRef>
              <c:f>Chart!$A$42</c:f>
              <c:strCache>
                <c:ptCount val="1"/>
                <c:pt idx="0">
                  <c:v>YTD achievement %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cat>
            <c:strRef>
              <c:f>Chart!$B$3:$M$3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Chart!$B$42:$M$42</c:f>
              <c:numCache>
                <c:formatCode>0%</c:formatCode>
                <c:ptCount val="12"/>
                <c:pt idx="0">
                  <c:v>3.5043299999999999</c:v>
                </c:pt>
                <c:pt idx="1">
                  <c:v>13.773284999999998</c:v>
                </c:pt>
                <c:pt idx="2">
                  <c:v>21.591081999999997</c:v>
                </c:pt>
                <c:pt idx="3">
                  <c:v>22.9569075</c:v>
                </c:pt>
                <c:pt idx="4">
                  <c:v>23.431959599999999</c:v>
                </c:pt>
                <c:pt idx="5">
                  <c:v>20.514662999999999</c:v>
                </c:pt>
                <c:pt idx="6">
                  <c:v>18.081182571428567</c:v>
                </c:pt>
                <c:pt idx="7">
                  <c:v>16.499801999999995</c:v>
                </c:pt>
                <c:pt idx="8">
                  <c:v>14.895167333333331</c:v>
                </c:pt>
                <c:pt idx="9">
                  <c:v>13.702080599999999</c:v>
                </c:pt>
                <c:pt idx="10">
                  <c:v>12.836096727272725</c:v>
                </c:pt>
                <c:pt idx="11">
                  <c:v>12.218440999999999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AE2-41A5-A9D2-83637CA178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100"/>
        <c:axId val="365103328"/>
        <c:axId val="365108816"/>
      </c:barChart>
      <c:lineChart>
        <c:grouping val="stacked"/>
        <c:varyColors val="0"/>
        <c:ser>
          <c:idx val="5"/>
          <c:order val="5"/>
          <c:tx>
            <c:strRef>
              <c:f>Chart!$A$43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ash"/>
            <c:size val="12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dPt>
            <c:idx val="1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6-7AE2-41A5-A9D2-83637CA1783B}"/>
              </c:ext>
            </c:extLst>
          </c:dPt>
          <c:dPt>
            <c:idx val="2"/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8-7AE2-41A5-A9D2-83637CA1783B}"/>
              </c:ext>
            </c:extLst>
          </c:dPt>
          <c:cat>
            <c:strRef>
              <c:f>Chart!$B$3:$M$3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Chart!$B$43:$M$43</c:f>
              <c:numCache>
                <c:formatCode>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AE2-41A5-A9D2-83637CA178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5103328"/>
        <c:axId val="365108816"/>
      </c:lineChart>
      <c:catAx>
        <c:axId val="365101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104112"/>
        <c:crosses val="autoZero"/>
        <c:auto val="1"/>
        <c:lblAlgn val="ctr"/>
        <c:lblOffset val="100"/>
        <c:noMultiLvlLbl val="0"/>
      </c:catAx>
      <c:valAx>
        <c:axId val="365104112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101368"/>
        <c:crosses val="autoZero"/>
        <c:crossBetween val="between"/>
      </c:valAx>
      <c:catAx>
        <c:axId val="3651033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65108816"/>
        <c:crosses val="autoZero"/>
        <c:auto val="1"/>
        <c:lblAlgn val="ctr"/>
        <c:lblOffset val="100"/>
        <c:noMultiLvlLbl val="0"/>
      </c:catAx>
      <c:valAx>
        <c:axId val="365108816"/>
        <c:scaling>
          <c:orientation val="minMax"/>
        </c:scaling>
        <c:delete val="1"/>
        <c:axPos val="r"/>
        <c:majorGridlines>
          <c:spPr>
            <a:ln>
              <a:solidFill>
                <a:schemeClr val="accent6">
                  <a:alpha val="22000"/>
                </a:schemeClr>
              </a:solidFill>
            </a:ln>
          </c:spPr>
        </c:majorGridlines>
        <c:numFmt formatCode="0%" sourceLinked="1"/>
        <c:majorTickMark val="out"/>
        <c:minorTickMark val="none"/>
        <c:tickLblPos val="nextTo"/>
        <c:crossAx val="365103328"/>
        <c:crosses val="max"/>
        <c:crossBetween val="between"/>
      </c:valAx>
      <c:spPr>
        <a:noFill/>
        <a:ln w="25400">
          <a:noFill/>
        </a:ln>
      </c:spPr>
    </c:plotArea>
    <c:legend>
      <c:legendPos val="r"/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hart" Target="../charts/chart2.xml"/><Relationship Id="rId7" Type="http://schemas.openxmlformats.org/officeDocument/2006/relationships/image" Target="../media/image3.svg"/><Relationship Id="rId2" Type="http://schemas.openxmlformats.org/officeDocument/2006/relationships/chart" Target="../charts/chart1.xml"/><Relationship Id="rId1" Type="http://schemas.openxmlformats.org/officeDocument/2006/relationships/image" Target="../media/image1.jpg"/><Relationship Id="rId6" Type="http://schemas.openxmlformats.org/officeDocument/2006/relationships/image" Target="../media/image2.png"/><Relationship Id="rId11" Type="http://schemas.openxmlformats.org/officeDocument/2006/relationships/image" Target="../media/image7.svg"/><Relationship Id="rId5" Type="http://schemas.openxmlformats.org/officeDocument/2006/relationships/chart" Target="../charts/chart4.xml"/><Relationship Id="rId10" Type="http://schemas.openxmlformats.org/officeDocument/2006/relationships/image" Target="../media/image6.png"/><Relationship Id="rId4" Type="http://schemas.openxmlformats.org/officeDocument/2006/relationships/chart" Target="../charts/chart3.xml"/><Relationship Id="rId9" Type="http://schemas.openxmlformats.org/officeDocument/2006/relationships/image" Target="../media/image5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401791</xdr:colOff>
      <xdr:row>7</xdr:row>
      <xdr:rowOff>16169</xdr:rowOff>
    </xdr:from>
    <xdr:ext cx="5011821" cy="4226010"/>
    <xdr:pic>
      <xdr:nvPicPr>
        <xdr:cNvPr id="2" name="image1.jpg" descr="Commission Calculator Stock Illustrations – 199 Commission Calculator Stock  Illustrations, Vectors &amp; Clipart - Dreamstime" title="Hình ảnh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 cstate="print"/>
        <a:srcRect l="15946" t="13164" r="15643" b="12560"/>
        <a:stretch/>
      </xdr:blipFill>
      <xdr:spPr>
        <a:xfrm>
          <a:off x="9193224" y="1960975"/>
          <a:ext cx="5011821" cy="4226010"/>
        </a:xfrm>
        <a:prstGeom prst="rect">
          <a:avLst/>
        </a:prstGeom>
        <a:noFill/>
      </xdr:spPr>
    </xdr:pic>
    <xdr:clientData fLocksWithSheet="0"/>
  </xdr:oneCellAnchor>
  <xdr:twoCellAnchor>
    <xdr:from>
      <xdr:col>1</xdr:col>
      <xdr:colOff>31944</xdr:colOff>
      <xdr:row>62</xdr:row>
      <xdr:rowOff>0</xdr:rowOff>
    </xdr:from>
    <xdr:to>
      <xdr:col>12</xdr:col>
      <xdr:colOff>147933</xdr:colOff>
      <xdr:row>77</xdr:row>
      <xdr:rowOff>25906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4C802828-C540-44E1-856D-05DCA2B962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79</xdr:row>
      <xdr:rowOff>104892</xdr:rowOff>
    </xdr:from>
    <xdr:to>
      <xdr:col>12</xdr:col>
      <xdr:colOff>115989</xdr:colOff>
      <xdr:row>94</xdr:row>
      <xdr:rowOff>130082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C5F406CC-7F8D-4EC2-9C0F-D05E717684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43490</xdr:colOff>
      <xdr:row>97</xdr:row>
      <xdr:rowOff>49507</xdr:rowOff>
    </xdr:from>
    <xdr:to>
      <xdr:col>12</xdr:col>
      <xdr:colOff>159479</xdr:colOff>
      <xdr:row>112</xdr:row>
      <xdr:rowOff>98330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BE709812-99A8-41C7-9C4D-5EED2D61D3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50174</xdr:colOff>
      <xdr:row>115</xdr:row>
      <xdr:rowOff>104892</xdr:rowOff>
    </xdr:from>
    <xdr:to>
      <xdr:col>12</xdr:col>
      <xdr:colOff>166163</xdr:colOff>
      <xdr:row>130</xdr:row>
      <xdr:rowOff>183980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B56DD194-759B-4D9F-91A8-73D73C3A5D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12</xdr:col>
      <xdr:colOff>862483</xdr:colOff>
      <xdr:row>80</xdr:row>
      <xdr:rowOff>180362</xdr:rowOff>
    </xdr:from>
    <xdr:to>
      <xdr:col>14</xdr:col>
      <xdr:colOff>100483</xdr:colOff>
      <xdr:row>87</xdr:row>
      <xdr:rowOff>157656</xdr:rowOff>
    </xdr:to>
    <xdr:pic>
      <xdr:nvPicPr>
        <xdr:cNvPr id="12" name="Graphic 11" descr="Group brainstorm with solid fill">
          <a:extLst>
            <a:ext uri="{FF2B5EF4-FFF2-40B4-BE49-F238E27FC236}">
              <a16:creationId xmlns:a16="http://schemas.microsoft.com/office/drawing/2014/main" id="{F52D27C3-684D-502F-8FFD-BB1AEC61D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12351098" y="20653878"/>
          <a:ext cx="1331407" cy="1325447"/>
        </a:xfrm>
        <a:prstGeom prst="rect">
          <a:avLst/>
        </a:prstGeom>
      </xdr:spPr>
    </xdr:pic>
    <xdr:clientData/>
  </xdr:twoCellAnchor>
  <xdr:twoCellAnchor editAs="oneCell">
    <xdr:from>
      <xdr:col>12</xdr:col>
      <xdr:colOff>954593</xdr:colOff>
      <xdr:row>99</xdr:row>
      <xdr:rowOff>39464</xdr:rowOff>
    </xdr:from>
    <xdr:to>
      <xdr:col>14</xdr:col>
      <xdr:colOff>161230</xdr:colOff>
      <xdr:row>104</xdr:row>
      <xdr:rowOff>120204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71C5D11-0E23-639B-0B5F-D09D7B5AF3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443208" y="24783530"/>
          <a:ext cx="1300044" cy="1043707"/>
        </a:xfrm>
        <a:prstGeom prst="rect">
          <a:avLst/>
        </a:prstGeom>
      </xdr:spPr>
    </xdr:pic>
    <xdr:clientData/>
  </xdr:twoCellAnchor>
  <xdr:twoCellAnchor editAs="oneCell">
    <xdr:from>
      <xdr:col>12</xdr:col>
      <xdr:colOff>971341</xdr:colOff>
      <xdr:row>117</xdr:row>
      <xdr:rowOff>181608</xdr:rowOff>
    </xdr:from>
    <xdr:to>
      <xdr:col>13</xdr:col>
      <xdr:colOff>984023</xdr:colOff>
      <xdr:row>123</xdr:row>
      <xdr:rowOff>69412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20658113-B4FE-E73E-E019-8B046790B8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459956" y="28995256"/>
          <a:ext cx="992397" cy="1043365"/>
        </a:xfrm>
        <a:prstGeom prst="rect">
          <a:avLst/>
        </a:prstGeom>
      </xdr:spPr>
    </xdr:pic>
    <xdr:clientData/>
  </xdr:twoCellAnchor>
  <xdr:twoCellAnchor editAs="oneCell">
    <xdr:from>
      <xdr:col>13</xdr:col>
      <xdr:colOff>135487</xdr:colOff>
      <xdr:row>64</xdr:row>
      <xdr:rowOff>54429</xdr:rowOff>
    </xdr:from>
    <xdr:to>
      <xdr:col>13</xdr:col>
      <xdr:colOff>822109</xdr:colOff>
      <xdr:row>67</xdr:row>
      <xdr:rowOff>145299</xdr:rowOff>
    </xdr:to>
    <xdr:pic>
      <xdr:nvPicPr>
        <xdr:cNvPr id="17" name="Graphic 16" descr="User with solid fill">
          <a:extLst>
            <a:ext uri="{FF2B5EF4-FFF2-40B4-BE49-F238E27FC236}">
              <a16:creationId xmlns:a16="http://schemas.microsoft.com/office/drawing/2014/main" id="{6BC3511F-0D3B-C40A-5A3D-4CC4811CDA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12545201" y="16963572"/>
          <a:ext cx="686622" cy="68958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44</xdr:row>
      <xdr:rowOff>361950</xdr:rowOff>
    </xdr:from>
    <xdr:ext cx="276225" cy="323850"/>
    <xdr:pic>
      <xdr:nvPicPr>
        <xdr:cNvPr id="2" name="image2.png" title="Hình ảnh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4300" y="11649075"/>
          <a:ext cx="276225" cy="3238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12</xdr:row>
      <xdr:rowOff>85725</xdr:rowOff>
    </xdr:from>
    <xdr:ext cx="276225" cy="323850"/>
    <xdr:pic>
      <xdr:nvPicPr>
        <xdr:cNvPr id="4" name="image2.png" title="Hình ảnh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114300</xdr:colOff>
      <xdr:row>24</xdr:row>
      <xdr:rowOff>201930</xdr:rowOff>
    </xdr:from>
    <xdr:to>
      <xdr:col>1</xdr:col>
      <xdr:colOff>114300</xdr:colOff>
      <xdr:row>24</xdr:row>
      <xdr:rowOff>523875</xdr:rowOff>
    </xdr:to>
    <xdr:pic>
      <xdr:nvPicPr>
        <xdr:cNvPr id="6" name="image2.png">
          <a:extLst>
            <a:ext uri="{FF2B5EF4-FFF2-40B4-BE49-F238E27FC236}">
              <a16:creationId xmlns:a16="http://schemas.microsoft.com/office/drawing/2014/main" id="{50EDE2AA-0F69-CC74-E4D9-786643DCE2B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6497955"/>
          <a:ext cx="276225" cy="3219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0</xdr:col>
      <xdr:colOff>114300</xdr:colOff>
      <xdr:row>33</xdr:row>
      <xdr:rowOff>325755</xdr:rowOff>
    </xdr:from>
    <xdr:to>
      <xdr:col>1</xdr:col>
      <xdr:colOff>114300</xdr:colOff>
      <xdr:row>34</xdr:row>
      <xdr:rowOff>219075</xdr:rowOff>
    </xdr:to>
    <xdr:pic>
      <xdr:nvPicPr>
        <xdr:cNvPr id="2049" name="image2.png">
          <a:extLst>
            <a:ext uri="{FF2B5EF4-FFF2-40B4-BE49-F238E27FC236}">
              <a16:creationId xmlns:a16="http://schemas.microsoft.com/office/drawing/2014/main" id="{89E08A0C-B278-BF94-5F3F-DF33C192CEEC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8955405"/>
          <a:ext cx="276225" cy="3219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623454</xdr:colOff>
      <xdr:row>0</xdr:row>
      <xdr:rowOff>0</xdr:rowOff>
    </xdr:from>
    <xdr:to>
      <xdr:col>28</xdr:col>
      <xdr:colOff>440086</xdr:colOff>
      <xdr:row>13</xdr:row>
      <xdr:rowOff>96090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607323B0-BDCB-4939-80CA-DFEE1DA96A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591510</xdr:colOff>
      <xdr:row>15</xdr:row>
      <xdr:rowOff>155024</xdr:rowOff>
    </xdr:from>
    <xdr:to>
      <xdr:col>28</xdr:col>
      <xdr:colOff>408142</xdr:colOff>
      <xdr:row>30</xdr:row>
      <xdr:rowOff>9766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ED29BBBE-1348-4210-AF94-1B1B22A6BF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635000</xdr:colOff>
      <xdr:row>32</xdr:row>
      <xdr:rowOff>99639</xdr:rowOff>
    </xdr:from>
    <xdr:to>
      <xdr:col>28</xdr:col>
      <xdr:colOff>451632</xdr:colOff>
      <xdr:row>46</xdr:row>
      <xdr:rowOff>178541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74E7F82F-868E-4D42-A901-3A9EDCE5AC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641684</xdr:colOff>
      <xdr:row>49</xdr:row>
      <xdr:rowOff>155024</xdr:rowOff>
    </xdr:from>
    <xdr:to>
      <xdr:col>28</xdr:col>
      <xdr:colOff>458316</xdr:colOff>
      <xdr:row>64</xdr:row>
      <xdr:rowOff>83717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C19B775A-13C8-481A-BCE6-DBC7BCF633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N NGA" refreshedDate="45398.061738425924" createdVersion="8" refreshedVersion="8" minRefreshableVersion="3" recordCount="204" xr:uid="{BE36A314-A94E-4EBF-BA7A-A82102A8E131}">
  <cacheSource type="worksheet">
    <worksheetSource name="Table_5"/>
  </cacheSource>
  <cacheFields count="14">
    <cacheField name="Order Date" numFmtId="14">
      <sharedItems containsSemiMixedTypes="0" containsNonDate="0" containsDate="1" containsString="0" minDate="2021-01-10T00:00:00" maxDate="2023-12-18T00:00:00" count="62">
        <d v="2021-01-10T00:00:00"/>
        <d v="2021-02-15T00:00:00"/>
        <d v="2021-03-20T00:00:00"/>
        <d v="2021-04-05T00:00:00"/>
        <d v="2021-05-10T00:00:00"/>
        <d v="2021-06-15T00:00:00"/>
        <d v="2021-07-20T00:00:00"/>
        <d v="2021-08-25T00:00:00"/>
        <d v="2021-09-30T00:00:00"/>
        <d v="2021-10-05T00:00:00"/>
        <d v="2021-11-10T00:00:00"/>
        <d v="2021-12-15T00:00:00"/>
        <d v="2022-01-20T00:00:00"/>
        <d v="2022-02-25T00:00:00"/>
        <d v="2022-03-02T00:00:00"/>
        <d v="2022-04-07T00:00:00"/>
        <d v="2022-05-12T00:00:00"/>
        <d v="2022-06-17T00:00:00"/>
        <d v="2022-07-22T00:00:00"/>
        <d v="2022-08-27T00:00:00"/>
        <d v="2022-09-01T00:00:00"/>
        <d v="2022-10-06T00:00:00"/>
        <d v="2022-11-11T00:00:00"/>
        <d v="2022-12-16T00:00:00"/>
        <d v="2023-01-21T00:00:00"/>
        <d v="2023-02-26T00:00:00"/>
        <d v="2023-03-03T00:00:00"/>
        <d v="2023-04-08T00:00:00"/>
        <d v="2023-05-13T00:00:00"/>
        <d v="2023-06-18T00:00:00"/>
        <d v="2023-07-23T00:00:00"/>
        <d v="2023-08-28T00:00:00"/>
        <d v="2023-09-02T00:00:00"/>
        <d v="2023-10-07T00:00:00"/>
        <d v="2023-11-12T00:00:00"/>
        <d v="2023-12-17T00:00:00"/>
        <d v="2023-01-20T00:00:00"/>
        <d v="2023-02-25T00:00:00"/>
        <d v="2022-01-24T00:00:00"/>
        <d v="2022-01-31T00:00:00"/>
        <d v="2022-02-07T00:00:00"/>
        <d v="2022-02-14T00:00:00"/>
        <d v="2022-02-21T00:00:00"/>
        <d v="2022-02-28T00:00:00"/>
        <d v="2022-03-07T00:00:00"/>
        <d v="2022-03-14T00:00:00"/>
        <d v="2022-03-21T00:00:00"/>
        <d v="2022-03-28T00:00:00"/>
        <d v="2022-04-04T00:00:00"/>
        <d v="2022-04-18T00:00:00"/>
        <d v="2022-04-11T00:00:00" u="1"/>
        <d v="2022-04-25T00:00:00" u="1"/>
        <d v="2022-05-02T00:00:00" u="1"/>
        <d v="2022-05-09T00:00:00" u="1"/>
        <d v="2022-05-16T00:00:00" u="1"/>
        <d v="2022-05-23T00:00:00" u="1"/>
        <d v="2022-05-30T00:00:00" u="1"/>
        <d v="2022-06-06T00:00:00" u="1"/>
        <d v="2022-06-13T00:00:00" u="1"/>
        <d v="2022-06-20T00:00:00" u="1"/>
        <d v="2022-06-27T00:00:00" u="1"/>
        <d v="2022-07-04T00:00:00" u="1"/>
      </sharedItems>
      <fieldGroup par="13"/>
    </cacheField>
    <cacheField name="Customer Name" numFmtId="0">
      <sharedItems count="104">
        <s v="ABC Manufacturing"/>
        <s v="XYZ Corporation"/>
        <s v="LMN Enterprises"/>
        <s v="123 Industries"/>
        <s v="PQR Incorporated"/>
        <s v="Smith Enterprises"/>
        <s v="Doe Industries"/>
        <s v="Brown Co."/>
        <s v="Johnson Group"/>
        <s v="Taylor Inc."/>
        <s v="Miller Enterprises"/>
        <s v="Martinez Industries"/>
        <s v="Davis Corporation"/>
        <s v="Williams Ltd."/>
        <s v="White Co."/>
        <s v="Wilson Enterprises"/>
        <s v="Clark Industries"/>
        <s v="Adams Inc."/>
        <s v="Thomas Co."/>
        <s v="Lewis Group"/>
        <s v="Harris Corporation"/>
        <s v="Young Co."/>
        <s v="King Enterprises"/>
        <s v="Wright Industries"/>
        <s v="Hall Inc."/>
        <s v="Scott Co."/>
        <s v="Green Corporation"/>
        <s v="Adams Ltd."/>
        <s v="Stewart Group"/>
        <s v="Hughes Inc."/>
        <s v="Price Enterprises"/>
        <s v="Carter Co."/>
        <s v="Bell Corporation"/>
        <s v="Long Enterprises"/>
        <s v="Hill Group"/>
        <s v="Cole Co."/>
        <s v="Reed Ltd."/>
        <s v="Harrison Corporation"/>
        <s v="Paulson Enterprises"/>
        <s v="Johnson Industries"/>
        <s v="Doe Corporation"/>
        <s v="Roberts Enterprises"/>
        <s v="Jones Co."/>
        <s v="Brown Manufacturing"/>
        <s v="Wilson Solutions"/>
        <s v="Taylor &amp; Sons"/>
        <s v="Martinez Corporation"/>
        <s v="Davis Incorporated"/>
        <s v="Williams Industries"/>
        <s v="Miller Co."/>
        <s v="Smith &amp; Sons"/>
        <s v="Johnson Incorporated"/>
        <s v="Martinez &amp; Co."/>
        <s v="Taylor Enterprises"/>
        <s v="Wilson Manufacturing"/>
        <s v="Brown Solutions"/>
        <s v="Johnson Solutions"/>
        <s v="Smith Manufacturing"/>
        <s v="Miller &amp; Co."/>
        <s v="Davis Solutions"/>
        <s v="Taylor &amp; Co."/>
        <s v="Martinez Enterprises"/>
        <s v="Smith Solutions"/>
        <s v="Johnson &amp; Sons"/>
        <s v="Taylor Co."/>
        <s v="Brown &amp; Co."/>
        <s v="Miller Incorporated"/>
        <s v="Davis &amp; Sons"/>
        <s v="Wilson &amp; Co."/>
        <s v="Martinez Solutions"/>
        <s v="Jones Inc."/>
        <s v="Brown Industries"/>
        <s v="Martinez Group"/>
        <s v="Johnson &amp; Partners"/>
        <s v="White &amp; Co."/>
        <s v="Clark Enterprises"/>
        <s v="Walker &amp; Sons"/>
        <s v="Anderson Corporation"/>
        <s v="Thomas Enterprises"/>
        <s v="Harris Co."/>
        <s v="Young Group"/>
        <s v="Wright &amp; Co."/>
        <s v="Scott Corporation"/>
        <s v="Green Group"/>
        <s v="Hall Industries"/>
        <s v="Evans Corporation"/>
        <s v="Baker &amp; Sons"/>
        <s v="Cooper Group"/>
        <s v="Gray &amp; Co."/>
        <s v="Ross Enterprises"/>
        <s v="Price Group"/>
        <s v="Watson &amp; Co."/>
        <s v="Reed Corporation"/>
        <s v="DEF Industries"/>
        <s v="PQR Inc."/>
        <s v="RST Corporation"/>
        <s v="GHI Manufacturing"/>
        <s v="JKL Enterprises"/>
        <s v="UVW Inc."/>
        <s v="MNO Corporation"/>
        <s v="HIJ Industries"/>
        <s v="STU Corporation"/>
        <s v="OPQ Manufacturing"/>
        <s v="EFG Inc."/>
      </sharedItems>
    </cacheField>
    <cacheField name="Country" numFmtId="0">
      <sharedItems count="3">
        <s v="USA"/>
        <s v="Japan" u="1"/>
        <s v="Germany" u="1"/>
      </sharedItems>
    </cacheField>
    <cacheField name="Region" numFmtId="0">
      <sharedItems/>
    </cacheField>
    <cacheField name="Value of the Order" numFmtId="43">
      <sharedItems containsSemiMixedTypes="0" containsString="0" containsNumber="1" minValue="150.30000000000001" maxValue="1000000"/>
    </cacheField>
    <cacheField name="Order Type" numFmtId="0">
      <sharedItems/>
    </cacheField>
    <cacheField name="Sales Rep" numFmtId="0">
      <sharedItems count="8">
        <s v="Sarah Brown"/>
        <s v="Mio Sato" u="1"/>
        <s v="Sakura Ito" u="1"/>
        <s v="Stefan Weber" u="1"/>
        <s v="Petra Schulz" u="1"/>
        <s v="Service" u="1"/>
        <s v="Normal Order" u="1"/>
        <s v="Machine Order" u="1"/>
      </sharedItems>
    </cacheField>
    <cacheField name="Transaction currency" numFmtId="0">
      <sharedItems/>
    </cacheField>
    <cacheField name="Sale Rep IS  E7" numFmtId="1">
      <sharedItems containsSemiMixedTypes="0" containsString="0" containsNumber="1" containsInteger="1" minValue="0" maxValue="1" count="2">
        <n v="1"/>
        <n v="0" u="1"/>
      </sharedItems>
    </cacheField>
    <cacheField name="Top Customers" numFmtId="1">
      <sharedItems count="2">
        <s v="Yes"/>
        <s v="No"/>
      </sharedItems>
    </cacheField>
    <cacheField name="OLD/NEW customer" numFmtId="1">
      <sharedItems count="2">
        <s v="Existing Customer"/>
        <s v="New Customer"/>
      </sharedItems>
    </cacheField>
    <cacheField name="Country IS E11" numFmtId="1">
      <sharedItems containsSemiMixedTypes="0" containsString="0" containsNumber="1" containsInteger="1" minValue="0" maxValue="1" count="2">
        <n v="1"/>
        <n v="0" u="1"/>
      </sharedItems>
    </cacheField>
    <cacheField name="Months (Order Date)" numFmtId="0" databaseField="0">
      <fieldGroup base="0">
        <rangePr groupBy="months" startDate="2021-01-10T00:00:00" endDate="2023-12-18T00:00:00"/>
        <groupItems count="14">
          <s v="&lt;1/10/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18/2023"/>
        </groupItems>
      </fieldGroup>
    </cacheField>
    <cacheField name="Years (Order Date)" numFmtId="0" databaseField="0">
      <fieldGroup base="0">
        <rangePr groupBy="years" startDate="2021-01-10T00:00:00" endDate="2023-12-18T00:00:00"/>
        <groupItems count="5">
          <s v="&lt;1/10/2021"/>
          <s v="2021"/>
          <s v="2022"/>
          <s v="2023"/>
          <s v="&gt;12/18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4">
  <r>
    <x v="0"/>
    <x v="0"/>
    <x v="0"/>
    <s v="NA"/>
    <n v="500000"/>
    <s v="Machine Order"/>
    <x v="0"/>
    <s v="USD"/>
    <x v="0"/>
    <x v="0"/>
    <x v="0"/>
    <x v="0"/>
  </r>
  <r>
    <x v="1"/>
    <x v="1"/>
    <x v="0"/>
    <s v="NA"/>
    <n v="700000"/>
    <s v="Normal Order"/>
    <x v="0"/>
    <s v="USD"/>
    <x v="0"/>
    <x v="1"/>
    <x v="0"/>
    <x v="0"/>
  </r>
  <r>
    <x v="2"/>
    <x v="2"/>
    <x v="0"/>
    <s v="NA"/>
    <n v="300000"/>
    <s v="Service"/>
    <x v="0"/>
    <s v="USD"/>
    <x v="0"/>
    <x v="1"/>
    <x v="0"/>
    <x v="0"/>
  </r>
  <r>
    <x v="3"/>
    <x v="3"/>
    <x v="0"/>
    <s v="NA"/>
    <n v="900000"/>
    <s v="Machine Order"/>
    <x v="0"/>
    <s v="USD"/>
    <x v="0"/>
    <x v="0"/>
    <x v="0"/>
    <x v="0"/>
  </r>
  <r>
    <x v="4"/>
    <x v="4"/>
    <x v="0"/>
    <s v="NA"/>
    <n v="400000"/>
    <s v="Normal Order"/>
    <x v="0"/>
    <s v="USD"/>
    <x v="0"/>
    <x v="1"/>
    <x v="0"/>
    <x v="0"/>
  </r>
  <r>
    <x v="5"/>
    <x v="0"/>
    <x v="0"/>
    <s v="NA"/>
    <n v="600000"/>
    <s v="Service"/>
    <x v="0"/>
    <s v="USD"/>
    <x v="0"/>
    <x v="0"/>
    <x v="0"/>
    <x v="0"/>
  </r>
  <r>
    <x v="6"/>
    <x v="1"/>
    <x v="0"/>
    <s v="NA"/>
    <n v="800000"/>
    <s v="Machine Order"/>
    <x v="0"/>
    <s v="USD"/>
    <x v="0"/>
    <x v="1"/>
    <x v="0"/>
    <x v="0"/>
  </r>
  <r>
    <x v="7"/>
    <x v="2"/>
    <x v="0"/>
    <s v="NA"/>
    <n v="200000"/>
    <s v="Normal Order"/>
    <x v="0"/>
    <s v="USD"/>
    <x v="0"/>
    <x v="1"/>
    <x v="0"/>
    <x v="0"/>
  </r>
  <r>
    <x v="8"/>
    <x v="3"/>
    <x v="0"/>
    <s v="NA"/>
    <n v="1000000"/>
    <s v="Service"/>
    <x v="0"/>
    <s v="USD"/>
    <x v="0"/>
    <x v="0"/>
    <x v="0"/>
    <x v="0"/>
  </r>
  <r>
    <x v="9"/>
    <x v="4"/>
    <x v="0"/>
    <s v="NA"/>
    <n v="550000"/>
    <s v="Machine Order"/>
    <x v="0"/>
    <s v="USD"/>
    <x v="0"/>
    <x v="1"/>
    <x v="0"/>
    <x v="0"/>
  </r>
  <r>
    <x v="10"/>
    <x v="0"/>
    <x v="0"/>
    <s v="NA"/>
    <n v="450000"/>
    <s v="Normal Order"/>
    <x v="0"/>
    <s v="USD"/>
    <x v="0"/>
    <x v="0"/>
    <x v="0"/>
    <x v="0"/>
  </r>
  <r>
    <x v="11"/>
    <x v="1"/>
    <x v="0"/>
    <s v="NA"/>
    <n v="350000"/>
    <s v="Service"/>
    <x v="0"/>
    <s v="USD"/>
    <x v="0"/>
    <x v="1"/>
    <x v="0"/>
    <x v="0"/>
  </r>
  <r>
    <x v="12"/>
    <x v="2"/>
    <x v="0"/>
    <s v="NA"/>
    <n v="950000"/>
    <s v="Machine Order"/>
    <x v="0"/>
    <s v="USD"/>
    <x v="0"/>
    <x v="1"/>
    <x v="0"/>
    <x v="0"/>
  </r>
  <r>
    <x v="13"/>
    <x v="3"/>
    <x v="0"/>
    <s v="NA"/>
    <n v="250000"/>
    <s v="Normal Order"/>
    <x v="0"/>
    <s v="USD"/>
    <x v="0"/>
    <x v="0"/>
    <x v="0"/>
    <x v="0"/>
  </r>
  <r>
    <x v="14"/>
    <x v="4"/>
    <x v="0"/>
    <s v="NA"/>
    <n v="750000"/>
    <s v="Service"/>
    <x v="0"/>
    <s v="USD"/>
    <x v="0"/>
    <x v="1"/>
    <x v="0"/>
    <x v="0"/>
  </r>
  <r>
    <x v="15"/>
    <x v="0"/>
    <x v="0"/>
    <s v="NA"/>
    <n v="850000"/>
    <s v="Machine Order"/>
    <x v="0"/>
    <s v="USD"/>
    <x v="0"/>
    <x v="0"/>
    <x v="0"/>
    <x v="0"/>
  </r>
  <r>
    <x v="16"/>
    <x v="1"/>
    <x v="0"/>
    <s v="NA"/>
    <n v="150000"/>
    <s v="Normal Order"/>
    <x v="0"/>
    <s v="USD"/>
    <x v="0"/>
    <x v="1"/>
    <x v="0"/>
    <x v="0"/>
  </r>
  <r>
    <x v="17"/>
    <x v="2"/>
    <x v="0"/>
    <s v="NA"/>
    <n v="650000"/>
    <s v="Service"/>
    <x v="0"/>
    <s v="USD"/>
    <x v="0"/>
    <x v="1"/>
    <x v="0"/>
    <x v="0"/>
  </r>
  <r>
    <x v="18"/>
    <x v="3"/>
    <x v="0"/>
    <s v="NA"/>
    <n v="450000"/>
    <s v="Machine Order"/>
    <x v="0"/>
    <s v="USD"/>
    <x v="0"/>
    <x v="0"/>
    <x v="0"/>
    <x v="0"/>
  </r>
  <r>
    <x v="19"/>
    <x v="4"/>
    <x v="0"/>
    <s v="NA"/>
    <n v="550000"/>
    <s v="Normal Order"/>
    <x v="0"/>
    <s v="USD"/>
    <x v="0"/>
    <x v="1"/>
    <x v="0"/>
    <x v="0"/>
  </r>
  <r>
    <x v="20"/>
    <x v="0"/>
    <x v="0"/>
    <s v="NA"/>
    <n v="950000"/>
    <s v="Service"/>
    <x v="0"/>
    <s v="USD"/>
    <x v="0"/>
    <x v="0"/>
    <x v="0"/>
    <x v="0"/>
  </r>
  <r>
    <x v="21"/>
    <x v="1"/>
    <x v="0"/>
    <s v="NA"/>
    <n v="250000"/>
    <s v="Machine Order"/>
    <x v="0"/>
    <s v="USD"/>
    <x v="0"/>
    <x v="1"/>
    <x v="0"/>
    <x v="0"/>
  </r>
  <r>
    <x v="22"/>
    <x v="2"/>
    <x v="0"/>
    <s v="NA"/>
    <n v="750000"/>
    <s v="Normal Order"/>
    <x v="0"/>
    <s v="USD"/>
    <x v="0"/>
    <x v="1"/>
    <x v="0"/>
    <x v="0"/>
  </r>
  <r>
    <x v="23"/>
    <x v="3"/>
    <x v="0"/>
    <s v="NA"/>
    <n v="650000"/>
    <s v="Service"/>
    <x v="0"/>
    <s v="USD"/>
    <x v="0"/>
    <x v="0"/>
    <x v="0"/>
    <x v="0"/>
  </r>
  <r>
    <x v="24"/>
    <x v="4"/>
    <x v="0"/>
    <s v="NA"/>
    <n v="350000"/>
    <s v="Machine Order"/>
    <x v="0"/>
    <s v="USD"/>
    <x v="0"/>
    <x v="1"/>
    <x v="0"/>
    <x v="0"/>
  </r>
  <r>
    <x v="25"/>
    <x v="0"/>
    <x v="0"/>
    <s v="NA"/>
    <n v="150000"/>
    <s v="Normal Order"/>
    <x v="0"/>
    <s v="USD"/>
    <x v="0"/>
    <x v="0"/>
    <x v="0"/>
    <x v="0"/>
  </r>
  <r>
    <x v="26"/>
    <x v="1"/>
    <x v="0"/>
    <s v="NA"/>
    <n v="850000"/>
    <s v="Service"/>
    <x v="0"/>
    <s v="USD"/>
    <x v="0"/>
    <x v="1"/>
    <x v="0"/>
    <x v="0"/>
  </r>
  <r>
    <x v="27"/>
    <x v="2"/>
    <x v="0"/>
    <s v="NA"/>
    <n v="450000"/>
    <s v="Machine Order"/>
    <x v="0"/>
    <s v="USD"/>
    <x v="0"/>
    <x v="1"/>
    <x v="0"/>
    <x v="0"/>
  </r>
  <r>
    <x v="28"/>
    <x v="3"/>
    <x v="0"/>
    <s v="NA"/>
    <n v="550000"/>
    <s v="Normal Order"/>
    <x v="0"/>
    <s v="USD"/>
    <x v="0"/>
    <x v="0"/>
    <x v="0"/>
    <x v="0"/>
  </r>
  <r>
    <x v="29"/>
    <x v="4"/>
    <x v="0"/>
    <s v="NA"/>
    <n v="950000"/>
    <s v="Service"/>
    <x v="0"/>
    <s v="USD"/>
    <x v="0"/>
    <x v="1"/>
    <x v="0"/>
    <x v="0"/>
  </r>
  <r>
    <x v="30"/>
    <x v="0"/>
    <x v="0"/>
    <s v="NA"/>
    <n v="250000"/>
    <s v="Machine Order"/>
    <x v="0"/>
    <s v="USD"/>
    <x v="0"/>
    <x v="0"/>
    <x v="0"/>
    <x v="0"/>
  </r>
  <r>
    <x v="31"/>
    <x v="1"/>
    <x v="0"/>
    <s v="NA"/>
    <n v="750000"/>
    <s v="Normal Order"/>
    <x v="0"/>
    <s v="USD"/>
    <x v="0"/>
    <x v="1"/>
    <x v="0"/>
    <x v="0"/>
  </r>
  <r>
    <x v="32"/>
    <x v="2"/>
    <x v="0"/>
    <s v="NA"/>
    <n v="650000"/>
    <s v="Service"/>
    <x v="0"/>
    <s v="USD"/>
    <x v="0"/>
    <x v="1"/>
    <x v="0"/>
    <x v="0"/>
  </r>
  <r>
    <x v="33"/>
    <x v="3"/>
    <x v="0"/>
    <s v="NA"/>
    <n v="350000"/>
    <s v="Machine Order"/>
    <x v="0"/>
    <s v="USD"/>
    <x v="0"/>
    <x v="0"/>
    <x v="0"/>
    <x v="0"/>
  </r>
  <r>
    <x v="34"/>
    <x v="4"/>
    <x v="0"/>
    <s v="NA"/>
    <n v="150000"/>
    <s v="Normal Order"/>
    <x v="0"/>
    <s v="USD"/>
    <x v="0"/>
    <x v="1"/>
    <x v="0"/>
    <x v="0"/>
  </r>
  <r>
    <x v="35"/>
    <x v="0"/>
    <x v="0"/>
    <s v="NA"/>
    <n v="850000"/>
    <s v="Service"/>
    <x v="0"/>
    <s v="USD"/>
    <x v="0"/>
    <x v="0"/>
    <x v="0"/>
    <x v="0"/>
  </r>
  <r>
    <x v="0"/>
    <x v="0"/>
    <x v="0"/>
    <s v="NA"/>
    <n v="500500"/>
    <s v="Machine Order"/>
    <x v="0"/>
    <s v="USD"/>
    <x v="0"/>
    <x v="0"/>
    <x v="0"/>
    <x v="0"/>
  </r>
  <r>
    <x v="1"/>
    <x v="1"/>
    <x v="0"/>
    <s v="NA"/>
    <n v="700.75"/>
    <s v="Normal Order"/>
    <x v="0"/>
    <s v="USD"/>
    <x v="0"/>
    <x v="1"/>
    <x v="0"/>
    <x v="0"/>
  </r>
  <r>
    <x v="2"/>
    <x v="5"/>
    <x v="0"/>
    <s v="NA"/>
    <n v="300.25"/>
    <s v="Service"/>
    <x v="0"/>
    <s v="USD"/>
    <x v="0"/>
    <x v="1"/>
    <x v="0"/>
    <x v="0"/>
  </r>
  <r>
    <x v="3"/>
    <x v="6"/>
    <x v="0"/>
    <s v="NA"/>
    <n v="900.8"/>
    <s v="Machine Order"/>
    <x v="0"/>
    <s v="USD"/>
    <x v="0"/>
    <x v="1"/>
    <x v="0"/>
    <x v="0"/>
  </r>
  <r>
    <x v="4"/>
    <x v="7"/>
    <x v="0"/>
    <s v="NA"/>
    <n v="400.6"/>
    <s v="Normal Order"/>
    <x v="0"/>
    <s v="USD"/>
    <x v="0"/>
    <x v="1"/>
    <x v="0"/>
    <x v="0"/>
  </r>
  <r>
    <x v="5"/>
    <x v="8"/>
    <x v="0"/>
    <s v="NA"/>
    <n v="600.35"/>
    <s v="Service"/>
    <x v="0"/>
    <s v="USD"/>
    <x v="0"/>
    <x v="1"/>
    <x v="0"/>
    <x v="0"/>
  </r>
  <r>
    <x v="6"/>
    <x v="9"/>
    <x v="0"/>
    <s v="NA"/>
    <n v="800.9"/>
    <s v="Machine Order"/>
    <x v="0"/>
    <s v="USD"/>
    <x v="0"/>
    <x v="1"/>
    <x v="0"/>
    <x v="0"/>
  </r>
  <r>
    <x v="7"/>
    <x v="10"/>
    <x v="0"/>
    <s v="NA"/>
    <n v="200.75"/>
    <s v="Normal Order"/>
    <x v="0"/>
    <s v="USD"/>
    <x v="0"/>
    <x v="1"/>
    <x v="0"/>
    <x v="0"/>
  </r>
  <r>
    <x v="8"/>
    <x v="11"/>
    <x v="0"/>
    <s v="NA"/>
    <n v="1000.45"/>
    <s v="Service"/>
    <x v="0"/>
    <s v="USD"/>
    <x v="0"/>
    <x v="1"/>
    <x v="0"/>
    <x v="0"/>
  </r>
  <r>
    <x v="9"/>
    <x v="12"/>
    <x v="0"/>
    <s v="NA"/>
    <n v="550.25"/>
    <s v="Machine Order"/>
    <x v="0"/>
    <s v="USD"/>
    <x v="0"/>
    <x v="1"/>
    <x v="0"/>
    <x v="0"/>
  </r>
  <r>
    <x v="10"/>
    <x v="13"/>
    <x v="0"/>
    <s v="NA"/>
    <n v="450.7"/>
    <s v="Normal Order"/>
    <x v="0"/>
    <s v="USD"/>
    <x v="0"/>
    <x v="1"/>
    <x v="0"/>
    <x v="0"/>
  </r>
  <r>
    <x v="11"/>
    <x v="14"/>
    <x v="0"/>
    <s v="NA"/>
    <n v="350.8"/>
    <s v="Service"/>
    <x v="0"/>
    <s v="USD"/>
    <x v="0"/>
    <x v="1"/>
    <x v="0"/>
    <x v="0"/>
  </r>
  <r>
    <x v="12"/>
    <x v="15"/>
    <x v="0"/>
    <s v="NA"/>
    <n v="950.6"/>
    <s v="Machine Order"/>
    <x v="0"/>
    <s v="USD"/>
    <x v="0"/>
    <x v="1"/>
    <x v="0"/>
    <x v="0"/>
  </r>
  <r>
    <x v="13"/>
    <x v="16"/>
    <x v="0"/>
    <s v="NA"/>
    <n v="250.9"/>
    <s v="Normal Order"/>
    <x v="0"/>
    <s v="USD"/>
    <x v="0"/>
    <x v="1"/>
    <x v="0"/>
    <x v="0"/>
  </r>
  <r>
    <x v="14"/>
    <x v="17"/>
    <x v="0"/>
    <s v="NA"/>
    <n v="750.25"/>
    <s v="Service"/>
    <x v="0"/>
    <s v="USD"/>
    <x v="0"/>
    <x v="1"/>
    <x v="0"/>
    <x v="0"/>
  </r>
  <r>
    <x v="15"/>
    <x v="18"/>
    <x v="0"/>
    <s v="NA"/>
    <n v="850.35"/>
    <s v="Machine Order"/>
    <x v="0"/>
    <s v="USD"/>
    <x v="0"/>
    <x v="1"/>
    <x v="0"/>
    <x v="0"/>
  </r>
  <r>
    <x v="16"/>
    <x v="19"/>
    <x v="0"/>
    <s v="NA"/>
    <n v="150.4"/>
    <s v="Normal Order"/>
    <x v="0"/>
    <s v="USD"/>
    <x v="0"/>
    <x v="1"/>
    <x v="0"/>
    <x v="0"/>
  </r>
  <r>
    <x v="17"/>
    <x v="20"/>
    <x v="0"/>
    <s v="NA"/>
    <n v="650.75"/>
    <s v="Service"/>
    <x v="0"/>
    <s v="USD"/>
    <x v="0"/>
    <x v="1"/>
    <x v="0"/>
    <x v="0"/>
  </r>
  <r>
    <x v="18"/>
    <x v="21"/>
    <x v="0"/>
    <s v="NA"/>
    <n v="450.65"/>
    <s v="Machine Order"/>
    <x v="0"/>
    <s v="USD"/>
    <x v="0"/>
    <x v="1"/>
    <x v="0"/>
    <x v="0"/>
  </r>
  <r>
    <x v="19"/>
    <x v="22"/>
    <x v="0"/>
    <s v="NA"/>
    <n v="550.79999999999995"/>
    <s v="Normal Order"/>
    <x v="0"/>
    <s v="USD"/>
    <x v="0"/>
    <x v="1"/>
    <x v="0"/>
    <x v="0"/>
  </r>
  <r>
    <x v="20"/>
    <x v="23"/>
    <x v="0"/>
    <s v="NA"/>
    <n v="950.7"/>
    <s v="Service"/>
    <x v="0"/>
    <s v="USD"/>
    <x v="0"/>
    <x v="1"/>
    <x v="0"/>
    <x v="0"/>
  </r>
  <r>
    <x v="21"/>
    <x v="24"/>
    <x v="0"/>
    <s v="NA"/>
    <n v="250.9"/>
    <s v="Machine Order"/>
    <x v="0"/>
    <s v="USD"/>
    <x v="0"/>
    <x v="1"/>
    <x v="0"/>
    <x v="0"/>
  </r>
  <r>
    <x v="22"/>
    <x v="25"/>
    <x v="0"/>
    <s v="NA"/>
    <n v="750.5"/>
    <s v="Normal Order"/>
    <x v="0"/>
    <s v="USD"/>
    <x v="0"/>
    <x v="1"/>
    <x v="0"/>
    <x v="0"/>
  </r>
  <r>
    <x v="23"/>
    <x v="26"/>
    <x v="0"/>
    <s v="NA"/>
    <n v="650.6"/>
    <s v="Service"/>
    <x v="0"/>
    <s v="USD"/>
    <x v="0"/>
    <x v="1"/>
    <x v="0"/>
    <x v="0"/>
  </r>
  <r>
    <x v="24"/>
    <x v="27"/>
    <x v="0"/>
    <s v="NA"/>
    <n v="350.75"/>
    <s v="Machine Order"/>
    <x v="0"/>
    <s v="USD"/>
    <x v="0"/>
    <x v="1"/>
    <x v="1"/>
    <x v="0"/>
  </r>
  <r>
    <x v="25"/>
    <x v="28"/>
    <x v="0"/>
    <s v="NA"/>
    <n v="150.9"/>
    <s v="Normal Order"/>
    <x v="0"/>
    <s v="USD"/>
    <x v="0"/>
    <x v="1"/>
    <x v="1"/>
    <x v="0"/>
  </r>
  <r>
    <x v="26"/>
    <x v="29"/>
    <x v="0"/>
    <s v="NA"/>
    <n v="850.45"/>
    <s v="Service"/>
    <x v="0"/>
    <s v="USD"/>
    <x v="0"/>
    <x v="1"/>
    <x v="1"/>
    <x v="0"/>
  </r>
  <r>
    <x v="27"/>
    <x v="30"/>
    <x v="0"/>
    <s v="NA"/>
    <n v="450.8"/>
    <s v="Machine Order"/>
    <x v="0"/>
    <s v="USD"/>
    <x v="0"/>
    <x v="1"/>
    <x v="1"/>
    <x v="0"/>
  </r>
  <r>
    <x v="28"/>
    <x v="31"/>
    <x v="0"/>
    <s v="NA"/>
    <n v="550.9"/>
    <s v="Normal Order"/>
    <x v="0"/>
    <s v="USD"/>
    <x v="0"/>
    <x v="1"/>
    <x v="1"/>
    <x v="0"/>
  </r>
  <r>
    <x v="29"/>
    <x v="32"/>
    <x v="0"/>
    <s v="NA"/>
    <n v="950.25"/>
    <s v="Service"/>
    <x v="0"/>
    <s v="USD"/>
    <x v="0"/>
    <x v="1"/>
    <x v="1"/>
    <x v="0"/>
  </r>
  <r>
    <x v="30"/>
    <x v="33"/>
    <x v="0"/>
    <s v="NA"/>
    <n v="250.5"/>
    <s v="Machine Order"/>
    <x v="0"/>
    <s v="USD"/>
    <x v="0"/>
    <x v="1"/>
    <x v="1"/>
    <x v="0"/>
  </r>
  <r>
    <x v="31"/>
    <x v="34"/>
    <x v="0"/>
    <s v="NA"/>
    <n v="750.6"/>
    <s v="Normal Order"/>
    <x v="0"/>
    <s v="USD"/>
    <x v="0"/>
    <x v="1"/>
    <x v="0"/>
    <x v="0"/>
  </r>
  <r>
    <x v="32"/>
    <x v="35"/>
    <x v="0"/>
    <s v="NA"/>
    <n v="650.25"/>
    <s v="Service"/>
    <x v="0"/>
    <s v="USD"/>
    <x v="0"/>
    <x v="1"/>
    <x v="1"/>
    <x v="0"/>
  </r>
  <r>
    <x v="33"/>
    <x v="36"/>
    <x v="0"/>
    <s v="NA"/>
    <n v="350.7"/>
    <s v="Machine Order"/>
    <x v="0"/>
    <s v="USD"/>
    <x v="0"/>
    <x v="1"/>
    <x v="1"/>
    <x v="0"/>
  </r>
  <r>
    <x v="34"/>
    <x v="37"/>
    <x v="0"/>
    <s v="NA"/>
    <n v="150.80000000000001"/>
    <s v="Normal Order"/>
    <x v="0"/>
    <s v="USD"/>
    <x v="0"/>
    <x v="1"/>
    <x v="1"/>
    <x v="0"/>
  </r>
  <r>
    <x v="35"/>
    <x v="38"/>
    <x v="0"/>
    <s v="NA"/>
    <n v="850.45"/>
    <s v="Service"/>
    <x v="0"/>
    <s v="USD"/>
    <x v="0"/>
    <x v="1"/>
    <x v="1"/>
    <x v="0"/>
  </r>
  <r>
    <x v="0"/>
    <x v="39"/>
    <x v="0"/>
    <s v="NA"/>
    <n v="5000.25"/>
    <s v="Machine Order"/>
    <x v="0"/>
    <s v="USD"/>
    <x v="0"/>
    <x v="1"/>
    <x v="0"/>
    <x v="0"/>
  </r>
  <r>
    <x v="1"/>
    <x v="40"/>
    <x v="0"/>
    <s v="NA"/>
    <n v="7000.75"/>
    <s v="Normal Order"/>
    <x v="0"/>
    <s v="USD"/>
    <x v="0"/>
    <x v="1"/>
    <x v="0"/>
    <x v="0"/>
  </r>
  <r>
    <x v="2"/>
    <x v="41"/>
    <x v="0"/>
    <s v="NA"/>
    <n v="3000.5"/>
    <s v="Service"/>
    <x v="0"/>
    <s v="USD"/>
    <x v="0"/>
    <x v="1"/>
    <x v="0"/>
    <x v="0"/>
  </r>
  <r>
    <x v="3"/>
    <x v="42"/>
    <x v="0"/>
    <s v="NA"/>
    <n v="9000"/>
    <s v="Machine Order"/>
    <x v="0"/>
    <s v="USD"/>
    <x v="0"/>
    <x v="1"/>
    <x v="0"/>
    <x v="0"/>
  </r>
  <r>
    <x v="4"/>
    <x v="43"/>
    <x v="0"/>
    <s v="NA"/>
    <n v="4000.75"/>
    <s v="Normal Order"/>
    <x v="0"/>
    <s v="USD"/>
    <x v="0"/>
    <x v="1"/>
    <x v="0"/>
    <x v="0"/>
  </r>
  <r>
    <x v="5"/>
    <x v="44"/>
    <x v="0"/>
    <s v="NA"/>
    <n v="6000.25"/>
    <s v="Service"/>
    <x v="0"/>
    <s v="USD"/>
    <x v="0"/>
    <x v="1"/>
    <x v="0"/>
    <x v="0"/>
  </r>
  <r>
    <x v="6"/>
    <x v="45"/>
    <x v="0"/>
    <s v="NA"/>
    <n v="8000.5"/>
    <s v="Machine Order"/>
    <x v="0"/>
    <s v="USD"/>
    <x v="0"/>
    <x v="1"/>
    <x v="0"/>
    <x v="0"/>
  </r>
  <r>
    <x v="7"/>
    <x v="10"/>
    <x v="0"/>
    <s v="NA"/>
    <n v="2000.75"/>
    <s v="Normal Order"/>
    <x v="0"/>
    <s v="USD"/>
    <x v="0"/>
    <x v="1"/>
    <x v="0"/>
    <x v="0"/>
  </r>
  <r>
    <x v="8"/>
    <x v="46"/>
    <x v="0"/>
    <s v="NA"/>
    <n v="10000.25"/>
    <s v="Service"/>
    <x v="0"/>
    <s v="USD"/>
    <x v="0"/>
    <x v="1"/>
    <x v="0"/>
    <x v="0"/>
  </r>
  <r>
    <x v="9"/>
    <x v="47"/>
    <x v="0"/>
    <s v="NA"/>
    <n v="5500.5"/>
    <s v="Machine Order"/>
    <x v="0"/>
    <s v="USD"/>
    <x v="0"/>
    <x v="1"/>
    <x v="0"/>
    <x v="0"/>
  </r>
  <r>
    <x v="10"/>
    <x v="48"/>
    <x v="0"/>
    <s v="NA"/>
    <n v="4500.75"/>
    <s v="Normal Order"/>
    <x v="0"/>
    <s v="USD"/>
    <x v="0"/>
    <x v="1"/>
    <x v="0"/>
    <x v="0"/>
  </r>
  <r>
    <x v="11"/>
    <x v="7"/>
    <x v="0"/>
    <s v="NA"/>
    <n v="3500.25"/>
    <s v="Service"/>
    <x v="0"/>
    <s v="USD"/>
    <x v="0"/>
    <x v="1"/>
    <x v="0"/>
    <x v="0"/>
  </r>
  <r>
    <x v="12"/>
    <x v="15"/>
    <x v="0"/>
    <s v="NA"/>
    <n v="9500.5"/>
    <s v="Machine Order"/>
    <x v="0"/>
    <s v="USD"/>
    <x v="0"/>
    <x v="1"/>
    <x v="0"/>
    <x v="0"/>
  </r>
  <r>
    <x v="13"/>
    <x v="12"/>
    <x v="0"/>
    <s v="NA"/>
    <n v="2500.75"/>
    <s v="Normal Order"/>
    <x v="0"/>
    <s v="USD"/>
    <x v="0"/>
    <x v="1"/>
    <x v="0"/>
    <x v="0"/>
  </r>
  <r>
    <x v="14"/>
    <x v="49"/>
    <x v="0"/>
    <s v="NA"/>
    <n v="7500.25"/>
    <s v="Service"/>
    <x v="0"/>
    <s v="USD"/>
    <x v="0"/>
    <x v="1"/>
    <x v="0"/>
    <x v="0"/>
  </r>
  <r>
    <x v="15"/>
    <x v="50"/>
    <x v="0"/>
    <s v="NA"/>
    <n v="8500.5"/>
    <s v="Machine Order"/>
    <x v="0"/>
    <s v="USD"/>
    <x v="0"/>
    <x v="1"/>
    <x v="0"/>
    <x v="0"/>
  </r>
  <r>
    <x v="16"/>
    <x v="51"/>
    <x v="0"/>
    <s v="NA"/>
    <n v="1500.75"/>
    <s v="Normal Order"/>
    <x v="0"/>
    <s v="USD"/>
    <x v="0"/>
    <x v="1"/>
    <x v="0"/>
    <x v="0"/>
  </r>
  <r>
    <x v="17"/>
    <x v="52"/>
    <x v="0"/>
    <s v="NA"/>
    <n v="6500.25"/>
    <s v="Service"/>
    <x v="0"/>
    <s v="USD"/>
    <x v="0"/>
    <x v="1"/>
    <x v="0"/>
    <x v="0"/>
  </r>
  <r>
    <x v="18"/>
    <x v="53"/>
    <x v="0"/>
    <s v="NA"/>
    <n v="4500.5"/>
    <s v="Machine Order"/>
    <x v="0"/>
    <s v="USD"/>
    <x v="0"/>
    <x v="1"/>
    <x v="0"/>
    <x v="0"/>
  </r>
  <r>
    <x v="19"/>
    <x v="54"/>
    <x v="0"/>
    <s v="NA"/>
    <n v="5500.75"/>
    <s v="Normal Order"/>
    <x v="0"/>
    <s v="USD"/>
    <x v="0"/>
    <x v="1"/>
    <x v="0"/>
    <x v="0"/>
  </r>
  <r>
    <x v="20"/>
    <x v="55"/>
    <x v="0"/>
    <s v="NA"/>
    <n v="9500.25"/>
    <s v="Service"/>
    <x v="0"/>
    <s v="USD"/>
    <x v="0"/>
    <x v="1"/>
    <x v="0"/>
    <x v="0"/>
  </r>
  <r>
    <x v="21"/>
    <x v="56"/>
    <x v="0"/>
    <s v="NA"/>
    <n v="2500.5"/>
    <s v="Machine Order"/>
    <x v="0"/>
    <s v="USD"/>
    <x v="0"/>
    <x v="1"/>
    <x v="0"/>
    <x v="0"/>
  </r>
  <r>
    <x v="22"/>
    <x v="57"/>
    <x v="0"/>
    <s v="NA"/>
    <n v="7500.75"/>
    <s v="Normal Order"/>
    <x v="0"/>
    <s v="USD"/>
    <x v="0"/>
    <x v="1"/>
    <x v="0"/>
    <x v="0"/>
  </r>
  <r>
    <x v="23"/>
    <x v="58"/>
    <x v="0"/>
    <s v="NA"/>
    <n v="6500.25"/>
    <s v="Service"/>
    <x v="0"/>
    <s v="USD"/>
    <x v="0"/>
    <x v="1"/>
    <x v="0"/>
    <x v="0"/>
  </r>
  <r>
    <x v="24"/>
    <x v="59"/>
    <x v="0"/>
    <s v="NA"/>
    <n v="3500.5"/>
    <s v="Machine Order"/>
    <x v="0"/>
    <s v="USD"/>
    <x v="0"/>
    <x v="1"/>
    <x v="1"/>
    <x v="0"/>
  </r>
  <r>
    <x v="25"/>
    <x v="60"/>
    <x v="0"/>
    <s v="NA"/>
    <n v="1500.75"/>
    <s v="Normal Order"/>
    <x v="0"/>
    <s v="USD"/>
    <x v="0"/>
    <x v="1"/>
    <x v="0"/>
    <x v="0"/>
  </r>
  <r>
    <x v="26"/>
    <x v="61"/>
    <x v="0"/>
    <s v="NA"/>
    <n v="8500.25"/>
    <s v="Service"/>
    <x v="0"/>
    <s v="USD"/>
    <x v="0"/>
    <x v="1"/>
    <x v="1"/>
    <x v="0"/>
  </r>
  <r>
    <x v="27"/>
    <x v="62"/>
    <x v="0"/>
    <s v="NA"/>
    <n v="4500.5"/>
    <s v="Machine Order"/>
    <x v="0"/>
    <s v="USD"/>
    <x v="0"/>
    <x v="1"/>
    <x v="1"/>
    <x v="0"/>
  </r>
  <r>
    <x v="28"/>
    <x v="63"/>
    <x v="0"/>
    <s v="NA"/>
    <n v="5500.75"/>
    <s v="Normal Order"/>
    <x v="0"/>
    <s v="USD"/>
    <x v="0"/>
    <x v="1"/>
    <x v="0"/>
    <x v="0"/>
  </r>
  <r>
    <x v="29"/>
    <x v="64"/>
    <x v="0"/>
    <s v="NA"/>
    <n v="19500.25"/>
    <s v="Service"/>
    <x v="0"/>
    <s v="USD"/>
    <x v="0"/>
    <x v="1"/>
    <x v="1"/>
    <x v="0"/>
  </r>
  <r>
    <x v="30"/>
    <x v="65"/>
    <x v="0"/>
    <s v="NA"/>
    <n v="2500.5"/>
    <s v="Machine Order"/>
    <x v="0"/>
    <s v="USD"/>
    <x v="0"/>
    <x v="1"/>
    <x v="1"/>
    <x v="0"/>
  </r>
  <r>
    <x v="31"/>
    <x v="66"/>
    <x v="0"/>
    <s v="NA"/>
    <n v="17500.75"/>
    <s v="Normal Order"/>
    <x v="0"/>
    <s v="USD"/>
    <x v="0"/>
    <x v="1"/>
    <x v="1"/>
    <x v="0"/>
  </r>
  <r>
    <x v="32"/>
    <x v="67"/>
    <x v="0"/>
    <s v="NA"/>
    <n v="16500.5"/>
    <s v="Service"/>
    <x v="0"/>
    <s v="USD"/>
    <x v="0"/>
    <x v="1"/>
    <x v="1"/>
    <x v="0"/>
  </r>
  <r>
    <x v="33"/>
    <x v="5"/>
    <x v="0"/>
    <s v="NA"/>
    <n v="13500.25"/>
    <s v="Machine Order"/>
    <x v="0"/>
    <s v="USD"/>
    <x v="0"/>
    <x v="1"/>
    <x v="0"/>
    <x v="0"/>
  </r>
  <r>
    <x v="34"/>
    <x v="68"/>
    <x v="0"/>
    <s v="NA"/>
    <n v="11500.75"/>
    <s v="Normal Order"/>
    <x v="0"/>
    <s v="USD"/>
    <x v="0"/>
    <x v="1"/>
    <x v="1"/>
    <x v="0"/>
  </r>
  <r>
    <x v="35"/>
    <x v="69"/>
    <x v="0"/>
    <s v="NA"/>
    <n v="18500.25"/>
    <s v="Service"/>
    <x v="0"/>
    <s v="USD"/>
    <x v="0"/>
    <x v="1"/>
    <x v="1"/>
    <x v="0"/>
  </r>
  <r>
    <x v="0"/>
    <x v="63"/>
    <x v="0"/>
    <s v="NA"/>
    <n v="500.5"/>
    <s v="Machine Order"/>
    <x v="0"/>
    <s v="USD"/>
    <x v="0"/>
    <x v="1"/>
    <x v="0"/>
    <x v="0"/>
  </r>
  <r>
    <x v="1"/>
    <x v="5"/>
    <x v="0"/>
    <s v="NA"/>
    <n v="700.75"/>
    <s v="Normal Order"/>
    <x v="0"/>
    <s v="USD"/>
    <x v="0"/>
    <x v="1"/>
    <x v="0"/>
    <x v="0"/>
  </r>
  <r>
    <x v="2"/>
    <x v="40"/>
    <x v="0"/>
    <s v="NA"/>
    <n v="300.25"/>
    <s v="Service"/>
    <x v="0"/>
    <s v="USD"/>
    <x v="0"/>
    <x v="1"/>
    <x v="0"/>
    <x v="0"/>
  </r>
  <r>
    <x v="3"/>
    <x v="70"/>
    <x v="0"/>
    <s v="NA"/>
    <n v="900.8"/>
    <s v="Machine Order"/>
    <x v="0"/>
    <s v="USD"/>
    <x v="0"/>
    <x v="1"/>
    <x v="0"/>
    <x v="0"/>
  </r>
  <r>
    <x v="4"/>
    <x v="71"/>
    <x v="0"/>
    <s v="NA"/>
    <n v="400.6"/>
    <s v="Normal Order"/>
    <x v="0"/>
    <s v="USD"/>
    <x v="0"/>
    <x v="1"/>
    <x v="0"/>
    <x v="0"/>
  </r>
  <r>
    <x v="5"/>
    <x v="49"/>
    <x v="0"/>
    <s v="NA"/>
    <n v="600.35"/>
    <s v="Service"/>
    <x v="0"/>
    <s v="USD"/>
    <x v="0"/>
    <x v="1"/>
    <x v="0"/>
    <x v="0"/>
  </r>
  <r>
    <x v="6"/>
    <x v="60"/>
    <x v="0"/>
    <s v="NA"/>
    <n v="800.9"/>
    <s v="Machine Order"/>
    <x v="0"/>
    <s v="USD"/>
    <x v="0"/>
    <x v="1"/>
    <x v="0"/>
    <x v="0"/>
  </r>
  <r>
    <x v="7"/>
    <x v="13"/>
    <x v="0"/>
    <s v="NA"/>
    <n v="200.75"/>
    <s v="Normal Order"/>
    <x v="0"/>
    <s v="USD"/>
    <x v="0"/>
    <x v="1"/>
    <x v="0"/>
    <x v="0"/>
  </r>
  <r>
    <x v="8"/>
    <x v="72"/>
    <x v="0"/>
    <s v="NA"/>
    <n v="1000.2"/>
    <s v="Service"/>
    <x v="0"/>
    <s v="USD"/>
    <x v="0"/>
    <x v="1"/>
    <x v="0"/>
    <x v="0"/>
  </r>
  <r>
    <x v="9"/>
    <x v="12"/>
    <x v="0"/>
    <s v="NA"/>
    <n v="550.45000000000005"/>
    <s v="Machine Order"/>
    <x v="0"/>
    <s v="USD"/>
    <x v="0"/>
    <x v="1"/>
    <x v="0"/>
    <x v="0"/>
  </r>
  <r>
    <x v="10"/>
    <x v="73"/>
    <x v="0"/>
    <s v="NA"/>
    <n v="450.3"/>
    <s v="Normal Order"/>
    <x v="0"/>
    <s v="USD"/>
    <x v="0"/>
    <x v="1"/>
    <x v="0"/>
    <x v="0"/>
  </r>
  <r>
    <x v="11"/>
    <x v="74"/>
    <x v="0"/>
    <s v="NA"/>
    <n v="350.55"/>
    <s v="Service"/>
    <x v="0"/>
    <s v="USD"/>
    <x v="0"/>
    <x v="1"/>
    <x v="0"/>
    <x v="0"/>
  </r>
  <r>
    <x v="12"/>
    <x v="75"/>
    <x v="0"/>
    <s v="NA"/>
    <n v="950.7"/>
    <s v="Machine Order"/>
    <x v="0"/>
    <s v="USD"/>
    <x v="0"/>
    <x v="1"/>
    <x v="0"/>
    <x v="0"/>
  </r>
  <r>
    <x v="13"/>
    <x v="17"/>
    <x v="0"/>
    <s v="NA"/>
    <n v="250.85"/>
    <s v="Normal Order"/>
    <x v="0"/>
    <s v="USD"/>
    <x v="0"/>
    <x v="1"/>
    <x v="0"/>
    <x v="0"/>
  </r>
  <r>
    <x v="14"/>
    <x v="34"/>
    <x v="0"/>
    <s v="NA"/>
    <n v="750.4"/>
    <s v="Service"/>
    <x v="0"/>
    <s v="USD"/>
    <x v="0"/>
    <x v="1"/>
    <x v="0"/>
    <x v="0"/>
  </r>
  <r>
    <x v="15"/>
    <x v="76"/>
    <x v="0"/>
    <s v="NA"/>
    <n v="850.95"/>
    <s v="Machine Order"/>
    <x v="0"/>
    <s v="USD"/>
    <x v="0"/>
    <x v="1"/>
    <x v="0"/>
    <x v="0"/>
  </r>
  <r>
    <x v="16"/>
    <x v="77"/>
    <x v="0"/>
    <s v="NA"/>
    <n v="150.65"/>
    <s v="Normal Order"/>
    <x v="0"/>
    <s v="USD"/>
    <x v="0"/>
    <x v="1"/>
    <x v="0"/>
    <x v="0"/>
  </r>
  <r>
    <x v="17"/>
    <x v="78"/>
    <x v="0"/>
    <s v="NA"/>
    <n v="650.25"/>
    <s v="Service"/>
    <x v="0"/>
    <s v="USD"/>
    <x v="0"/>
    <x v="1"/>
    <x v="0"/>
    <x v="0"/>
  </r>
  <r>
    <x v="18"/>
    <x v="79"/>
    <x v="0"/>
    <s v="NA"/>
    <n v="450.75"/>
    <s v="Machine Order"/>
    <x v="0"/>
    <s v="USD"/>
    <x v="0"/>
    <x v="1"/>
    <x v="0"/>
    <x v="0"/>
  </r>
  <r>
    <x v="19"/>
    <x v="80"/>
    <x v="0"/>
    <s v="NA"/>
    <n v="550.20000000000005"/>
    <s v="Normal Order"/>
    <x v="0"/>
    <s v="USD"/>
    <x v="0"/>
    <x v="1"/>
    <x v="0"/>
    <x v="0"/>
  </r>
  <r>
    <x v="20"/>
    <x v="22"/>
    <x v="0"/>
    <s v="NA"/>
    <n v="950.3"/>
    <s v="Service"/>
    <x v="0"/>
    <s v="USD"/>
    <x v="0"/>
    <x v="1"/>
    <x v="0"/>
    <x v="0"/>
  </r>
  <r>
    <x v="21"/>
    <x v="81"/>
    <x v="0"/>
    <s v="NA"/>
    <n v="250.45"/>
    <s v="Machine Order"/>
    <x v="0"/>
    <s v="USD"/>
    <x v="0"/>
    <x v="1"/>
    <x v="0"/>
    <x v="0"/>
  </r>
  <r>
    <x v="22"/>
    <x v="82"/>
    <x v="0"/>
    <s v="NA"/>
    <n v="750.9"/>
    <s v="Normal Order"/>
    <x v="0"/>
    <s v="USD"/>
    <x v="0"/>
    <x v="1"/>
    <x v="0"/>
    <x v="0"/>
  </r>
  <r>
    <x v="23"/>
    <x v="83"/>
    <x v="0"/>
    <s v="NA"/>
    <n v="650.6"/>
    <s v="Service"/>
    <x v="0"/>
    <s v="USD"/>
    <x v="0"/>
    <x v="1"/>
    <x v="0"/>
    <x v="0"/>
  </r>
  <r>
    <x v="24"/>
    <x v="84"/>
    <x v="0"/>
    <s v="NA"/>
    <n v="350.75"/>
    <s v="Machine Order"/>
    <x v="0"/>
    <s v="USD"/>
    <x v="0"/>
    <x v="1"/>
    <x v="1"/>
    <x v="0"/>
  </r>
  <r>
    <x v="25"/>
    <x v="85"/>
    <x v="0"/>
    <s v="NA"/>
    <n v="150.55000000000001"/>
    <s v="Normal Order"/>
    <x v="0"/>
    <s v="USD"/>
    <x v="0"/>
    <x v="1"/>
    <x v="1"/>
    <x v="0"/>
  </r>
  <r>
    <x v="26"/>
    <x v="86"/>
    <x v="0"/>
    <s v="NA"/>
    <n v="850.8"/>
    <s v="Service"/>
    <x v="0"/>
    <s v="USD"/>
    <x v="0"/>
    <x v="1"/>
    <x v="1"/>
    <x v="0"/>
  </r>
  <r>
    <x v="27"/>
    <x v="87"/>
    <x v="0"/>
    <s v="NA"/>
    <n v="450.95"/>
    <s v="Machine Order"/>
    <x v="0"/>
    <s v="USD"/>
    <x v="0"/>
    <x v="1"/>
    <x v="1"/>
    <x v="0"/>
  </r>
  <r>
    <x v="28"/>
    <x v="88"/>
    <x v="0"/>
    <s v="NA"/>
    <n v="550.25"/>
    <s v="Normal Order"/>
    <x v="0"/>
    <s v="USD"/>
    <x v="0"/>
    <x v="1"/>
    <x v="1"/>
    <x v="0"/>
  </r>
  <r>
    <x v="29"/>
    <x v="89"/>
    <x v="0"/>
    <s v="NA"/>
    <n v="950.5"/>
    <s v="Service"/>
    <x v="0"/>
    <s v="USD"/>
    <x v="0"/>
    <x v="1"/>
    <x v="1"/>
    <x v="0"/>
  </r>
  <r>
    <x v="30"/>
    <x v="29"/>
    <x v="0"/>
    <s v="NA"/>
    <n v="250.75"/>
    <s v="Machine Order"/>
    <x v="0"/>
    <s v="USD"/>
    <x v="0"/>
    <x v="1"/>
    <x v="1"/>
    <x v="0"/>
  </r>
  <r>
    <x v="31"/>
    <x v="90"/>
    <x v="0"/>
    <s v="NA"/>
    <n v="750.2"/>
    <s v="Normal Order"/>
    <x v="0"/>
    <s v="USD"/>
    <x v="0"/>
    <x v="1"/>
    <x v="1"/>
    <x v="0"/>
  </r>
  <r>
    <x v="32"/>
    <x v="34"/>
    <x v="0"/>
    <s v="NA"/>
    <n v="650.45000000000005"/>
    <s v="Service"/>
    <x v="0"/>
    <s v="USD"/>
    <x v="0"/>
    <x v="1"/>
    <x v="0"/>
    <x v="0"/>
  </r>
  <r>
    <x v="33"/>
    <x v="91"/>
    <x v="0"/>
    <s v="NA"/>
    <n v="350.9"/>
    <s v="Machine Order"/>
    <x v="0"/>
    <s v="USD"/>
    <x v="0"/>
    <x v="1"/>
    <x v="1"/>
    <x v="0"/>
  </r>
  <r>
    <x v="34"/>
    <x v="33"/>
    <x v="0"/>
    <s v="NA"/>
    <n v="150.30000000000001"/>
    <s v="Normal Order"/>
    <x v="0"/>
    <s v="USD"/>
    <x v="0"/>
    <x v="1"/>
    <x v="1"/>
    <x v="0"/>
  </r>
  <r>
    <x v="35"/>
    <x v="92"/>
    <x v="0"/>
    <s v="NA"/>
    <n v="850.6"/>
    <s v="Service"/>
    <x v="0"/>
    <s v="USD"/>
    <x v="0"/>
    <x v="1"/>
    <x v="1"/>
    <x v="0"/>
  </r>
  <r>
    <x v="36"/>
    <x v="84"/>
    <x v="0"/>
    <s v="NA"/>
    <n v="25000.75"/>
    <s v="Machine Order"/>
    <x v="0"/>
    <s v="USD"/>
    <x v="0"/>
    <x v="1"/>
    <x v="1"/>
    <x v="0"/>
  </r>
  <r>
    <x v="37"/>
    <x v="85"/>
    <x v="0"/>
    <s v="NA"/>
    <n v="200050.55"/>
    <s v="Normal Order"/>
    <x v="0"/>
    <s v="USD"/>
    <x v="0"/>
    <x v="1"/>
    <x v="1"/>
    <x v="0"/>
  </r>
  <r>
    <x v="26"/>
    <x v="86"/>
    <x v="0"/>
    <s v="NA"/>
    <n v="300020.8"/>
    <s v="Service"/>
    <x v="0"/>
    <s v="USD"/>
    <x v="0"/>
    <x v="1"/>
    <x v="1"/>
    <x v="0"/>
  </r>
  <r>
    <x v="27"/>
    <x v="87"/>
    <x v="0"/>
    <s v="NA"/>
    <n v="220050.95"/>
    <s v="Machine Order"/>
    <x v="0"/>
    <s v="USD"/>
    <x v="0"/>
    <x v="1"/>
    <x v="1"/>
    <x v="0"/>
  </r>
  <r>
    <x v="28"/>
    <x v="88"/>
    <x v="0"/>
    <s v="NA"/>
    <n v="210000.25"/>
    <s v="Normal Order"/>
    <x v="0"/>
    <s v="USD"/>
    <x v="0"/>
    <x v="1"/>
    <x v="1"/>
    <x v="0"/>
  </r>
  <r>
    <x v="29"/>
    <x v="89"/>
    <x v="0"/>
    <s v="NA"/>
    <n v="28000.5"/>
    <s v="Service"/>
    <x v="0"/>
    <s v="USD"/>
    <x v="0"/>
    <x v="1"/>
    <x v="1"/>
    <x v="0"/>
  </r>
  <r>
    <x v="30"/>
    <x v="29"/>
    <x v="0"/>
    <s v="NA"/>
    <n v="26000.75"/>
    <s v="Machine Order"/>
    <x v="0"/>
    <s v="USD"/>
    <x v="0"/>
    <x v="1"/>
    <x v="1"/>
    <x v="0"/>
  </r>
  <r>
    <x v="31"/>
    <x v="90"/>
    <x v="0"/>
    <s v="NA"/>
    <n v="27000.2"/>
    <s v="Normal Order"/>
    <x v="0"/>
    <s v="USD"/>
    <x v="0"/>
    <x v="1"/>
    <x v="1"/>
    <x v="0"/>
  </r>
  <r>
    <x v="32"/>
    <x v="34"/>
    <x v="0"/>
    <s v="NA"/>
    <n v="29000.45"/>
    <s v="Service"/>
    <x v="0"/>
    <s v="USD"/>
    <x v="0"/>
    <x v="1"/>
    <x v="0"/>
    <x v="0"/>
  </r>
  <r>
    <x v="33"/>
    <x v="91"/>
    <x v="0"/>
    <s v="NA"/>
    <n v="24000.9"/>
    <s v="Machine Order"/>
    <x v="0"/>
    <s v="USD"/>
    <x v="0"/>
    <x v="1"/>
    <x v="1"/>
    <x v="0"/>
  </r>
  <r>
    <x v="34"/>
    <x v="33"/>
    <x v="0"/>
    <s v="NA"/>
    <n v="23000.3"/>
    <s v="Normal Order"/>
    <x v="0"/>
    <s v="USD"/>
    <x v="0"/>
    <x v="1"/>
    <x v="1"/>
    <x v="0"/>
  </r>
  <r>
    <x v="35"/>
    <x v="92"/>
    <x v="0"/>
    <s v="NA"/>
    <n v="25000.6"/>
    <s v="Service"/>
    <x v="0"/>
    <s v="USD"/>
    <x v="0"/>
    <x v="1"/>
    <x v="1"/>
    <x v="0"/>
  </r>
  <r>
    <x v="0"/>
    <x v="0"/>
    <x v="0"/>
    <s v="NA"/>
    <n v="500.25"/>
    <s v="Machine Order"/>
    <x v="0"/>
    <s v="USD"/>
    <x v="0"/>
    <x v="0"/>
    <x v="0"/>
    <x v="0"/>
  </r>
  <r>
    <x v="1"/>
    <x v="1"/>
    <x v="0"/>
    <s v="NA"/>
    <n v="700.5"/>
    <s v="Normal Order"/>
    <x v="0"/>
    <s v="USD"/>
    <x v="0"/>
    <x v="1"/>
    <x v="0"/>
    <x v="0"/>
  </r>
  <r>
    <x v="2"/>
    <x v="93"/>
    <x v="0"/>
    <s v="NA"/>
    <n v="3000.75"/>
    <s v="Service"/>
    <x v="0"/>
    <s v="USD"/>
    <x v="0"/>
    <x v="1"/>
    <x v="0"/>
    <x v="0"/>
  </r>
  <r>
    <x v="3"/>
    <x v="2"/>
    <x v="0"/>
    <s v="NA"/>
    <n v="900.8"/>
    <s v="Machine Order"/>
    <x v="0"/>
    <s v="USD"/>
    <x v="0"/>
    <x v="1"/>
    <x v="0"/>
    <x v="0"/>
  </r>
  <r>
    <x v="4"/>
    <x v="94"/>
    <x v="0"/>
    <s v="NA"/>
    <n v="400.6"/>
    <s v="Normal Order"/>
    <x v="0"/>
    <s v="USD"/>
    <x v="0"/>
    <x v="1"/>
    <x v="0"/>
    <x v="0"/>
  </r>
  <r>
    <x v="5"/>
    <x v="95"/>
    <x v="0"/>
    <s v="NA"/>
    <n v="600.35"/>
    <s v="Service"/>
    <x v="0"/>
    <s v="USD"/>
    <x v="0"/>
    <x v="1"/>
    <x v="0"/>
    <x v="0"/>
  </r>
  <r>
    <x v="6"/>
    <x v="96"/>
    <x v="0"/>
    <s v="NA"/>
    <n v="800.45"/>
    <s v="Machine Order"/>
    <x v="0"/>
    <s v="USD"/>
    <x v="0"/>
    <x v="1"/>
    <x v="0"/>
    <x v="0"/>
  </r>
  <r>
    <x v="7"/>
    <x v="97"/>
    <x v="0"/>
    <s v="NA"/>
    <n v="200.95"/>
    <s v="Normal Order"/>
    <x v="0"/>
    <s v="USD"/>
    <x v="0"/>
    <x v="1"/>
    <x v="0"/>
    <x v="0"/>
  </r>
  <r>
    <x v="8"/>
    <x v="98"/>
    <x v="0"/>
    <s v="NA"/>
    <n v="1000.7"/>
    <s v="Service"/>
    <x v="0"/>
    <s v="USD"/>
    <x v="0"/>
    <x v="1"/>
    <x v="0"/>
    <x v="0"/>
  </r>
  <r>
    <x v="9"/>
    <x v="99"/>
    <x v="0"/>
    <s v="NA"/>
    <n v="550.85"/>
    <s v="Machine Order"/>
    <x v="0"/>
    <s v="USD"/>
    <x v="0"/>
    <x v="1"/>
    <x v="0"/>
    <x v="0"/>
  </r>
  <r>
    <x v="10"/>
    <x v="100"/>
    <x v="0"/>
    <s v="NA"/>
    <n v="450.3"/>
    <s v="Normal Order"/>
    <x v="0"/>
    <s v="USD"/>
    <x v="0"/>
    <x v="1"/>
    <x v="0"/>
    <x v="0"/>
  </r>
  <r>
    <x v="11"/>
    <x v="101"/>
    <x v="0"/>
    <s v="NA"/>
    <n v="350.4"/>
    <s v="Service"/>
    <x v="0"/>
    <s v="USD"/>
    <x v="0"/>
    <x v="1"/>
    <x v="0"/>
    <x v="0"/>
  </r>
  <r>
    <x v="12"/>
    <x v="102"/>
    <x v="0"/>
    <s v="NA"/>
    <n v="950.55"/>
    <s v="Machine Order"/>
    <x v="0"/>
    <s v="USD"/>
    <x v="0"/>
    <x v="1"/>
    <x v="0"/>
    <x v="0"/>
  </r>
  <r>
    <x v="13"/>
    <x v="103"/>
    <x v="0"/>
    <s v="NA"/>
    <n v="2500.65"/>
    <s v="Normal Order"/>
    <x v="0"/>
    <s v="USD"/>
    <x v="0"/>
    <x v="1"/>
    <x v="0"/>
    <x v="0"/>
  </r>
  <r>
    <x v="14"/>
    <x v="0"/>
    <x v="0"/>
    <s v="NA"/>
    <n v="750.75"/>
    <s v="Service"/>
    <x v="0"/>
    <s v="USD"/>
    <x v="0"/>
    <x v="0"/>
    <x v="0"/>
    <x v="0"/>
  </r>
  <r>
    <x v="15"/>
    <x v="1"/>
    <x v="0"/>
    <s v="NA"/>
    <n v="850.2"/>
    <s v="Machine Order"/>
    <x v="0"/>
    <s v="USD"/>
    <x v="0"/>
    <x v="1"/>
    <x v="0"/>
    <x v="0"/>
  </r>
  <r>
    <x v="16"/>
    <x v="93"/>
    <x v="0"/>
    <s v="NA"/>
    <n v="150.9"/>
    <s v="Normal Order"/>
    <x v="0"/>
    <s v="USD"/>
    <x v="0"/>
    <x v="1"/>
    <x v="0"/>
    <x v="0"/>
  </r>
  <r>
    <x v="17"/>
    <x v="2"/>
    <x v="0"/>
    <s v="NA"/>
    <n v="650.25"/>
    <s v="Service"/>
    <x v="0"/>
    <s v="USD"/>
    <x v="0"/>
    <x v="1"/>
    <x v="0"/>
    <x v="0"/>
  </r>
  <r>
    <x v="18"/>
    <x v="94"/>
    <x v="0"/>
    <s v="NA"/>
    <n v="450.5"/>
    <s v="Machine Order"/>
    <x v="0"/>
    <s v="USD"/>
    <x v="0"/>
    <x v="1"/>
    <x v="0"/>
    <x v="0"/>
  </r>
  <r>
    <x v="19"/>
    <x v="95"/>
    <x v="0"/>
    <s v="NA"/>
    <n v="550.79999999999995"/>
    <s v="Normal Order"/>
    <x v="0"/>
    <s v="USD"/>
    <x v="0"/>
    <x v="1"/>
    <x v="0"/>
    <x v="0"/>
  </r>
  <r>
    <x v="20"/>
    <x v="96"/>
    <x v="0"/>
    <s v="NA"/>
    <n v="950.4"/>
    <s v="Service"/>
    <x v="0"/>
    <s v="USD"/>
    <x v="0"/>
    <x v="1"/>
    <x v="0"/>
    <x v="0"/>
  </r>
  <r>
    <x v="21"/>
    <x v="97"/>
    <x v="0"/>
    <s v="NA"/>
    <n v="250.7"/>
    <s v="Machine Order"/>
    <x v="0"/>
    <s v="USD"/>
    <x v="0"/>
    <x v="1"/>
    <x v="0"/>
    <x v="0"/>
  </r>
  <r>
    <x v="22"/>
    <x v="98"/>
    <x v="0"/>
    <s v="NA"/>
    <n v="750.6"/>
    <s v="Normal Order"/>
    <x v="0"/>
    <s v="USD"/>
    <x v="0"/>
    <x v="1"/>
    <x v="0"/>
    <x v="0"/>
  </r>
  <r>
    <x v="23"/>
    <x v="99"/>
    <x v="0"/>
    <s v="NA"/>
    <n v="650.35"/>
    <s v="Service"/>
    <x v="0"/>
    <s v="USD"/>
    <x v="0"/>
    <x v="1"/>
    <x v="0"/>
    <x v="0"/>
  </r>
  <r>
    <x v="24"/>
    <x v="100"/>
    <x v="0"/>
    <s v="NA"/>
    <n v="350.45"/>
    <s v="Machine Order"/>
    <x v="0"/>
    <s v="USD"/>
    <x v="0"/>
    <x v="1"/>
    <x v="0"/>
    <x v="0"/>
  </r>
  <r>
    <x v="25"/>
    <x v="101"/>
    <x v="0"/>
    <s v="NA"/>
    <n v="150.55000000000001"/>
    <s v="Normal Order"/>
    <x v="0"/>
    <s v="USD"/>
    <x v="0"/>
    <x v="1"/>
    <x v="0"/>
    <x v="0"/>
  </r>
  <r>
    <x v="26"/>
    <x v="102"/>
    <x v="0"/>
    <s v="NA"/>
    <n v="850.25"/>
    <s v="Service"/>
    <x v="0"/>
    <s v="USD"/>
    <x v="0"/>
    <x v="1"/>
    <x v="0"/>
    <x v="0"/>
  </r>
  <r>
    <x v="27"/>
    <x v="103"/>
    <x v="0"/>
    <s v="NA"/>
    <n v="450.6"/>
    <s v="Machine Order"/>
    <x v="0"/>
    <s v="USD"/>
    <x v="0"/>
    <x v="1"/>
    <x v="0"/>
    <x v="0"/>
  </r>
  <r>
    <x v="28"/>
    <x v="0"/>
    <x v="0"/>
    <s v="NA"/>
    <n v="550.85"/>
    <s v="Normal Order"/>
    <x v="0"/>
    <s v="USD"/>
    <x v="0"/>
    <x v="0"/>
    <x v="0"/>
    <x v="0"/>
  </r>
  <r>
    <x v="29"/>
    <x v="1"/>
    <x v="0"/>
    <s v="NA"/>
    <n v="950.7"/>
    <s v="Service"/>
    <x v="0"/>
    <s v="USD"/>
    <x v="0"/>
    <x v="1"/>
    <x v="0"/>
    <x v="0"/>
  </r>
  <r>
    <x v="30"/>
    <x v="93"/>
    <x v="0"/>
    <s v="NA"/>
    <n v="250.8"/>
    <s v="Machine Order"/>
    <x v="0"/>
    <s v="USD"/>
    <x v="0"/>
    <x v="1"/>
    <x v="0"/>
    <x v="0"/>
  </r>
  <r>
    <x v="31"/>
    <x v="2"/>
    <x v="0"/>
    <s v="NA"/>
    <n v="750.9"/>
    <s v="Normal Order"/>
    <x v="0"/>
    <s v="USD"/>
    <x v="0"/>
    <x v="1"/>
    <x v="0"/>
    <x v="0"/>
  </r>
  <r>
    <x v="32"/>
    <x v="94"/>
    <x v="0"/>
    <s v="NA"/>
    <n v="650.95000000000005"/>
    <s v="Service"/>
    <x v="0"/>
    <s v="USD"/>
    <x v="0"/>
    <x v="1"/>
    <x v="0"/>
    <x v="0"/>
  </r>
  <r>
    <x v="33"/>
    <x v="95"/>
    <x v="0"/>
    <s v="NA"/>
    <n v="350.25"/>
    <s v="Machine Order"/>
    <x v="0"/>
    <s v="USD"/>
    <x v="0"/>
    <x v="1"/>
    <x v="0"/>
    <x v="0"/>
  </r>
  <r>
    <x v="34"/>
    <x v="96"/>
    <x v="0"/>
    <s v="NA"/>
    <n v="150.75"/>
    <s v="Normal Order"/>
    <x v="0"/>
    <s v="USD"/>
    <x v="0"/>
    <x v="1"/>
    <x v="0"/>
    <x v="0"/>
  </r>
  <r>
    <x v="35"/>
    <x v="97"/>
    <x v="0"/>
    <s v="NA"/>
    <n v="850.65"/>
    <s v="Service"/>
    <x v="0"/>
    <s v="USD"/>
    <x v="0"/>
    <x v="1"/>
    <x v="0"/>
    <x v="0"/>
  </r>
  <r>
    <x v="38"/>
    <x v="98"/>
    <x v="0"/>
    <s v="NA"/>
    <n v="400"/>
    <s v="Machine Order"/>
    <x v="0"/>
    <s v="USD"/>
    <x v="0"/>
    <x v="1"/>
    <x v="0"/>
    <x v="0"/>
  </r>
  <r>
    <x v="39"/>
    <x v="99"/>
    <x v="0"/>
    <s v="NA"/>
    <n v="500"/>
    <s v="Normal Order"/>
    <x v="0"/>
    <s v="USD"/>
    <x v="0"/>
    <x v="1"/>
    <x v="0"/>
    <x v="0"/>
  </r>
  <r>
    <x v="40"/>
    <x v="100"/>
    <x v="0"/>
    <s v="NA"/>
    <n v="450"/>
    <s v="Service"/>
    <x v="0"/>
    <s v="USD"/>
    <x v="0"/>
    <x v="1"/>
    <x v="0"/>
    <x v="0"/>
  </r>
  <r>
    <x v="41"/>
    <x v="101"/>
    <x v="0"/>
    <s v="NA"/>
    <n v="600"/>
    <s v="Machine Order"/>
    <x v="0"/>
    <s v="USD"/>
    <x v="0"/>
    <x v="1"/>
    <x v="0"/>
    <x v="0"/>
  </r>
  <r>
    <x v="42"/>
    <x v="102"/>
    <x v="0"/>
    <s v="NA"/>
    <n v="550"/>
    <s v="Machine Order"/>
    <x v="0"/>
    <s v="USD"/>
    <x v="0"/>
    <x v="1"/>
    <x v="0"/>
    <x v="0"/>
  </r>
  <r>
    <x v="43"/>
    <x v="103"/>
    <x v="0"/>
    <s v="NA"/>
    <n v="700"/>
    <s v="Machine Order"/>
    <x v="0"/>
    <s v="USD"/>
    <x v="0"/>
    <x v="1"/>
    <x v="0"/>
    <x v="0"/>
  </r>
  <r>
    <x v="44"/>
    <x v="0"/>
    <x v="0"/>
    <s v="NA"/>
    <n v="650"/>
    <s v="Machine Order"/>
    <x v="0"/>
    <s v="USD"/>
    <x v="0"/>
    <x v="0"/>
    <x v="0"/>
    <x v="0"/>
  </r>
  <r>
    <x v="45"/>
    <x v="1"/>
    <x v="0"/>
    <s v="NA"/>
    <n v="800"/>
    <s v="Machine Order"/>
    <x v="0"/>
    <s v="USD"/>
    <x v="0"/>
    <x v="1"/>
    <x v="0"/>
    <x v="0"/>
  </r>
  <r>
    <x v="46"/>
    <x v="93"/>
    <x v="0"/>
    <s v="NA"/>
    <n v="750"/>
    <s v="Machine Order"/>
    <x v="0"/>
    <s v="USD"/>
    <x v="0"/>
    <x v="1"/>
    <x v="0"/>
    <x v="0"/>
  </r>
  <r>
    <x v="47"/>
    <x v="2"/>
    <x v="0"/>
    <s v="NA"/>
    <n v="900"/>
    <s v="Machine Order"/>
    <x v="0"/>
    <s v="USD"/>
    <x v="0"/>
    <x v="1"/>
    <x v="0"/>
    <x v="0"/>
  </r>
  <r>
    <x v="48"/>
    <x v="94"/>
    <x v="0"/>
    <s v="NA"/>
    <n v="850"/>
    <s v="Machine Order"/>
    <x v="0"/>
    <s v="USD"/>
    <x v="0"/>
    <x v="1"/>
    <x v="0"/>
    <x v="0"/>
  </r>
  <r>
    <x v="49"/>
    <x v="96"/>
    <x v="0"/>
    <s v="NA"/>
    <n v="950"/>
    <s v="Machine Order"/>
    <x v="0"/>
    <s v="USD"/>
    <x v="0"/>
    <x v="1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431E64-1CED-418F-875A-ECF4369D6B87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O7" firstHeaderRow="1" firstDataRow="3" firstDataCol="1" rowPageCount="1" colPageCount="1"/>
  <pivotFields count="14">
    <pivotField numFmtId="14"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38"/>
        <item x="39"/>
        <item x="40"/>
        <item x="41"/>
        <item x="42"/>
        <item x="13"/>
        <item x="43"/>
        <item x="14"/>
        <item x="44"/>
        <item x="45"/>
        <item x="46"/>
        <item x="47"/>
        <item x="48"/>
        <item x="15"/>
        <item m="1" x="50"/>
        <item x="49"/>
        <item m="1" x="51"/>
        <item m="1" x="52"/>
        <item m="1" x="53"/>
        <item x="16"/>
        <item m="1" x="54"/>
        <item m="1" x="55"/>
        <item m="1" x="56"/>
        <item m="1" x="57"/>
        <item m="1" x="58"/>
        <item x="17"/>
        <item m="1" x="59"/>
        <item m="1" x="60"/>
        <item m="1" x="61"/>
        <item x="18"/>
        <item x="19"/>
        <item x="20"/>
        <item x="21"/>
        <item x="22"/>
        <item x="23"/>
        <item x="36"/>
        <item x="24"/>
        <item x="37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showAll="0"/>
    <pivotField showAll="0"/>
    <pivotField showAll="0"/>
    <pivotField dataField="1" showAll="0"/>
    <pivotField showAll="0"/>
    <pivotField axis="axisRow" showAll="0">
      <items count="9">
        <item m="1" x="7"/>
        <item m="1" x="6"/>
        <item x="0"/>
        <item m="1" x="5"/>
        <item m="1" x="1"/>
        <item m="1" x="2"/>
        <item m="1" x="3"/>
        <item m="1" x="4"/>
        <item t="default"/>
      </items>
    </pivotField>
    <pivotField showAll="0"/>
    <pivotField axis="axisPage" numFmtId="1" multipleItemSelectionAllowed="1" showAll="0">
      <items count="3">
        <item h="1" m="1" x="1"/>
        <item x="0"/>
        <item t="default"/>
      </items>
    </pivotField>
    <pivotField showAll="0"/>
    <pivotField showAll="0"/>
    <pivotField numFmtId="1" showAll="0"/>
    <pivotField axis="axisCol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showAll="0" sortType="descending">
      <items count="6">
        <item x="3"/>
        <item x="2"/>
        <item x="1"/>
        <item x="4"/>
        <item x="0"/>
        <item t="default"/>
      </items>
    </pivotField>
  </pivotFields>
  <rowFields count="1">
    <field x="6"/>
  </rowFields>
  <rowItems count="2">
    <i>
      <x v="2"/>
    </i>
    <i t="grand">
      <x/>
    </i>
  </rowItems>
  <colFields count="2">
    <field x="13"/>
    <field x="12"/>
  </colFields>
  <colItems count="40">
    <i>
      <x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/>
    </i>
    <i>
      <x v="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 v="1"/>
    </i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 v="2"/>
    </i>
    <i t="grand">
      <x/>
    </i>
  </colItems>
  <pageFields count="1">
    <pageField fld="8" hier="-1"/>
  </pageFields>
  <dataFields count="1">
    <dataField name="Sum of Value of the Order" fld="4" baseField="0" baseItem="0"/>
  </dataField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D1FC81-ED0F-41C6-9FA0-848629E56FB4}" name="PivotTable8" cacheId="0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outline="1" outlineData="1" multipleFieldFilters="0">
  <location ref="A3:AO7" firstHeaderRow="1" firstDataRow="3" firstDataCol="1" rowPageCount="1" colPageCount="1"/>
  <pivotFields count="14">
    <pivotField numFmtId="14"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38"/>
        <item x="39"/>
        <item x="40"/>
        <item x="41"/>
        <item x="42"/>
        <item x="13"/>
        <item x="43"/>
        <item x="14"/>
        <item x="44"/>
        <item x="45"/>
        <item x="46"/>
        <item x="47"/>
        <item x="48"/>
        <item x="15"/>
        <item m="1" x="50"/>
        <item x="49"/>
        <item m="1" x="51"/>
        <item m="1" x="52"/>
        <item m="1" x="53"/>
        <item x="16"/>
        <item m="1" x="54"/>
        <item m="1" x="55"/>
        <item m="1" x="56"/>
        <item m="1" x="57"/>
        <item m="1" x="58"/>
        <item x="17"/>
        <item m="1" x="59"/>
        <item m="1" x="60"/>
        <item m="1" x="61"/>
        <item x="18"/>
        <item x="19"/>
        <item x="20"/>
        <item x="21"/>
        <item x="22"/>
        <item x="23"/>
        <item x="36"/>
        <item x="24"/>
        <item x="37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showAll="0"/>
    <pivotField axis="axisRow" showAll="0">
      <items count="4">
        <item m="1" x="1"/>
        <item x="0"/>
        <item m="1" x="2"/>
        <item t="default"/>
      </items>
    </pivotField>
    <pivotField showAll="0"/>
    <pivotField dataField="1" showAll="0"/>
    <pivotField showAll="0"/>
    <pivotField showAll="0"/>
    <pivotField showAll="0"/>
    <pivotField numFmtId="1" showAll="0"/>
    <pivotField showAll="0"/>
    <pivotField showAll="0"/>
    <pivotField axis="axisPage" numFmtId="1" multipleItemSelectionAllowed="1" showAll="0">
      <items count="3">
        <item h="1" m="1" x="1"/>
        <item x="0"/>
        <item t="default"/>
      </items>
    </pivotField>
    <pivotField axis="axisCol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showAll="0" sortType="descending">
      <items count="6">
        <item x="3"/>
        <item x="2"/>
        <item x="1"/>
        <item x="4"/>
        <item x="0"/>
        <item t="default"/>
      </items>
    </pivotField>
  </pivotFields>
  <rowFields count="1">
    <field x="2"/>
  </rowFields>
  <rowItems count="2">
    <i>
      <x v="1"/>
    </i>
    <i t="grand">
      <x/>
    </i>
  </rowItems>
  <colFields count="2">
    <field x="13"/>
    <field x="12"/>
  </colFields>
  <colItems count="40">
    <i>
      <x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/>
    </i>
    <i>
      <x v="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 v="1"/>
    </i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 v="2"/>
    </i>
    <i t="grand">
      <x/>
    </i>
  </colItems>
  <pageFields count="1">
    <pageField fld="11" hier="-1"/>
  </pageFields>
  <dataFields count="1">
    <dataField name="Sum of Value of the Order" fld="4" baseField="0" baseItem="0"/>
  </dataField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901D7A-264E-4780-A23D-AF02329BE222}" name="PivotTable7" cacheId="0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compact="0" compactData="0" multipleFieldFilters="0">
  <location ref="A4:V10" firstHeaderRow="1" firstDataRow="3" firstDataCol="2" rowPageCount="2" colPageCount="1"/>
  <pivotFields count="14">
    <pivotField compact="0" numFmtId="14" outline="0" subtotalTop="0"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38"/>
        <item x="39"/>
        <item x="40"/>
        <item x="41"/>
        <item x="42"/>
        <item x="13"/>
        <item x="43"/>
        <item x="14"/>
        <item x="44"/>
        <item x="45"/>
        <item x="46"/>
        <item x="47"/>
        <item x="48"/>
        <item x="15"/>
        <item m="1" x="50"/>
        <item x="49"/>
        <item m="1" x="51"/>
        <item m="1" x="52"/>
        <item m="1" x="53"/>
        <item x="16"/>
        <item m="1" x="54"/>
        <item m="1" x="55"/>
        <item m="1" x="56"/>
        <item m="1" x="57"/>
        <item m="1" x="58"/>
        <item x="17"/>
        <item m="1" x="59"/>
        <item m="1" x="60"/>
        <item m="1" x="61"/>
        <item x="18"/>
        <item x="19"/>
        <item x="20"/>
        <item x="21"/>
        <item x="22"/>
        <item x="23"/>
        <item x="36"/>
        <item x="24"/>
        <item x="37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axis="axisRow" compact="0" outline="0" subtotalTop="0" showAll="0">
      <items count="105">
        <item x="3"/>
        <item x="0"/>
        <item x="17"/>
        <item x="27"/>
        <item x="77"/>
        <item x="86"/>
        <item x="32"/>
        <item x="65"/>
        <item x="7"/>
        <item x="71"/>
        <item x="43"/>
        <item x="55"/>
        <item x="31"/>
        <item x="75"/>
        <item x="16"/>
        <item x="35"/>
        <item x="87"/>
        <item x="67"/>
        <item x="12"/>
        <item x="47"/>
        <item x="59"/>
        <item x="93"/>
        <item x="40"/>
        <item x="6"/>
        <item x="103"/>
        <item x="85"/>
        <item x="96"/>
        <item x="88"/>
        <item x="26"/>
        <item x="83"/>
        <item x="24"/>
        <item x="84"/>
        <item x="79"/>
        <item x="20"/>
        <item x="37"/>
        <item x="100"/>
        <item x="34"/>
        <item x="29"/>
        <item x="97"/>
        <item x="73"/>
        <item x="63"/>
        <item x="8"/>
        <item x="51"/>
        <item x="39"/>
        <item x="56"/>
        <item x="42"/>
        <item x="70"/>
        <item x="22"/>
        <item x="19"/>
        <item x="2"/>
        <item x="33"/>
        <item x="52"/>
        <item x="46"/>
        <item x="61"/>
        <item x="72"/>
        <item x="11"/>
        <item x="69"/>
        <item x="58"/>
        <item x="49"/>
        <item x="10"/>
        <item x="66"/>
        <item x="99"/>
        <item x="102"/>
        <item x="38"/>
        <item x="94"/>
        <item x="4"/>
        <item x="30"/>
        <item x="90"/>
        <item x="92"/>
        <item x="36"/>
        <item x="41"/>
        <item x="89"/>
        <item x="95"/>
        <item x="25"/>
        <item x="82"/>
        <item x="50"/>
        <item x="5"/>
        <item x="57"/>
        <item x="62"/>
        <item x="28"/>
        <item x="101"/>
        <item x="60"/>
        <item x="45"/>
        <item x="64"/>
        <item x="53"/>
        <item x="9"/>
        <item x="18"/>
        <item x="78"/>
        <item x="98"/>
        <item x="76"/>
        <item x="91"/>
        <item x="74"/>
        <item x="14"/>
        <item x="48"/>
        <item x="13"/>
        <item x="68"/>
        <item x="15"/>
        <item x="54"/>
        <item x="44"/>
        <item x="81"/>
        <item x="23"/>
        <item x="1"/>
        <item x="21"/>
        <item x="80"/>
        <item t="default"/>
      </items>
    </pivotField>
    <pivotField compact="0" outline="0" subtotalTop="0" showAll="0"/>
    <pivotField compact="0" outline="0" subtotalTop="0" showAll="0"/>
    <pivotField dataField="1" compact="0" outline="0" subtotalTop="0" showAll="0"/>
    <pivotField compact="0" outline="0" subtotalTop="0" showAll="0"/>
    <pivotField axis="axisRow" compact="0" outline="0" subtotalTop="0" showAll="0">
      <items count="9">
        <item m="1" x="7"/>
        <item m="1" x="6"/>
        <item x="0"/>
        <item m="1" x="5"/>
        <item m="1" x="1"/>
        <item m="1" x="2"/>
        <item m="1" x="3"/>
        <item m="1" x="4"/>
        <item t="default"/>
      </items>
    </pivotField>
    <pivotField compact="0" outline="0" subtotalTop="0" showAll="0"/>
    <pivotField axis="axisPage" compact="0" numFmtId="1" outline="0" subtotalTop="0" multipleItemSelectionAllowed="1" showAll="0">
      <items count="3">
        <item h="1" m="1" x="1"/>
        <item x="0"/>
        <item t="default"/>
      </items>
    </pivotField>
    <pivotField axis="axisPage" compact="0" outline="0" subtotalTop="0" multipleItemSelectionAllowed="1" showAll="0">
      <items count="3">
        <item h="1" x="1"/>
        <item x="0"/>
        <item t="default"/>
      </items>
    </pivotField>
    <pivotField compact="0" outline="0" subtotalTop="0" showAll="0"/>
    <pivotField compact="0" numFmtId="1" outline="0" subtotalTop="0" showAll="0"/>
    <pivotField axis="axisCol" compact="0" outline="0" subtotalTop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compact="0" outline="0" subtotalTop="0" showAll="0" sortType="descending">
      <items count="6">
        <item x="3"/>
        <item x="2"/>
        <item x="1"/>
        <item x="4"/>
        <item x="0"/>
        <item t="default"/>
      </items>
    </pivotField>
  </pivotFields>
  <rowFields count="2">
    <field x="6"/>
    <field x="1"/>
  </rowFields>
  <rowItems count="4">
    <i>
      <x v="2"/>
      <x/>
    </i>
    <i r="1">
      <x v="1"/>
    </i>
    <i t="default">
      <x v="2"/>
    </i>
    <i t="grand">
      <x/>
    </i>
  </rowItems>
  <colFields count="2">
    <field x="13"/>
    <field x="12"/>
  </colFields>
  <colItems count="20">
    <i>
      <x/>
      <x v="2"/>
    </i>
    <i r="1">
      <x v="5"/>
    </i>
    <i r="1">
      <x v="7"/>
    </i>
    <i r="1">
      <x v="10"/>
    </i>
    <i r="1">
      <x v="12"/>
    </i>
    <i t="default">
      <x/>
    </i>
    <i>
      <x v="1"/>
      <x v="2"/>
    </i>
    <i r="1">
      <x v="3"/>
    </i>
    <i r="1">
      <x v="4"/>
    </i>
    <i r="1">
      <x v="7"/>
    </i>
    <i r="1">
      <x v="9"/>
    </i>
    <i r="1">
      <x v="12"/>
    </i>
    <i t="default">
      <x v="1"/>
    </i>
    <i>
      <x v="2"/>
      <x v="1"/>
    </i>
    <i r="1">
      <x v="4"/>
    </i>
    <i r="1">
      <x v="6"/>
    </i>
    <i r="1">
      <x v="9"/>
    </i>
    <i r="1">
      <x v="11"/>
    </i>
    <i t="default">
      <x v="2"/>
    </i>
    <i t="grand">
      <x/>
    </i>
  </colItems>
  <pageFields count="2">
    <pageField fld="9" hier="-1"/>
    <pageField fld="8" hier="-1"/>
  </pageFields>
  <dataFields count="1">
    <dataField name="Sum of Value of the Order" fld="4" baseField="0" baseItem="0"/>
  </dataField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AF1413-643A-4ECD-885E-DB5828884455}" name="PivotTable6" cacheId="0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compact="0" compactData="0" multipleFieldFilters="0">
  <location ref="A4:P37" firstHeaderRow="1" firstDataRow="3" firstDataCol="2" rowPageCount="2" colPageCount="1"/>
  <pivotFields count="14">
    <pivotField compact="0" numFmtId="14" outline="0"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38"/>
        <item x="39"/>
        <item x="40"/>
        <item x="41"/>
        <item x="42"/>
        <item x="13"/>
        <item x="43"/>
        <item x="14"/>
        <item x="44"/>
        <item x="45"/>
        <item x="46"/>
        <item x="47"/>
        <item x="48"/>
        <item x="15"/>
        <item m="1" x="50"/>
        <item x="49"/>
        <item m="1" x="51"/>
        <item m="1" x="52"/>
        <item m="1" x="53"/>
        <item x="16"/>
        <item m="1" x="54"/>
        <item m="1" x="55"/>
        <item m="1" x="56"/>
        <item m="1" x="57"/>
        <item m="1" x="58"/>
        <item x="17"/>
        <item m="1" x="59"/>
        <item m="1" x="60"/>
        <item m="1" x="61"/>
        <item x="18"/>
        <item x="19"/>
        <item x="20"/>
        <item x="21"/>
        <item x="22"/>
        <item x="23"/>
        <item x="36"/>
        <item x="24"/>
        <item x="37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axis="axisRow" compact="0" outline="0" showAll="0">
      <items count="105">
        <item x="3"/>
        <item x="0"/>
        <item x="17"/>
        <item x="27"/>
        <item x="77"/>
        <item x="86"/>
        <item x="32"/>
        <item x="65"/>
        <item x="7"/>
        <item x="71"/>
        <item x="43"/>
        <item x="55"/>
        <item x="31"/>
        <item x="75"/>
        <item x="16"/>
        <item x="35"/>
        <item x="87"/>
        <item x="67"/>
        <item x="12"/>
        <item x="47"/>
        <item x="59"/>
        <item x="93"/>
        <item x="40"/>
        <item x="6"/>
        <item x="103"/>
        <item x="85"/>
        <item x="96"/>
        <item x="88"/>
        <item x="26"/>
        <item x="83"/>
        <item x="24"/>
        <item x="84"/>
        <item x="79"/>
        <item x="20"/>
        <item x="37"/>
        <item x="100"/>
        <item x="34"/>
        <item x="29"/>
        <item x="97"/>
        <item x="73"/>
        <item x="63"/>
        <item x="8"/>
        <item x="51"/>
        <item x="39"/>
        <item x="56"/>
        <item x="42"/>
        <item x="70"/>
        <item x="22"/>
        <item x="19"/>
        <item x="2"/>
        <item x="33"/>
        <item x="52"/>
        <item x="46"/>
        <item x="61"/>
        <item x="72"/>
        <item x="11"/>
        <item x="69"/>
        <item x="58"/>
        <item x="49"/>
        <item x="10"/>
        <item x="66"/>
        <item x="99"/>
        <item x="102"/>
        <item x="38"/>
        <item x="94"/>
        <item x="4"/>
        <item x="30"/>
        <item x="90"/>
        <item x="92"/>
        <item x="36"/>
        <item x="41"/>
        <item x="89"/>
        <item x="95"/>
        <item x="25"/>
        <item x="82"/>
        <item x="50"/>
        <item x="5"/>
        <item x="57"/>
        <item x="62"/>
        <item x="28"/>
        <item x="101"/>
        <item x="60"/>
        <item x="45"/>
        <item x="64"/>
        <item x="53"/>
        <item x="9"/>
        <item x="18"/>
        <item x="78"/>
        <item x="98"/>
        <item x="76"/>
        <item x="91"/>
        <item x="74"/>
        <item x="14"/>
        <item x="48"/>
        <item x="13"/>
        <item x="68"/>
        <item x="15"/>
        <item x="54"/>
        <item x="44"/>
        <item x="81"/>
        <item x="23"/>
        <item x="1"/>
        <item x="21"/>
        <item x="80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axis="axisRow" compact="0" outline="0" showAll="0">
      <items count="9">
        <item m="1" x="7"/>
        <item m="1" x="6"/>
        <item x="0"/>
        <item m="1" x="5"/>
        <item m="1" x="1"/>
        <item m="1" x="2"/>
        <item m="1" x="3"/>
        <item m="1" x="4"/>
        <item t="default"/>
      </items>
    </pivotField>
    <pivotField compact="0" outline="0" showAll="0"/>
    <pivotField axis="axisPage" compact="0" numFmtId="1" outline="0" multipleItemSelectionAllowed="1" showAll="0">
      <items count="3">
        <item h="1" m="1" x="1"/>
        <item x="0"/>
        <item t="default"/>
      </items>
    </pivotField>
    <pivotField compact="0" outline="0" multipleItemSelectionAllowed="1" showAll="0"/>
    <pivotField axis="axisPage" compact="0" outline="0" multipleItemSelectionAllowed="1" showAll="0">
      <items count="3">
        <item h="1" x="0"/>
        <item x="1"/>
        <item t="default"/>
      </items>
    </pivotField>
    <pivotField compact="0" numFmtId="1" outline="0" showAll="0"/>
    <pivotField axis="axisCol"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compact="0" outline="0" showAll="0" sortType="descending">
      <items count="6">
        <item x="3"/>
        <item x="2"/>
        <item x="1"/>
        <item x="4"/>
        <item x="0"/>
        <item t="default"/>
      </items>
    </pivotField>
  </pivotFields>
  <rowFields count="2">
    <field x="6"/>
    <field x="1"/>
  </rowFields>
  <rowItems count="31">
    <i>
      <x v="2"/>
      <x v="3"/>
    </i>
    <i r="1">
      <x v="5"/>
    </i>
    <i r="1">
      <x v="6"/>
    </i>
    <i r="1">
      <x v="7"/>
    </i>
    <i r="1">
      <x v="12"/>
    </i>
    <i r="1">
      <x v="15"/>
    </i>
    <i r="1">
      <x v="16"/>
    </i>
    <i r="1">
      <x v="17"/>
    </i>
    <i r="1">
      <x v="20"/>
    </i>
    <i r="1">
      <x v="25"/>
    </i>
    <i r="1">
      <x v="27"/>
    </i>
    <i r="1">
      <x v="31"/>
    </i>
    <i r="1">
      <x v="34"/>
    </i>
    <i r="1">
      <x v="37"/>
    </i>
    <i r="1">
      <x v="50"/>
    </i>
    <i r="1">
      <x v="53"/>
    </i>
    <i r="1">
      <x v="56"/>
    </i>
    <i r="1">
      <x v="60"/>
    </i>
    <i r="1">
      <x v="63"/>
    </i>
    <i r="1">
      <x v="66"/>
    </i>
    <i r="1">
      <x v="67"/>
    </i>
    <i r="1">
      <x v="68"/>
    </i>
    <i r="1">
      <x v="69"/>
    </i>
    <i r="1">
      <x v="71"/>
    </i>
    <i r="1">
      <x v="78"/>
    </i>
    <i r="1">
      <x v="79"/>
    </i>
    <i r="1">
      <x v="83"/>
    </i>
    <i r="1">
      <x v="90"/>
    </i>
    <i r="1">
      <x v="95"/>
    </i>
    <i t="default">
      <x v="2"/>
    </i>
    <i t="grand">
      <x/>
    </i>
  </rowItems>
  <colFields count="2">
    <field x="13"/>
    <field x="12"/>
  </colFields>
  <colItems count="14">
    <i>
      <x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default">
      <x/>
    </i>
    <i t="grand">
      <x/>
    </i>
  </colItems>
  <pageFields count="2">
    <pageField fld="10" hier="-1"/>
    <pageField fld="8" hier="-1"/>
  </pageFields>
  <dataFields count="1">
    <dataField name="Sum of Value of the Order" fld="4" baseField="0" baseItem="0"/>
  </dataField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D17:Q22" headerRowCount="0" headerRowDxfId="74" dataDxfId="73" totalsRowDxfId="72">
  <tableColumns count="14">
    <tableColumn id="1" xr3:uid="{00000000-0010-0000-0100-000001000000}" name="Column1" dataDxfId="71"/>
    <tableColumn id="2" xr3:uid="{00000000-0010-0000-0100-000002000000}" name="Column2" dataDxfId="70">
      <calculatedColumnFormula>$Q$17/12</calculatedColumnFormula>
    </tableColumn>
    <tableColumn id="3" xr3:uid="{00000000-0010-0000-0100-000003000000}" name="Column3" dataDxfId="69"/>
    <tableColumn id="4" xr3:uid="{00000000-0010-0000-0100-000004000000}" name="Column4" dataDxfId="68"/>
    <tableColumn id="5" xr3:uid="{00000000-0010-0000-0100-000005000000}" name="Column5" dataDxfId="67"/>
    <tableColumn id="6" xr3:uid="{00000000-0010-0000-0100-000006000000}" name="Column6" dataDxfId="66"/>
    <tableColumn id="7" xr3:uid="{00000000-0010-0000-0100-000007000000}" name="Column7" dataDxfId="65"/>
    <tableColumn id="8" xr3:uid="{00000000-0010-0000-0100-000008000000}" name="Column8" dataDxfId="64"/>
    <tableColumn id="9" xr3:uid="{00000000-0010-0000-0100-000009000000}" name="Column9" dataDxfId="63"/>
    <tableColumn id="10" xr3:uid="{00000000-0010-0000-0100-00000A000000}" name="Column10" dataDxfId="62"/>
    <tableColumn id="11" xr3:uid="{00000000-0010-0000-0100-00000B000000}" name="Column11" dataDxfId="61"/>
    <tableColumn id="12" xr3:uid="{00000000-0010-0000-0100-00000C000000}" name="Column12" dataDxfId="60"/>
    <tableColumn id="13" xr3:uid="{00000000-0010-0000-0100-00000D000000}" name="Column13" dataDxfId="59"/>
    <tableColumn id="14" xr3:uid="{83E43068-EE1F-4237-85B5-9923466F06D6}" name="Column14" dataDxfId="58">
      <calculatedColumnFormula>L8</calculatedColumnFormula>
    </tableColumn>
  </tableColumns>
  <tableStyleInfo name="Sheet 2 week 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D38:Q43" headerRowCount="0">
  <tableColumns count="14">
    <tableColumn id="1" xr3:uid="{00000000-0010-0000-0200-000001000000}" name="Column1"/>
    <tableColumn id="2" xr3:uid="{00000000-0010-0000-0200-000002000000}" name="Column2" dataDxfId="57"/>
    <tableColumn id="3" xr3:uid="{00000000-0010-0000-0200-000003000000}" name="Column3" dataDxfId="56"/>
    <tableColumn id="4" xr3:uid="{00000000-0010-0000-0200-000004000000}" name="Column4" dataDxfId="55"/>
    <tableColumn id="5" xr3:uid="{00000000-0010-0000-0200-000005000000}" name="Column5" dataDxfId="54"/>
    <tableColumn id="6" xr3:uid="{00000000-0010-0000-0200-000006000000}" name="Column6" dataDxfId="53"/>
    <tableColumn id="7" xr3:uid="{00000000-0010-0000-0200-000007000000}" name="Column7" dataDxfId="52"/>
    <tableColumn id="8" xr3:uid="{00000000-0010-0000-0200-000008000000}" name="Column8" dataDxfId="51"/>
    <tableColumn id="9" xr3:uid="{00000000-0010-0000-0200-000009000000}" name="Column9" dataDxfId="50"/>
    <tableColumn id="10" xr3:uid="{00000000-0010-0000-0200-00000A000000}" name="Column10" dataDxfId="49"/>
    <tableColumn id="11" xr3:uid="{00000000-0010-0000-0200-00000B000000}" name="Column11" dataDxfId="48"/>
    <tableColumn id="12" xr3:uid="{00000000-0010-0000-0200-00000C000000}" name="Column12" dataDxfId="47"/>
    <tableColumn id="13" xr3:uid="{00000000-0010-0000-0200-00000D000000}" name="Column13" dataDxfId="46"/>
    <tableColumn id="14" xr3:uid="{898E996A-9945-4C9D-9111-70E3F3251879}" name="Column14" dataDxfId="45">
      <calculatedColumnFormula>L10</calculatedColumnFormula>
    </tableColumn>
  </tableColumns>
  <tableStyleInfo name="Sheet 2 week 1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E49:Q54" headerRowCount="0" headerRowDxfId="44" dataDxfId="43" totalsRowDxfId="42">
  <tableColumns count="13">
    <tableColumn id="1" xr3:uid="{00000000-0010-0000-0300-000001000000}" name="Column1" dataDxfId="41"/>
    <tableColumn id="2" xr3:uid="{00000000-0010-0000-0300-000002000000}" name="Column2" dataDxfId="40"/>
    <tableColumn id="3" xr3:uid="{00000000-0010-0000-0300-000003000000}" name="Column3" dataDxfId="39"/>
    <tableColumn id="4" xr3:uid="{00000000-0010-0000-0300-000004000000}" name="Column4" dataDxfId="38"/>
    <tableColumn id="5" xr3:uid="{00000000-0010-0000-0300-000005000000}" name="Column5" dataDxfId="37"/>
    <tableColumn id="6" xr3:uid="{00000000-0010-0000-0300-000006000000}" name="Column6" dataDxfId="36"/>
    <tableColumn id="7" xr3:uid="{00000000-0010-0000-0300-000007000000}" name="Column7" dataDxfId="35"/>
    <tableColumn id="8" xr3:uid="{00000000-0010-0000-0300-000008000000}" name="Column8" dataDxfId="34"/>
    <tableColumn id="9" xr3:uid="{00000000-0010-0000-0300-000009000000}" name="Column9" dataDxfId="33"/>
    <tableColumn id="10" xr3:uid="{00000000-0010-0000-0300-00000A000000}" name="Column10" dataDxfId="32"/>
    <tableColumn id="11" xr3:uid="{00000000-0010-0000-0300-00000B000000}" name="Column11" dataDxfId="31"/>
    <tableColumn id="12" xr3:uid="{00000000-0010-0000-0300-00000C000000}" name="Column12" dataDxfId="30"/>
    <tableColumn id="13" xr3:uid="{992B900C-17E0-4F1D-AE18-274C7B5A9279}" name="Column13" dataDxfId="29">
      <calculatedColumnFormula>L11</calculatedColumnFormula>
    </tableColumn>
  </tableColumns>
  <tableStyleInfo name="Sheet 2 week 1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B5E449A-2AC6-460E-9530-1BA001A9F0DD}" name="Table_39" displayName="Table_39" ref="D28:Q33" headerRowCount="0">
  <tableColumns count="14">
    <tableColumn id="1" xr3:uid="{132EA85E-2987-4086-BB40-641BF8833B74}" name="Column1" dataDxfId="28"/>
    <tableColumn id="2" xr3:uid="{9A69464E-E461-438A-AD42-C6E44BEBE33D}" name="Column2" dataDxfId="27"/>
    <tableColumn id="3" xr3:uid="{BFB8D31F-F1A4-4786-A7C3-A330047AD432}" name="Column3" dataDxfId="26"/>
    <tableColumn id="4" xr3:uid="{FC130208-571C-4C1B-801A-E7354FA0FAAD}" name="Column4" dataDxfId="25"/>
    <tableColumn id="5" xr3:uid="{BA016F67-EB96-4E03-A357-9F8401AA478F}" name="Column5" dataDxfId="24"/>
    <tableColumn id="6" xr3:uid="{1383FB65-1573-481C-AE16-62DB301C689B}" name="Column6" dataDxfId="23"/>
    <tableColumn id="7" xr3:uid="{BC34FCE9-A17B-49A3-A6F3-DC90E1EC7102}" name="Column7" dataDxfId="22"/>
    <tableColumn id="8" xr3:uid="{E0DF66EE-71F8-441A-9AE6-57E695B7B6AE}" name="Column8" dataDxfId="21"/>
    <tableColumn id="9" xr3:uid="{7850244C-A9F2-4819-BC17-225216953F77}" name="Column9" dataDxfId="20"/>
    <tableColumn id="10" xr3:uid="{0670F4AF-581C-4D80-AFAB-DB2A8F026F55}" name="Column10" dataDxfId="19"/>
    <tableColumn id="11" xr3:uid="{10871369-88FE-4C0E-A1D6-52E015F791F7}" name="Column11" dataDxfId="18"/>
    <tableColumn id="12" xr3:uid="{248211DC-FE29-474A-88DE-9070A6EBAF32}" name="Column12" dataDxfId="17"/>
    <tableColumn id="13" xr3:uid="{5AE26145-EFC6-41DB-8AF1-B0E56141430C}" name="Column13" dataDxfId="16"/>
    <tableColumn id="14" xr3:uid="{765AB403-1BC0-4FFF-9C5E-2BCF5A1E12BB}" name="Column14" dataDxfId="15">
      <calculatedColumnFormula>L9</calculatedColumnFormula>
    </tableColumn>
  </tableColumns>
  <tableStyleInfo name="Sheet 2 week 1-style 2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1:L205" headerRowDxfId="14" dataDxfId="13">
  <tableColumns count="12">
    <tableColumn id="1" xr3:uid="{00000000-0010-0000-0400-000001000000}" name="Order Date" dataDxfId="12"/>
    <tableColumn id="2" xr3:uid="{00000000-0010-0000-0400-000002000000}" name="Customer Name" dataDxfId="11"/>
    <tableColumn id="3" xr3:uid="{00000000-0010-0000-0400-000003000000}" name="Country" dataDxfId="10"/>
    <tableColumn id="4" xr3:uid="{00000000-0010-0000-0400-000004000000}" name="Region" dataDxfId="9"/>
    <tableColumn id="5" xr3:uid="{00000000-0010-0000-0400-000005000000}" name="Value of the Order" dataDxfId="8" dataCellStyle="Comma"/>
    <tableColumn id="6" xr3:uid="{00000000-0010-0000-0400-000006000000}" name="Order Type" dataDxfId="7"/>
    <tableColumn id="7" xr3:uid="{00000000-0010-0000-0400-000007000000}" name="Sales Rep" dataDxfId="6"/>
    <tableColumn id="8" xr3:uid="{00000000-0010-0000-0400-000008000000}" name="Transaction currency" dataDxfId="5"/>
    <tableColumn id="9" xr3:uid="{29CB15F1-D0FC-458F-8152-349FA782D1D2}" name="Sale Rep IS  E7" dataDxfId="4">
      <calculatedColumnFormula>IF(Table_5[[#This Row],[Sales Rep]]='For Manage'!$E$7,1,0)</calculatedColumnFormula>
    </tableColumn>
    <tableColumn id="11" xr3:uid="{14EE2620-67DA-4443-8BF3-14E7C17BD65E}" name="Top Customers" dataDxfId="3">
      <calculatedColumnFormula>IF(OR(Table_5[[#This Row],[Customer Name]]="ABC Manufacturing",Table_5[[#This Row],[Customer Name]]="123 Industries"), "Yes", "No")</calculatedColumnFormula>
    </tableColumn>
    <tableColumn id="12" xr3:uid="{F525F50F-CB52-4E5F-8BB1-5D13D3AEA604}" name="OLD/NEW customer" dataDxfId="2">
      <calculatedColumnFormula>IF(COUNTIFS(Table_5[Customer Name],B2, Table_5[Order Date], "&gt;="&amp;DATE(2021,1,1), Table_5[Order Date], "&lt;="&amp;DATE(2022,12,31))&gt;0, "Existing Customer", "New Customer")</calculatedColumnFormula>
    </tableColumn>
    <tableColumn id="13" xr3:uid="{7D43D93C-0C91-4626-BCB8-AC14D4A54C89}" name="Country IS E11" dataDxfId="1">
      <calculatedColumnFormula>IF(Table_5[[#This Row],[Country]]='For Manage'!$E$11,1,0)</calculatedColumnFormula>
    </tableColumn>
  </tableColumns>
  <tableStyleInfo name="Dataset week 2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8C560F7-97A8-4D66-B2DB-413A2C67CBE9}" name="Rates_to_USD" displayName="Rates_to_USD" ref="A1:B25" totalsRowShown="0">
  <autoFilter ref="A1:B25" xr:uid="{C8C560F7-97A8-4D66-B2DB-413A2C67CBE9}"/>
  <tableColumns count="2">
    <tableColumn id="1" xr3:uid="{8F6FDFAA-AB90-416A-9483-10CFDFBFD30B}" name="Country"/>
    <tableColumn id="2" xr3:uid="{2D25500D-4637-4A69-930A-EDE42A566696}" name="Rat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F5496"/>
  </sheetPr>
  <dimension ref="A1:EI126"/>
  <sheetViews>
    <sheetView showGridLines="0" tabSelected="1" zoomScale="85" zoomScaleNormal="85" workbookViewId="0">
      <pane ySplit="1" topLeftCell="A93" activePane="bottomLeft" state="frozen"/>
      <selection pane="bottomLeft" activeCell="C114" sqref="C114"/>
    </sheetView>
  </sheetViews>
  <sheetFormatPr defaultColWidth="11.19921875" defaultRowHeight="15" customHeight="1" x14ac:dyDescent="0.3"/>
  <cols>
    <col min="1" max="1" width="5.09765625" customWidth="1"/>
    <col min="2" max="2" width="26.8984375" customWidth="1"/>
    <col min="3" max="3" width="11.8984375" customWidth="1"/>
    <col min="4" max="4" width="11.59765625" bestFit="1" customWidth="1"/>
    <col min="5" max="5" width="13.796875" bestFit="1" customWidth="1"/>
    <col min="6" max="6" width="12.3984375" customWidth="1"/>
    <col min="7" max="10" width="11.296875" bestFit="1" customWidth="1"/>
    <col min="11" max="11" width="11.19921875" customWidth="1"/>
    <col min="12" max="13" width="12.8984375" bestFit="1" customWidth="1"/>
    <col min="14" max="14" width="14.59765625" customWidth="1"/>
    <col min="15" max="15" width="12.3984375" bestFit="1" customWidth="1"/>
  </cols>
  <sheetData>
    <row r="1" spans="1:139" ht="15.6" x14ac:dyDescent="0.3">
      <c r="A1" s="2" t="s">
        <v>301</v>
      </c>
    </row>
    <row r="2" spans="1:139" ht="15.6" x14ac:dyDescent="0.3"/>
    <row r="3" spans="1:139" ht="39.6" x14ac:dyDescent="0.3">
      <c r="B3" s="209" t="s">
        <v>0</v>
      </c>
      <c r="C3" s="210"/>
      <c r="D3" s="210"/>
      <c r="E3" s="210"/>
      <c r="F3" s="210"/>
      <c r="G3" s="210"/>
      <c r="H3" s="210"/>
      <c r="I3" s="210"/>
      <c r="J3" s="210"/>
      <c r="K3" s="210"/>
      <c r="L3" s="210"/>
      <c r="M3" s="210"/>
      <c r="N3" s="210"/>
      <c r="O3" s="210"/>
      <c r="T3" s="120"/>
      <c r="EI3" s="89"/>
    </row>
    <row r="4" spans="1:139" ht="18" customHeight="1" x14ac:dyDescent="0.3"/>
    <row r="5" spans="1:139" ht="6.75" customHeight="1" x14ac:dyDescent="0.5">
      <c r="A5" s="3"/>
      <c r="B5" s="211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3"/>
      <c r="N5" s="4"/>
      <c r="O5" s="4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139" ht="39" customHeight="1" thickBot="1" x14ac:dyDescent="0.35">
      <c r="A6" s="5"/>
      <c r="B6" s="214" t="s">
        <v>1</v>
      </c>
      <c r="C6" s="210"/>
      <c r="D6" s="210"/>
      <c r="E6" s="210"/>
      <c r="F6" s="6"/>
      <c r="G6" s="6"/>
      <c r="H6" s="6"/>
      <c r="I6" s="6"/>
      <c r="J6" s="6"/>
      <c r="K6" s="6"/>
      <c r="L6" s="6"/>
      <c r="M6" s="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139" ht="20.25" customHeight="1" thickBot="1" x14ac:dyDescent="0.5">
      <c r="B7" s="215" t="s">
        <v>2</v>
      </c>
      <c r="C7" s="216"/>
      <c r="D7" s="216"/>
      <c r="E7" s="88" t="s">
        <v>3</v>
      </c>
      <c r="F7" s="169" t="s">
        <v>263</v>
      </c>
      <c r="G7" s="167" t="str">
        <f>IF(ISBLANK(E7),"*please write here","")</f>
        <v/>
      </c>
    </row>
    <row r="8" spans="1:139" ht="8.4" customHeight="1" x14ac:dyDescent="0.3">
      <c r="B8" s="86"/>
      <c r="C8" s="65"/>
      <c r="D8" s="65"/>
      <c r="E8" s="87"/>
      <c r="F8" s="83"/>
    </row>
    <row r="9" spans="1:139" ht="20.25" customHeight="1" x14ac:dyDescent="0.3">
      <c r="B9" s="217" t="s">
        <v>200</v>
      </c>
      <c r="C9" s="217"/>
      <c r="D9" s="217"/>
      <c r="E9" s="92" t="str">
        <f>IFERROR(INDEX('Employees '!A2:E32, MATCH(E11,'Employees '!E2:E32,0),2),"Not found")</f>
        <v>Emily Johnson</v>
      </c>
    </row>
    <row r="10" spans="1:139" ht="25.8" customHeight="1" x14ac:dyDescent="0.3">
      <c r="B10" s="219" t="s">
        <v>201</v>
      </c>
      <c r="C10" s="220"/>
      <c r="D10" s="220"/>
      <c r="E10" s="93" t="str">
        <f>IFERROR(INDEX('Employees '!A2:E32, MATCH(E7,'Employees '!B2:B32,0),4),"Not found")</f>
        <v>John Smith</v>
      </c>
    </row>
    <row r="11" spans="1:139" ht="20.25" customHeight="1" x14ac:dyDescent="0.3">
      <c r="B11" s="217" t="s">
        <v>4</v>
      </c>
      <c r="C11" s="218"/>
      <c r="D11" s="218"/>
      <c r="E11" s="94" t="str">
        <f>IFERROR(INDEX('Employees '!A2:E32, MATCH(E7,'Employees '!B2:B32,0),5),"Not found")</f>
        <v>USA</v>
      </c>
      <c r="H11" s="120"/>
    </row>
    <row r="12" spans="1:139" ht="20.25" customHeight="1" x14ac:dyDescent="0.3">
      <c r="B12" s="217" t="s">
        <v>5</v>
      </c>
      <c r="C12" s="218"/>
      <c r="D12" s="218"/>
      <c r="E12" s="94" t="str">
        <f>IFERROR(INDEX('Employees '!A2:F32, MATCH(E7,'Employees '!B2:B32,0),6),"Not found")</f>
        <v>USD</v>
      </c>
    </row>
    <row r="13" spans="1:139" ht="33.6" customHeight="1" thickBot="1" x14ac:dyDescent="0.35">
      <c r="B13" s="86"/>
      <c r="C13" s="65"/>
      <c r="D13" s="65"/>
      <c r="E13" s="87"/>
      <c r="F13" s="83"/>
    </row>
    <row r="14" spans="1:139" ht="20.25" customHeight="1" thickBot="1" x14ac:dyDescent="0.5">
      <c r="B14" s="215" t="s">
        <v>264</v>
      </c>
      <c r="C14" s="216"/>
      <c r="D14" s="216"/>
      <c r="E14" s="88" t="s">
        <v>18</v>
      </c>
      <c r="F14" s="169" t="s">
        <v>263</v>
      </c>
      <c r="G14" s="167" t="str">
        <f>IF(ISBLANK(E14),"*please write here","")</f>
        <v/>
      </c>
    </row>
    <row r="15" spans="1:139" ht="11.25" customHeight="1" thickBot="1" x14ac:dyDescent="0.35">
      <c r="C15" s="7"/>
    </row>
    <row r="16" spans="1:139" ht="18" thickBot="1" x14ac:dyDescent="0.35">
      <c r="B16" s="221" t="s">
        <v>7</v>
      </c>
      <c r="C16" s="222"/>
      <c r="D16" s="222"/>
      <c r="E16" s="95">
        <f>G21*O33+G22*O41+G23*3+G24*O57 - G25</f>
        <v>186493.43651999999</v>
      </c>
      <c r="F16" s="180" t="str">
        <f>E12</f>
        <v>USD</v>
      </c>
    </row>
    <row r="17" spans="1:26" ht="18" thickBot="1" x14ac:dyDescent="0.35">
      <c r="B17" s="227" t="s">
        <v>299</v>
      </c>
      <c r="C17" s="227"/>
      <c r="D17" s="227"/>
      <c r="E17" s="202">
        <f>IFERROR(INDEX(Rates_to_USD[],MATCH(E11,Rates_to_USD[Country],0),2),0)</f>
        <v>1</v>
      </c>
      <c r="F17" s="180"/>
    </row>
    <row r="18" spans="1:26" ht="42" customHeight="1" x14ac:dyDescent="0.3"/>
    <row r="19" spans="1:26" ht="30.75" customHeight="1" thickBot="1" x14ac:dyDescent="0.55000000000000004">
      <c r="A19" s="3"/>
      <c r="B19" s="231" t="s">
        <v>266</v>
      </c>
      <c r="C19" s="231"/>
      <c r="D19" s="231"/>
      <c r="E19" s="231"/>
      <c r="F19" s="231"/>
      <c r="G19" s="231"/>
      <c r="H19" s="8"/>
      <c r="I19" s="8"/>
      <c r="J19" s="8"/>
      <c r="K19" s="8"/>
      <c r="L19" s="8"/>
      <c r="M19" s="8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4.5" customHeight="1" thickBot="1" x14ac:dyDescent="0.35">
      <c r="B20" s="223" t="s">
        <v>8</v>
      </c>
      <c r="C20" s="224"/>
      <c r="D20" s="225"/>
      <c r="E20" s="176" t="s">
        <v>202</v>
      </c>
      <c r="F20" s="175" t="s">
        <v>9</v>
      </c>
      <c r="G20" s="175" t="s">
        <v>10</v>
      </c>
    </row>
    <row r="21" spans="1:26" ht="27" customHeight="1" thickTop="1" x14ac:dyDescent="0.3">
      <c r="B21" s="226" t="str">
        <f>_xlfn.CONCAT("Total Orders Value  (",$E$12,")")</f>
        <v>Total Orders Value  (USD)</v>
      </c>
      <c r="C21" s="210"/>
      <c r="D21" s="210"/>
      <c r="E21" s="181">
        <v>1000000</v>
      </c>
      <c r="F21" s="186">
        <v>0.5</v>
      </c>
      <c r="G21" s="96">
        <f>$G$25*F21</f>
        <v>60000</v>
      </c>
      <c r="J21" s="2"/>
    </row>
    <row r="22" spans="1:26" ht="27" customHeight="1" x14ac:dyDescent="0.3">
      <c r="B22" s="229" t="str">
        <f>_xlfn.CONCAT("Team total orders value achieved  (",$E$12,")")</f>
        <v>Team total orders value achieved  (USD)</v>
      </c>
      <c r="C22" s="230"/>
      <c r="D22" s="230"/>
      <c r="E22" s="182">
        <v>10000000</v>
      </c>
      <c r="F22" s="185">
        <v>0.2</v>
      </c>
      <c r="G22" s="96">
        <f>$G$25*F22</f>
        <v>24000</v>
      </c>
      <c r="J22" s="61"/>
      <c r="K22" s="61"/>
    </row>
    <row r="23" spans="1:26" ht="27" customHeight="1" x14ac:dyDescent="0.3">
      <c r="B23" s="226" t="str">
        <f>_xlfn.CONCAT("Orders from Top Customers  (",$E$12,")")</f>
        <v>Orders from Top Customers  (USD)</v>
      </c>
      <c r="C23" s="210"/>
      <c r="D23" s="210"/>
      <c r="E23" s="183">
        <v>250000</v>
      </c>
      <c r="F23" s="185">
        <v>0.1</v>
      </c>
      <c r="G23" s="96">
        <f>$G$25*F23</f>
        <v>12000</v>
      </c>
      <c r="J23" s="61"/>
      <c r="K23" s="65"/>
    </row>
    <row r="24" spans="1:26" ht="26.25" customHeight="1" thickBot="1" x14ac:dyDescent="0.35">
      <c r="B24" s="226" t="str">
        <f>_xlfn.CONCAT("Orders from New Customers  (",$E$12,")")</f>
        <v>Orders from New Customers  (USD)</v>
      </c>
      <c r="C24" s="210"/>
      <c r="D24" s="210"/>
      <c r="E24" s="184">
        <v>100000</v>
      </c>
      <c r="F24" s="185">
        <v>0.2</v>
      </c>
      <c r="G24" s="96">
        <f>$G$25*F24</f>
        <v>24000</v>
      </c>
      <c r="J24" s="61"/>
      <c r="K24" s="61"/>
    </row>
    <row r="25" spans="1:26" ht="26.25" customHeight="1" x14ac:dyDescent="0.3">
      <c r="B25" s="232" t="s">
        <v>14</v>
      </c>
      <c r="C25" s="233"/>
      <c r="D25" s="233"/>
      <c r="E25" s="188"/>
      <c r="F25" s="198">
        <v>1</v>
      </c>
      <c r="G25" s="187">
        <v>120000</v>
      </c>
      <c r="H25" s="166" t="s">
        <v>262</v>
      </c>
    </row>
    <row r="28" spans="1:26" ht="25.8" customHeight="1" x14ac:dyDescent="0.3">
      <c r="B28" s="16" t="str">
        <f>_xlfn.CONCAT("1. TARGET: Total Orders Value  (",$E$12,")")</f>
        <v>1. TARGET: Total Orders Value  (USD)</v>
      </c>
    </row>
    <row r="29" spans="1:26" ht="7.8" customHeight="1" x14ac:dyDescent="0.3"/>
    <row r="30" spans="1:26" ht="15.6" x14ac:dyDescent="0.3">
      <c r="A30" s="7"/>
      <c r="B30" s="9"/>
      <c r="C30" s="10" t="s">
        <v>229</v>
      </c>
      <c r="D30" s="10" t="s">
        <v>228</v>
      </c>
      <c r="E30" s="10" t="s">
        <v>17</v>
      </c>
      <c r="F30" s="10" t="s">
        <v>18</v>
      </c>
      <c r="G30" s="10" t="s">
        <v>19</v>
      </c>
      <c r="H30" s="10" t="s">
        <v>20</v>
      </c>
      <c r="I30" s="10" t="s">
        <v>21</v>
      </c>
      <c r="J30" s="10" t="s">
        <v>22</v>
      </c>
      <c r="K30" s="10" t="s">
        <v>6</v>
      </c>
      <c r="L30" s="10" t="s">
        <v>23</v>
      </c>
      <c r="M30" s="10" t="s">
        <v>24</v>
      </c>
      <c r="N30" s="10" t="s">
        <v>25</v>
      </c>
      <c r="O30" s="11" t="s">
        <v>26</v>
      </c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8.75" customHeight="1" x14ac:dyDescent="0.3">
      <c r="B31" s="12" t="s">
        <v>27</v>
      </c>
      <c r="C31" s="156" cm="1">
        <f t="array" ref="C31:F33">IFERROR(INDEX('For Employee'!$E$20:$P$22,1,1):INDEX('For Employee'!$E$20:$P$22,3,MONTH(DATEVALUE('For Manage'!$E$14&amp;1))),"* Please click E7 and E14")</f>
        <v>379553.2</v>
      </c>
      <c r="D31" s="157">
        <v>731556.5</v>
      </c>
      <c r="E31" s="157">
        <v>1892629.05</v>
      </c>
      <c r="F31" s="157">
        <v>2568532.85</v>
      </c>
      <c r="G31" s="157"/>
      <c r="H31" s="157"/>
      <c r="I31" s="157"/>
      <c r="J31" s="157"/>
      <c r="K31" s="157"/>
      <c r="L31" s="157"/>
      <c r="M31" s="157"/>
      <c r="N31" s="157"/>
      <c r="O31" s="157" cm="1">
        <f t="array" ref="O31">IFERROR(INDEX('For Employee'!$E$20:$P$22,1,MONTH(DATEVALUE('For Manage'!$E$14&amp;1))),"0")</f>
        <v>2568532.85</v>
      </c>
    </row>
    <row r="32" spans="1:26" ht="18.75" customHeight="1" x14ac:dyDescent="0.3">
      <c r="B32" s="97" t="s">
        <v>28</v>
      </c>
      <c r="C32" s="159">
        <v>4.5546384</v>
      </c>
      <c r="D32" s="159">
        <v>4.3893390000000005</v>
      </c>
      <c r="E32" s="159">
        <v>7.5705162000000001</v>
      </c>
      <c r="F32" s="159">
        <v>7.7055985500000004</v>
      </c>
      <c r="G32" s="159"/>
      <c r="H32" s="159"/>
      <c r="I32" s="159"/>
      <c r="J32" s="159"/>
      <c r="K32" s="159"/>
      <c r="L32" s="159"/>
      <c r="M32" s="159"/>
      <c r="N32" s="159"/>
      <c r="O32" s="170" cm="1">
        <f t="array" ref="O32">IFERROR(INDEX('For Employee'!$E$20:$P$22,2,MONTH(DATEVALUE('For Manage'!$E$14&amp;1))),"0")</f>
        <v>7.7055985500000004</v>
      </c>
    </row>
    <row r="33" spans="1:26" ht="18.75" customHeight="1" x14ac:dyDescent="0.3">
      <c r="B33" s="12" t="s">
        <v>29</v>
      </c>
      <c r="C33" s="160">
        <v>3</v>
      </c>
      <c r="D33" s="160">
        <v>3</v>
      </c>
      <c r="E33" s="160">
        <v>3</v>
      </c>
      <c r="F33" s="160">
        <v>3</v>
      </c>
      <c r="G33" s="160"/>
      <c r="H33" s="160"/>
      <c r="I33" s="160"/>
      <c r="J33" s="160"/>
      <c r="K33" s="160"/>
      <c r="L33" s="160"/>
      <c r="M33" s="160"/>
      <c r="N33" s="160"/>
      <c r="O33" s="160" cm="1">
        <f t="array" ref="O33">IFERROR(INDEX('For Employee'!$E$20:$P$22,3,MONTH(DATEVALUE('For Manage'!$E$14&amp;1))),"0")</f>
        <v>3</v>
      </c>
    </row>
    <row r="35" spans="1:26" ht="15" customHeight="1" x14ac:dyDescent="0.4">
      <c r="B35" s="154"/>
    </row>
    <row r="36" spans="1:26" ht="25.8" customHeight="1" x14ac:dyDescent="0.3">
      <c r="B36" s="20" t="str">
        <f>_xlfn.CONCAT("2. TARGET: Team total orders value achieved  (",$E$12,")")</f>
        <v>2. TARGET: Team total orders value achieved  (USD)</v>
      </c>
    </row>
    <row r="37" spans="1:26" ht="7.8" customHeight="1" x14ac:dyDescent="0.3"/>
    <row r="38" spans="1:26" ht="15.6" x14ac:dyDescent="0.3">
      <c r="A38" s="7"/>
      <c r="B38" s="9"/>
      <c r="C38" s="10" t="s">
        <v>229</v>
      </c>
      <c r="D38" s="10" t="s">
        <v>228</v>
      </c>
      <c r="E38" s="10" t="s">
        <v>17</v>
      </c>
      <c r="F38" s="10" t="s">
        <v>18</v>
      </c>
      <c r="G38" s="10" t="s">
        <v>19</v>
      </c>
      <c r="H38" s="10" t="s">
        <v>20</v>
      </c>
      <c r="I38" s="10" t="s">
        <v>21</v>
      </c>
      <c r="J38" s="10" t="s">
        <v>22</v>
      </c>
      <c r="K38" s="10" t="s">
        <v>6</v>
      </c>
      <c r="L38" s="10" t="s">
        <v>23</v>
      </c>
      <c r="M38" s="10" t="s">
        <v>24</v>
      </c>
      <c r="N38" s="10" t="s">
        <v>25</v>
      </c>
      <c r="O38" s="11" t="s">
        <v>26</v>
      </c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8.75" customHeight="1" x14ac:dyDescent="0.3">
      <c r="B39" s="12" t="s">
        <v>27</v>
      </c>
      <c r="C39" s="156" cm="1">
        <f t="array" ref="C39:F41">IFERROR(INDEX('For Employee'!$E$31:$P$33,1,1):INDEX('For Employee'!$E$31:$P$33,3,MONTH(DATEVALUE('For Manage'!$E$14&amp;1))),"* Please click E7 and E14")</f>
        <v>379553.2</v>
      </c>
      <c r="D39" s="157">
        <v>731556.5</v>
      </c>
      <c r="E39" s="157">
        <v>1892629.05</v>
      </c>
      <c r="F39" s="157">
        <v>2568532.85</v>
      </c>
      <c r="G39" s="157"/>
      <c r="H39" s="157"/>
      <c r="I39" s="157"/>
      <c r="J39" s="157"/>
      <c r="K39" s="157"/>
      <c r="L39" s="157"/>
      <c r="M39" s="157"/>
      <c r="N39" s="157"/>
      <c r="O39" s="157" cm="1">
        <f t="array" ref="O39">IFERROR(INDEX('For Employee'!$E$31:$P$33,1,MONTH(DATEVALUE('For Manage'!$E$14&amp;1))),"0")</f>
        <v>2568532.85</v>
      </c>
    </row>
    <row r="40" spans="1:26" ht="18.75" customHeight="1" x14ac:dyDescent="0.3">
      <c r="B40" s="97" t="s">
        <v>28</v>
      </c>
      <c r="C40" s="158">
        <v>0.45546384000000001</v>
      </c>
      <c r="D40" s="158">
        <v>0.43893389999999999</v>
      </c>
      <c r="E40" s="158">
        <v>0.75705162000000004</v>
      </c>
      <c r="F40" s="158">
        <v>0.77055985500000002</v>
      </c>
      <c r="G40" s="158"/>
      <c r="H40" s="158"/>
      <c r="I40" s="158"/>
      <c r="J40" s="158"/>
      <c r="K40" s="158"/>
      <c r="L40" s="158"/>
      <c r="M40" s="158"/>
      <c r="N40" s="158"/>
      <c r="O40" s="159" cm="1">
        <f t="array" ref="O40">IFERROR(INDEX('For Employee'!$E$31:$P$33,2,MONTH(DATEVALUE('For Manage'!$E$14&amp;1))),"0")</f>
        <v>0.77055985500000002</v>
      </c>
    </row>
    <row r="41" spans="1:26" ht="18.75" customHeight="1" x14ac:dyDescent="0.3">
      <c r="B41" s="12" t="s">
        <v>29</v>
      </c>
      <c r="C41" s="155">
        <v>0</v>
      </c>
      <c r="D41" s="155">
        <v>0</v>
      </c>
      <c r="E41" s="155">
        <v>0.75705162000000004</v>
      </c>
      <c r="F41" s="155">
        <v>0.77055985500000002</v>
      </c>
      <c r="G41" s="155"/>
      <c r="H41" s="155"/>
      <c r="I41" s="155"/>
      <c r="J41" s="155"/>
      <c r="K41" s="155"/>
      <c r="L41" s="155"/>
      <c r="M41" s="155"/>
      <c r="N41" s="155"/>
      <c r="O41" s="155" cm="1">
        <f t="array" ref="O41">IFERROR(INDEX('For Employee'!$E$31:$P$33,3,MONTH(DATEVALUE('For Manage'!$E$14&amp;1))),"0")</f>
        <v>0.77055985500000002</v>
      </c>
    </row>
    <row r="44" spans="1:26" ht="25.8" customHeight="1" x14ac:dyDescent="0.3">
      <c r="B44" s="20" t="str">
        <f>_xlfn.CONCAT("3. TARGET: Orders from Top Customers  (",$E$12,")")</f>
        <v>3. TARGET: Orders from Top Customers  (USD)</v>
      </c>
    </row>
    <row r="45" spans="1:26" ht="7.8" customHeight="1" x14ac:dyDescent="0.3"/>
    <row r="46" spans="1:26" ht="15.6" x14ac:dyDescent="0.3">
      <c r="A46" s="7"/>
      <c r="B46" s="9"/>
      <c r="C46" s="10" t="s">
        <v>229</v>
      </c>
      <c r="D46" s="10" t="s">
        <v>228</v>
      </c>
      <c r="E46" s="10" t="s">
        <v>17</v>
      </c>
      <c r="F46" s="10" t="s">
        <v>18</v>
      </c>
      <c r="G46" s="10" t="s">
        <v>19</v>
      </c>
      <c r="H46" s="10" t="s">
        <v>20</v>
      </c>
      <c r="I46" s="10" t="s">
        <v>21</v>
      </c>
      <c r="J46" s="10" t="s">
        <v>22</v>
      </c>
      <c r="K46" s="10" t="s">
        <v>6</v>
      </c>
      <c r="L46" s="10" t="s">
        <v>23</v>
      </c>
      <c r="M46" s="10" t="s">
        <v>24</v>
      </c>
      <c r="N46" s="10" t="s">
        <v>25</v>
      </c>
      <c r="O46" s="11" t="s">
        <v>26</v>
      </c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8.75" customHeight="1" x14ac:dyDescent="0.3">
      <c r="B47" s="12" t="s">
        <v>27</v>
      </c>
      <c r="C47" s="157" cm="1">
        <f t="array" ref="C47:F49">IFERROR(INDEX('For Employee'!$E$41:$P$43,1,1):INDEX('For Employee'!$E$41:$P$43,3,MONTH(DATEVALUE('For Manage'!$E$14&amp;1))),"* Please click E7 and E14")</f>
        <v>0</v>
      </c>
      <c r="D47" s="157">
        <v>150000</v>
      </c>
      <c r="E47" s="157">
        <v>150000</v>
      </c>
      <c r="F47" s="157">
        <v>150000</v>
      </c>
      <c r="G47" s="157"/>
      <c r="H47" s="157"/>
      <c r="I47" s="157"/>
      <c r="J47" s="157"/>
      <c r="K47" s="157"/>
      <c r="L47" s="157"/>
      <c r="M47" s="157"/>
      <c r="N47" s="157"/>
      <c r="O47" s="157" cm="1">
        <f t="array" ref="O47">IFERROR(INDEX('For Employee'!$E$41:$P$43,1,MONTH(DATEVALUE('For Manage'!$E$14&amp;1))),"0")</f>
        <v>150000</v>
      </c>
    </row>
    <row r="48" spans="1:26" ht="18.75" customHeight="1" x14ac:dyDescent="0.3">
      <c r="B48" s="97" t="s">
        <v>28</v>
      </c>
      <c r="C48" s="245">
        <v>0</v>
      </c>
      <c r="D48" s="245">
        <v>3.6</v>
      </c>
      <c r="E48" s="245">
        <v>2.4</v>
      </c>
      <c r="F48" s="245">
        <v>1.8</v>
      </c>
      <c r="G48" s="245"/>
      <c r="H48" s="245"/>
      <c r="I48" s="245"/>
      <c r="J48" s="245"/>
      <c r="K48" s="245"/>
      <c r="L48" s="245"/>
      <c r="M48" s="245"/>
      <c r="N48" s="245"/>
      <c r="O48" s="159" cm="1">
        <f t="array" ref="O48">IFERROR(INDEX('For Employee'!$E$41:$P$43,2,MONTH(DATEVALUE('For Manage'!$E$14&amp;1))),"0")</f>
        <v>1.8</v>
      </c>
    </row>
    <row r="49" spans="1:26" ht="18.75" customHeight="1" x14ac:dyDescent="0.3">
      <c r="B49" s="12" t="s">
        <v>29</v>
      </c>
      <c r="C49" s="246">
        <v>0</v>
      </c>
      <c r="D49" s="246">
        <v>3</v>
      </c>
      <c r="E49" s="246">
        <v>3</v>
      </c>
      <c r="F49" s="246">
        <v>3</v>
      </c>
      <c r="G49" s="246"/>
      <c r="H49" s="246"/>
      <c r="I49" s="246"/>
      <c r="J49" s="246"/>
      <c r="K49" s="246"/>
      <c r="L49" s="246"/>
      <c r="M49" s="246"/>
      <c r="N49" s="246"/>
      <c r="O49" s="160" cm="1">
        <f t="array" ref="O49">IFERROR(INDEX('For Employee'!$E$41:$P$43,3,MONTH(DATEVALUE('For Manage'!$E$14&amp;1))),"0")</f>
        <v>3</v>
      </c>
    </row>
    <row r="51" spans="1:26" ht="15" customHeight="1" x14ac:dyDescent="0.4">
      <c r="B51" s="154"/>
    </row>
    <row r="52" spans="1:26" ht="25.8" customHeight="1" x14ac:dyDescent="0.3">
      <c r="B52" s="24" t="str">
        <f>_xlfn.CONCAT("4. TARGET: Orders from New Customers  (",$E$12,")")</f>
        <v>4. TARGET: Orders from New Customers  (USD)</v>
      </c>
    </row>
    <row r="53" spans="1:26" ht="7.8" customHeight="1" x14ac:dyDescent="0.3"/>
    <row r="54" spans="1:26" ht="15.6" x14ac:dyDescent="0.3">
      <c r="A54" s="7"/>
      <c r="B54" s="9"/>
      <c r="C54" s="10" t="s">
        <v>229</v>
      </c>
      <c r="D54" s="10" t="s">
        <v>228</v>
      </c>
      <c r="E54" s="10" t="s">
        <v>17</v>
      </c>
      <c r="F54" s="10" t="s">
        <v>18</v>
      </c>
      <c r="G54" s="10" t="s">
        <v>19</v>
      </c>
      <c r="H54" s="10" t="s">
        <v>20</v>
      </c>
      <c r="I54" s="10" t="s">
        <v>21</v>
      </c>
      <c r="J54" s="10" t="s">
        <v>22</v>
      </c>
      <c r="K54" s="10" t="s">
        <v>6</v>
      </c>
      <c r="L54" s="10" t="s">
        <v>23</v>
      </c>
      <c r="M54" s="10" t="s">
        <v>24</v>
      </c>
      <c r="N54" s="10" t="s">
        <v>25</v>
      </c>
      <c r="O54" s="11" t="s">
        <v>26</v>
      </c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8.75" customHeight="1" x14ac:dyDescent="0.3">
      <c r="B55" s="12" t="s">
        <v>27</v>
      </c>
      <c r="C55" s="168" cm="1">
        <f t="array" ref="C55:F57">IFERROR(INDEX('For Employee'!$E$52:$P$54,1,1):INDEX('For Employee'!$E$52:$P$54,3,MONTH(DATEVALUE('For Manage'!$E$14&amp;1))),"* Please click  E7 and E14")</f>
        <v>29202.75</v>
      </c>
      <c r="D55" s="157">
        <v>229554.74999999997</v>
      </c>
      <c r="E55" s="157">
        <v>539777.04999999993</v>
      </c>
      <c r="F55" s="157">
        <v>765230.25</v>
      </c>
      <c r="G55" s="157"/>
      <c r="H55" s="157"/>
      <c r="I55" s="157"/>
      <c r="J55" s="157"/>
      <c r="K55" s="157"/>
      <c r="L55" s="157"/>
      <c r="M55" s="157"/>
      <c r="N55" s="157"/>
      <c r="O55" s="157" cm="1">
        <f t="array" ref="O55">IFERROR(INDEX('For Employee'!$E$52:$P$54,1,MONTH(DATEVALUE('For Manage'!$E$14&amp;1))),"0")</f>
        <v>765230.25</v>
      </c>
    </row>
    <row r="56" spans="1:26" ht="18.75" customHeight="1" x14ac:dyDescent="0.3">
      <c r="B56" s="97" t="s">
        <v>28</v>
      </c>
      <c r="C56" s="158">
        <v>3.5043299999999999</v>
      </c>
      <c r="D56" s="158">
        <v>13.773284999999998</v>
      </c>
      <c r="E56" s="158">
        <v>21.591081999999997</v>
      </c>
      <c r="F56" s="158">
        <v>22.9569075</v>
      </c>
      <c r="G56" s="158"/>
      <c r="H56" s="158"/>
      <c r="I56" s="158"/>
      <c r="J56" s="158"/>
      <c r="K56" s="158"/>
      <c r="L56" s="158"/>
      <c r="M56" s="158"/>
      <c r="N56" s="158"/>
      <c r="O56" s="159" cm="1">
        <f t="array" ref="O56">IFERROR(INDEX('For Employee'!$E$52:$P$54,2,MONTH(DATEVALUE('For Manage'!$E$14&amp;1))),"0")</f>
        <v>22.9569075</v>
      </c>
    </row>
    <row r="57" spans="1:26" ht="18.75" customHeight="1" x14ac:dyDescent="0.3">
      <c r="B57" s="12" t="s">
        <v>29</v>
      </c>
      <c r="C57" s="155">
        <v>3</v>
      </c>
      <c r="D57" s="155">
        <v>3</v>
      </c>
      <c r="E57" s="155">
        <v>3</v>
      </c>
      <c r="F57" s="155">
        <v>3</v>
      </c>
      <c r="G57" s="155"/>
      <c r="H57" s="155"/>
      <c r="I57" s="155"/>
      <c r="J57" s="155"/>
      <c r="K57" s="155"/>
      <c r="L57" s="155"/>
      <c r="M57" s="155"/>
      <c r="N57" s="155"/>
      <c r="O57" s="155" cm="1">
        <f t="array" ref="O57">IFERROR(INDEX('For Employee'!$E$52:$P$54,3,MONTH(DATEVALUE('For Manage'!$E$14&amp;1))),"0")</f>
        <v>3</v>
      </c>
    </row>
    <row r="59" spans="1:26" ht="15" customHeight="1" x14ac:dyDescent="0.4">
      <c r="B59" s="154"/>
    </row>
    <row r="60" spans="1:26" ht="58.8" customHeight="1" thickBot="1" x14ac:dyDescent="0.35"/>
    <row r="61" spans="1:26" ht="60.6" customHeight="1" x14ac:dyDescent="0.3">
      <c r="B61" s="228" t="s">
        <v>293</v>
      </c>
      <c r="C61" s="228"/>
      <c r="D61" s="228"/>
      <c r="E61" s="228"/>
      <c r="F61" s="228"/>
      <c r="G61" s="228"/>
      <c r="H61" s="228"/>
      <c r="I61" s="228"/>
      <c r="J61" s="228"/>
      <c r="K61" s="228"/>
      <c r="L61" s="228"/>
      <c r="M61" s="228"/>
      <c r="N61" s="228"/>
      <c r="O61" s="228"/>
    </row>
    <row r="69" spans="14:14" ht="36.6" x14ac:dyDescent="0.7">
      <c r="N69" s="199" t="s">
        <v>300</v>
      </c>
    </row>
    <row r="70" spans="14:14" ht="40.799999999999997" x14ac:dyDescent="0.75">
      <c r="N70" s="200">
        <f>'For Employee'!Q21</f>
        <v>7.5790550499999991</v>
      </c>
    </row>
    <row r="71" spans="14:14" ht="15.6" x14ac:dyDescent="0.3"/>
    <row r="72" spans="14:14" ht="40.200000000000003" customHeight="1" x14ac:dyDescent="0.3"/>
    <row r="89" spans="14:14" ht="36.6" x14ac:dyDescent="0.7">
      <c r="N89" s="199" t="s">
        <v>300</v>
      </c>
    </row>
    <row r="90" spans="14:14" ht="40.799999999999997" x14ac:dyDescent="0.75">
      <c r="N90" s="200">
        <f>'For Employee'!Q32</f>
        <v>0.75790550499999998</v>
      </c>
    </row>
    <row r="91" spans="14:14" ht="15.6" x14ac:dyDescent="0.3"/>
    <row r="106" spans="14:14" ht="36.6" x14ac:dyDescent="0.7">
      <c r="N106" s="199" t="s">
        <v>300</v>
      </c>
    </row>
    <row r="107" spans="14:14" ht="40.799999999999997" x14ac:dyDescent="0.75">
      <c r="N107" s="200">
        <f>'For Employee'!Q42</f>
        <v>8.6022033999999987</v>
      </c>
    </row>
    <row r="108" spans="14:14" ht="15" customHeight="1" x14ac:dyDescent="0.75">
      <c r="N108" s="200"/>
    </row>
    <row r="125" spans="14:14" ht="36.6" x14ac:dyDescent="0.7">
      <c r="N125" s="199" t="s">
        <v>300</v>
      </c>
    </row>
    <row r="126" spans="14:14" ht="36.6" x14ac:dyDescent="0.7">
      <c r="N126" s="201">
        <f>'For Employee'!Q53</f>
        <v>12.218440999999999</v>
      </c>
    </row>
  </sheetData>
  <mergeCells count="19">
    <mergeCell ref="B61:O61"/>
    <mergeCell ref="B22:D22"/>
    <mergeCell ref="B19:G19"/>
    <mergeCell ref="B24:D24"/>
    <mergeCell ref="B25:D25"/>
    <mergeCell ref="B23:D23"/>
    <mergeCell ref="B12:D12"/>
    <mergeCell ref="B14:D14"/>
    <mergeCell ref="B16:D16"/>
    <mergeCell ref="B20:D20"/>
    <mergeCell ref="B21:D21"/>
    <mergeCell ref="B17:D17"/>
    <mergeCell ref="B3:O3"/>
    <mergeCell ref="B5:M5"/>
    <mergeCell ref="B6:E6"/>
    <mergeCell ref="B7:D7"/>
    <mergeCell ref="B11:D11"/>
    <mergeCell ref="B9:D9"/>
    <mergeCell ref="B10:D10"/>
  </mergeCells>
  <pageMargins left="0.7" right="0.7" top="0.75" bottom="0.75" header="0" footer="0"/>
  <pageSetup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100-000000000000}">
          <x14:formula1>
            <xm:f>'Employees '!$J$4:$J$25</xm:f>
          </x14:formula1>
          <xm:sqref>E7:E8 E13</xm:sqref>
        </x14:dataValidation>
        <x14:dataValidation type="list" allowBlank="1" showInputMessage="1" showErrorMessage="1" xr:uid="{3A5FFF10-D52C-44D5-851A-44AADE887E95}">
          <x14:formula1>
            <xm:f>'For Employee'!$E$16:$P$16</xm:f>
          </x14:formula1>
          <xm:sqref>E14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Z56"/>
  <sheetViews>
    <sheetView showGridLines="0" topLeftCell="A16" zoomScaleNormal="100" workbookViewId="0">
      <selection activeCell="E19" sqref="E19"/>
    </sheetView>
  </sheetViews>
  <sheetFormatPr defaultColWidth="11.19921875" defaultRowHeight="15" customHeight="1" x14ac:dyDescent="0.3"/>
  <cols>
    <col min="1" max="1" width="3.59765625" customWidth="1"/>
    <col min="2" max="2" width="2.69921875" customWidth="1"/>
    <col min="3" max="3" width="4" style="98" customWidth="1"/>
    <col min="4" max="4" width="20.796875" customWidth="1"/>
    <col min="5" max="5" width="9.8984375" bestFit="1" customWidth="1"/>
    <col min="6" max="12" width="11.3984375" bestFit="1" customWidth="1"/>
    <col min="13" max="13" width="12.19921875" bestFit="1" customWidth="1"/>
    <col min="14" max="16" width="13" bestFit="1" customWidth="1"/>
    <col min="17" max="17" width="13" style="102" bestFit="1" customWidth="1"/>
    <col min="18" max="18" width="5.5" customWidth="1"/>
    <col min="19" max="19" width="27.59765625" bestFit="1" customWidth="1"/>
    <col min="20" max="20" width="20.5" customWidth="1"/>
    <col min="21" max="28" width="8.59765625" customWidth="1"/>
  </cols>
  <sheetData>
    <row r="1" spans="1:26" ht="15.6" x14ac:dyDescent="0.3"/>
    <row r="2" spans="1:26" ht="15.6" x14ac:dyDescent="0.3"/>
    <row r="3" spans="1:26" ht="39.6" x14ac:dyDescent="0.3">
      <c r="D3" s="209" t="s">
        <v>0</v>
      </c>
      <c r="E3" s="210"/>
      <c r="F3" s="210"/>
      <c r="G3" s="210"/>
      <c r="H3" s="210"/>
      <c r="I3" s="210"/>
      <c r="J3" s="210"/>
      <c r="K3" s="210"/>
      <c r="L3" s="210"/>
      <c r="M3" s="210"/>
      <c r="N3" s="210"/>
      <c r="O3" s="210"/>
      <c r="P3" s="210"/>
      <c r="Q3" s="103"/>
    </row>
    <row r="4" spans="1:26" ht="18" customHeight="1" x14ac:dyDescent="0.3"/>
    <row r="5" spans="1:26" ht="6.75" customHeight="1" x14ac:dyDescent="0.5">
      <c r="A5" s="238"/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13"/>
      <c r="N5" s="4"/>
      <c r="O5" s="4"/>
      <c r="P5" s="4"/>
      <c r="Q5" s="104"/>
      <c r="R5" s="3"/>
      <c r="S5" s="3"/>
      <c r="T5" s="3"/>
      <c r="U5" s="3"/>
      <c r="V5" s="3"/>
      <c r="W5" s="3"/>
      <c r="X5" s="3"/>
      <c r="Y5" s="3"/>
      <c r="Z5" s="3"/>
    </row>
    <row r="6" spans="1:26" ht="18" customHeight="1" thickBot="1" x14ac:dyDescent="0.45">
      <c r="C6" s="99"/>
      <c r="G6" s="132"/>
      <c r="H6" s="132"/>
      <c r="I6" s="132"/>
      <c r="J6" s="132"/>
      <c r="K6" s="132"/>
    </row>
    <row r="7" spans="1:26" ht="54" customHeight="1" thickBot="1" x14ac:dyDescent="0.45">
      <c r="C7" s="99"/>
      <c r="G7" s="236" t="s">
        <v>8</v>
      </c>
      <c r="H7" s="236"/>
      <c r="I7" s="236"/>
      <c r="J7" s="236"/>
      <c r="K7" s="236"/>
      <c r="L7" s="91" t="s">
        <v>202</v>
      </c>
      <c r="N7" s="54" t="s">
        <v>302</v>
      </c>
      <c r="O7" s="54"/>
      <c r="P7" s="54"/>
    </row>
    <row r="8" spans="1:26" ht="25.2" customHeight="1" thickTop="1" x14ac:dyDescent="0.4">
      <c r="C8" s="99"/>
      <c r="G8" s="237" t="s">
        <v>11</v>
      </c>
      <c r="H8" s="237"/>
      <c r="I8" s="237"/>
      <c r="J8" s="237"/>
      <c r="K8" s="237"/>
      <c r="L8" s="177">
        <f>'For Manage'!E21</f>
        <v>1000000</v>
      </c>
      <c r="P8" s="65"/>
      <c r="T8" s="2"/>
      <c r="U8" s="2"/>
    </row>
    <row r="9" spans="1:26" ht="25.2" customHeight="1" x14ac:dyDescent="0.4">
      <c r="C9" s="99"/>
      <c r="G9" s="230" t="s">
        <v>203</v>
      </c>
      <c r="H9" s="230"/>
      <c r="I9" s="230"/>
      <c r="J9" s="230"/>
      <c r="K9" s="230"/>
      <c r="L9" s="178">
        <f>'For Manage'!E22</f>
        <v>10000000</v>
      </c>
      <c r="M9" s="116"/>
      <c r="P9" s="65"/>
      <c r="T9" s="2"/>
    </row>
    <row r="10" spans="1:26" ht="24.6" customHeight="1" x14ac:dyDescent="0.4">
      <c r="C10" s="99"/>
      <c r="G10" s="237" t="s">
        <v>12</v>
      </c>
      <c r="H10" s="237"/>
      <c r="I10" s="237"/>
      <c r="J10" s="237"/>
      <c r="K10" s="237"/>
      <c r="L10" s="178">
        <f>'For Manage'!E23</f>
        <v>250000</v>
      </c>
      <c r="M10" s="116"/>
      <c r="P10" s="208" t="s">
        <v>4</v>
      </c>
      <c r="Q10" s="94" t="str">
        <f>'For Manage'!E11</f>
        <v>USA</v>
      </c>
      <c r="T10" s="2"/>
    </row>
    <row r="11" spans="1:26" ht="24.6" customHeight="1" x14ac:dyDescent="0.4">
      <c r="C11" s="99"/>
      <c r="G11" s="237" t="s">
        <v>13</v>
      </c>
      <c r="H11" s="237"/>
      <c r="I11" s="237"/>
      <c r="J11" s="237"/>
      <c r="K11" s="237"/>
      <c r="L11" s="179">
        <f>'For Manage'!E24</f>
        <v>100000</v>
      </c>
      <c r="M11" s="116"/>
      <c r="P11" s="208" t="s">
        <v>5</v>
      </c>
      <c r="Q11" s="94" t="str">
        <f>'For Manage'!E12</f>
        <v>USD</v>
      </c>
    </row>
    <row r="12" spans="1:26" ht="18" customHeight="1" x14ac:dyDescent="0.4">
      <c r="C12" s="99"/>
    </row>
    <row r="13" spans="1:26" ht="18" customHeight="1" x14ac:dyDescent="0.3">
      <c r="C13" s="234" t="s">
        <v>30</v>
      </c>
    </row>
    <row r="14" spans="1:26" ht="18" customHeight="1" x14ac:dyDescent="0.3">
      <c r="A14" s="14"/>
      <c r="B14" s="15"/>
      <c r="C14" s="235"/>
      <c r="D14" s="16" t="str">
        <f>_xlfn.CONCAT("TARGET: Total Orders Value  (",$Q$11,")")</f>
        <v>TARGET: Total Orders Value  (USD)</v>
      </c>
      <c r="H14" s="17"/>
    </row>
    <row r="15" spans="1:26" ht="9" customHeight="1" x14ac:dyDescent="0.3"/>
    <row r="16" spans="1:26" ht="15.6" x14ac:dyDescent="0.3">
      <c r="D16" s="18"/>
      <c r="E16" s="52" t="s">
        <v>229</v>
      </c>
      <c r="F16" s="19" t="s">
        <v>228</v>
      </c>
      <c r="G16" s="19" t="s">
        <v>17</v>
      </c>
      <c r="H16" s="19" t="s">
        <v>18</v>
      </c>
      <c r="I16" s="19" t="s">
        <v>19</v>
      </c>
      <c r="J16" s="19" t="s">
        <v>20</v>
      </c>
      <c r="K16" s="19" t="s">
        <v>21</v>
      </c>
      <c r="L16" s="19" t="s">
        <v>22</v>
      </c>
      <c r="M16" s="19" t="s">
        <v>6</v>
      </c>
      <c r="N16" s="19" t="s">
        <v>23</v>
      </c>
      <c r="O16" s="19" t="s">
        <v>24</v>
      </c>
      <c r="P16" s="19" t="s">
        <v>25</v>
      </c>
      <c r="Q16" s="105" t="s">
        <v>26</v>
      </c>
    </row>
    <row r="17" spans="1:22" ht="19.5" customHeight="1" x14ac:dyDescent="0.3">
      <c r="D17" s="51" t="s">
        <v>32</v>
      </c>
      <c r="E17" s="50">
        <f>$Q$17/12</f>
        <v>83333.333333333328</v>
      </c>
      <c r="F17" s="50">
        <f t="shared" ref="F17:P17" si="0">$Q$17/12</f>
        <v>83333.333333333328</v>
      </c>
      <c r="G17" s="50">
        <f t="shared" si="0"/>
        <v>83333.333333333328</v>
      </c>
      <c r="H17" s="50">
        <f t="shared" si="0"/>
        <v>83333.333333333328</v>
      </c>
      <c r="I17" s="50">
        <f t="shared" si="0"/>
        <v>83333.333333333328</v>
      </c>
      <c r="J17" s="50">
        <f t="shared" si="0"/>
        <v>83333.333333333328</v>
      </c>
      <c r="K17" s="50">
        <f t="shared" si="0"/>
        <v>83333.333333333328</v>
      </c>
      <c r="L17" s="50">
        <f t="shared" si="0"/>
        <v>83333.333333333328</v>
      </c>
      <c r="M17" s="50">
        <f t="shared" si="0"/>
        <v>83333.333333333328</v>
      </c>
      <c r="N17" s="50">
        <f t="shared" si="0"/>
        <v>83333.333333333328</v>
      </c>
      <c r="O17" s="50">
        <f t="shared" si="0"/>
        <v>83333.333333333328</v>
      </c>
      <c r="P17" s="50">
        <f t="shared" si="0"/>
        <v>83333.333333333328</v>
      </c>
      <c r="Q17" s="115">
        <f>L8</f>
        <v>1000000</v>
      </c>
    </row>
    <row r="18" spans="1:22" ht="19.5" customHeight="1" x14ac:dyDescent="0.3">
      <c r="D18" s="51" t="s">
        <v>33</v>
      </c>
      <c r="E18" s="50">
        <f>E17</f>
        <v>83333.333333333328</v>
      </c>
      <c r="F18" s="50">
        <f>Table_2[[#This Row],[Column2]]+F17</f>
        <v>166666.66666666666</v>
      </c>
      <c r="G18" s="50">
        <f>Table_2[[#This Row],[Column3]]+G17</f>
        <v>250000</v>
      </c>
      <c r="H18" s="50">
        <f>Table_2[[#This Row],[Column4]]+H17</f>
        <v>333333.33333333331</v>
      </c>
      <c r="I18" s="50">
        <f>Table_2[[#This Row],[Column5]]+I17</f>
        <v>416666.66666666663</v>
      </c>
      <c r="J18" s="50">
        <f>Table_2[[#This Row],[Column6]]+J17</f>
        <v>499999.99999999994</v>
      </c>
      <c r="K18" s="50">
        <f>Table_2[[#This Row],[Column7]]+K17</f>
        <v>583333.33333333326</v>
      </c>
      <c r="L18" s="50">
        <f>Table_2[[#This Row],[Column8]]+L17</f>
        <v>666666.66666666663</v>
      </c>
      <c r="M18" s="50">
        <f>Table_2[[#This Row],[Column9]]+M17</f>
        <v>750000</v>
      </c>
      <c r="N18" s="50">
        <f>Table_2[[#This Row],[Column10]]+N17</f>
        <v>833333.33333333337</v>
      </c>
      <c r="O18" s="50">
        <f>Table_2[[#This Row],[Column11]]+O17</f>
        <v>916666.66666666674</v>
      </c>
      <c r="P18" s="50">
        <f>Table_2[[#This Row],[Column12]]+P17</f>
        <v>1000000.0000000001</v>
      </c>
      <c r="Q18" s="50"/>
    </row>
    <row r="19" spans="1:22" ht="19.5" customHeight="1" x14ac:dyDescent="0.3">
      <c r="D19" s="51" t="s">
        <v>34</v>
      </c>
      <c r="E19" s="50">
        <f>IFERROR(GETPIVOTDATA("Value of the Order",'Pivot Target 1'!$A$3,"Sales Rep",'For Manage'!$E$7,"Months (Order Date)",MONTH(DATEVALUE(E16&amp;1)),"Years (Order Date)",TEXT(Dataset!$N$4, "yyy")),0)</f>
        <v>379553.2</v>
      </c>
      <c r="F19" s="50">
        <f>IFERROR(GETPIVOTDATA("Value of the Order",'Pivot Target 1'!$A$3,"Sales Rep",'For Manage'!$E$7,"Months (Order Date)",MONTH(DATEVALUE(F16&amp;1)),"Years (Order Date)",TEXT(Dataset!$N$4, "yyy")),0)</f>
        <v>352003.3</v>
      </c>
      <c r="G19" s="50">
        <f>IFERROR(GETPIVOTDATA("Value of the Order",'Pivot Target 1'!$A$3,"Sales Rep",'For Manage'!$E$7,"Months (Order Date)",MONTH(DATEVALUE(G16&amp;1)),"Years (Order Date)",TEXT(Dataset!$N$4, "yyy")),0)</f>
        <v>1161072.55</v>
      </c>
      <c r="H19" s="50">
        <f>IFERROR(GETPIVOTDATA("Value of the Order",'Pivot Target 1'!$A$3,"Sales Rep",'For Manage'!$E$7,"Months (Order Date)",MONTH(DATEVALUE(H16&amp;1)),"Years (Order Date)",TEXT(Dataset!$N$4, "yyy")),0)</f>
        <v>675903.79999999993</v>
      </c>
      <c r="I19" s="50">
        <f>IFERROR(GETPIVOTDATA("Value of the Order",'Pivot Target 1'!$A$3,"Sales Rep",'For Manage'!$E$7,"Months (Order Date)",MONTH(DATEVALUE(I16&amp;1)),"Years (Order Date)",TEXT(Dataset!$N$4, "yyy")),0)</f>
        <v>767153</v>
      </c>
      <c r="J19" s="50">
        <f>IFERROR(GETPIVOTDATA("Value of the Order",'Pivot Target 1'!$A$3,"Sales Rep",'For Manage'!$E$7,"Months (Order Date)",MONTH(DATEVALUE(J16&amp;1)),"Years (Order Date)",TEXT(Dataset!$N$4, "yyy")),0)</f>
        <v>1000352.2</v>
      </c>
      <c r="K19" s="50">
        <f>IFERROR(GETPIVOTDATA("Value of the Order",'Pivot Target 1'!$A$3,"Sales Rep",'For Manage'!$E$7,"Months (Order Date)",MONTH(DATEVALUE(K16&amp;1)),"Years (Order Date)",TEXT(Dataset!$N$4, "yyy")),0)</f>
        <v>279253.3</v>
      </c>
      <c r="L19" s="50">
        <f>IFERROR(GETPIVOTDATA("Value of the Order",'Pivot Target 1'!$A$3,"Sales Rep",'For Manage'!$E$7,"Months (Order Date)",MONTH(DATEVALUE(L16&amp;1)),"Years (Order Date)",TEXT(Dataset!$N$4, "yyy")),0)</f>
        <v>796752.64999999991</v>
      </c>
      <c r="M19" s="50">
        <f>IFERROR(GETPIVOTDATA("Value of the Order",'Pivot Target 1'!$A$3,"Sales Rep",'For Manage'!$E$7,"Months (Order Date)",MONTH(DATEVALUE(M16&amp;1)),"Years (Order Date)",TEXT(Dataset!$N$4, "yyy")),0)</f>
        <v>697452.59999999986</v>
      </c>
      <c r="N19" s="50">
        <f>IFERROR(GETPIVOTDATA("Value of the Order",'Pivot Target 1'!$A$3,"Sales Rep",'For Manage'!$E$7,"Months (Order Date)",MONTH(DATEVALUE(N16&amp;1)),"Years (Order Date)",TEXT(Dataset!$N$4, "yyy")),0)</f>
        <v>388553.00000000006</v>
      </c>
      <c r="O19" s="50">
        <f>IFERROR(GETPIVOTDATA("Value of the Order",'Pivot Target 1'!$A$3,"Sales Rep",'For Manage'!$E$7,"Months (Order Date)",MONTH(DATEVALUE(O16&amp;1)),"Years (Order Date)",TEXT(Dataset!$N$4, "yyy")),0)</f>
        <v>184952.89999999997</v>
      </c>
      <c r="P19" s="50">
        <f>IFERROR(GETPIVOTDATA("Value of the Order",'Pivot Target 1'!$A$3,"Sales Rep",'For Manage'!$E$7,"Months (Order Date)",MONTH(DATEVALUE(P16&amp;1)),"Years (Order Date)",TEXT(Dataset!$N$4, "yyy")),0)</f>
        <v>896052.54999999993</v>
      </c>
      <c r="Q19" s="115">
        <f>SUM(Table_2[[#This Row],[Column2]:[Column13]])</f>
        <v>7579055.0499999998</v>
      </c>
    </row>
    <row r="20" spans="1:22" ht="19.5" customHeight="1" x14ac:dyDescent="0.3">
      <c r="D20" s="51" t="s">
        <v>27</v>
      </c>
      <c r="E20" s="50">
        <f>SUM($E$19:E19)</f>
        <v>379553.2</v>
      </c>
      <c r="F20" s="50">
        <f>SUM($E$19:F19)</f>
        <v>731556.5</v>
      </c>
      <c r="G20" s="50">
        <f>SUM($E$19:G19)</f>
        <v>1892629.05</v>
      </c>
      <c r="H20" s="50">
        <f>SUM($E$19:H19)</f>
        <v>2568532.85</v>
      </c>
      <c r="I20" s="50">
        <f>SUM($E$19:I19)</f>
        <v>3335685.85</v>
      </c>
      <c r="J20" s="50">
        <f>SUM($E$19:J19)</f>
        <v>4336038.05</v>
      </c>
      <c r="K20" s="50">
        <f>SUM($E$19:K19)</f>
        <v>4615291.3499999996</v>
      </c>
      <c r="L20" s="50">
        <f>SUM($E$19:L19)</f>
        <v>5412044</v>
      </c>
      <c r="M20" s="50">
        <f>SUM($E$19:M19)</f>
        <v>6109496.5999999996</v>
      </c>
      <c r="N20" s="50">
        <f>SUM($E$19:N19)</f>
        <v>6498049.5999999996</v>
      </c>
      <c r="O20" s="50">
        <f>SUM($E$19:O19)</f>
        <v>6683002.5</v>
      </c>
      <c r="P20" s="50">
        <f>SUM($E$19:P19)</f>
        <v>7579055.0499999998</v>
      </c>
      <c r="Q20" s="115">
        <f>Table_2[[#This Row],[Column13]]</f>
        <v>7579055.0499999998</v>
      </c>
    </row>
    <row r="21" spans="1:22" ht="19.5" customHeight="1" x14ac:dyDescent="0.3">
      <c r="D21" s="51" t="s">
        <v>28</v>
      </c>
      <c r="E21" s="112">
        <f>E20/E18</f>
        <v>4.5546384</v>
      </c>
      <c r="F21" s="112">
        <f t="shared" ref="F21:O21" si="1">F20/F18</f>
        <v>4.3893390000000005</v>
      </c>
      <c r="G21" s="112">
        <f t="shared" si="1"/>
        <v>7.5705162000000001</v>
      </c>
      <c r="H21" s="112">
        <f t="shared" si="1"/>
        <v>7.7055985500000004</v>
      </c>
      <c r="I21" s="112">
        <f t="shared" si="1"/>
        <v>8.0056460400000002</v>
      </c>
      <c r="J21" s="112">
        <f t="shared" si="1"/>
        <v>8.6720761</v>
      </c>
      <c r="K21" s="112">
        <f t="shared" si="1"/>
        <v>7.9119280285714293</v>
      </c>
      <c r="L21" s="112">
        <f t="shared" si="1"/>
        <v>8.1180660000000007</v>
      </c>
      <c r="M21" s="112">
        <f t="shared" si="1"/>
        <v>8.1459954666666654</v>
      </c>
      <c r="N21" s="112">
        <f t="shared" si="1"/>
        <v>7.797659519999999</v>
      </c>
      <c r="O21" s="112">
        <f t="shared" si="1"/>
        <v>7.2905481818181812</v>
      </c>
      <c r="P21" s="112">
        <f>P20/P18</f>
        <v>7.5790550499999991</v>
      </c>
      <c r="Q21" s="152">
        <f>Table_2[[#This Row],[Column13]]</f>
        <v>7.5790550499999991</v>
      </c>
    </row>
    <row r="22" spans="1:22" ht="19.5" customHeight="1" x14ac:dyDescent="0.3">
      <c r="D22" s="51" t="s">
        <v>35</v>
      </c>
      <c r="E22" s="112">
        <f>_xlfn.XLOOKUP(E21,'Xlookup Compensation scheme'!$Q$14:$Q$17,'Xlookup Compensation scheme'!D$14:D$17,,-1)</f>
        <v>3</v>
      </c>
      <c r="F22" s="112">
        <f>_xlfn.XLOOKUP(F21,'Xlookup Compensation scheme'!$Q$14:$Q$17,'Xlookup Compensation scheme'!E$14:E$17,,-1)</f>
        <v>3</v>
      </c>
      <c r="G22" s="112">
        <f>_xlfn.XLOOKUP(G21,'Xlookup Compensation scheme'!$Q$14:$Q$17,'Xlookup Compensation scheme'!F$14:F$17,,-1)</f>
        <v>3</v>
      </c>
      <c r="H22" s="112">
        <f>_xlfn.XLOOKUP(H21,'Xlookup Compensation scheme'!$Q$14:$Q$17,'Xlookup Compensation scheme'!G$14:G$17,,-1)</f>
        <v>3</v>
      </c>
      <c r="I22" s="112">
        <f>_xlfn.XLOOKUP(I21,'Xlookup Compensation scheme'!$Q$14:$Q$17,'Xlookup Compensation scheme'!H$14:H$17,,-1)</f>
        <v>3</v>
      </c>
      <c r="J22" s="112">
        <f>_xlfn.XLOOKUP(J21,'Xlookup Compensation scheme'!$Q$14:$Q$17,'Xlookup Compensation scheme'!I$14:I$17,,-1)</f>
        <v>3</v>
      </c>
      <c r="K22" s="112">
        <f>_xlfn.XLOOKUP(K21,'Xlookup Compensation scheme'!$Q$14:$Q$17,'Xlookup Compensation scheme'!J$14:J$17,,-1)</f>
        <v>3</v>
      </c>
      <c r="L22" s="112">
        <f>_xlfn.XLOOKUP(L21,'Xlookup Compensation scheme'!$Q$14:$Q$17,'Xlookup Compensation scheme'!K$14:K$17,,-1)</f>
        <v>3</v>
      </c>
      <c r="M22" s="112">
        <f>_xlfn.XLOOKUP(M21,'Xlookup Compensation scheme'!$Q$14:$Q$17,'Xlookup Compensation scheme'!L$14:L$17,,-1)</f>
        <v>3</v>
      </c>
      <c r="N22" s="112">
        <f>_xlfn.XLOOKUP(N21,'Xlookup Compensation scheme'!$Q$14:$Q$17,'Xlookup Compensation scheme'!M$14:M$17,,-1)</f>
        <v>3</v>
      </c>
      <c r="O22" s="112">
        <f>_xlfn.XLOOKUP(O21,'Xlookup Compensation scheme'!$Q$14:$Q$17,'Xlookup Compensation scheme'!N$14:N$17,,-1)</f>
        <v>3</v>
      </c>
      <c r="P22" s="112">
        <f>_xlfn.XLOOKUP(P21,'Xlookup Compensation scheme'!$Q$14:$Q$17,'Xlookup Compensation scheme'!O$14:O$17,,-1)</f>
        <v>3</v>
      </c>
      <c r="Q22" s="152">
        <f>Table_2[[#This Row],[Column13]]</f>
        <v>3</v>
      </c>
    </row>
    <row r="23" spans="1:22" ht="15.6" x14ac:dyDescent="0.3"/>
    <row r="24" spans="1:22" ht="15.6" x14ac:dyDescent="0.3">
      <c r="C24" s="234" t="s">
        <v>36</v>
      </c>
      <c r="E24" s="120"/>
      <c r="J24" s="17"/>
    </row>
    <row r="25" spans="1:22" ht="42" customHeight="1" x14ac:dyDescent="0.3">
      <c r="A25" s="15"/>
      <c r="B25" s="15"/>
      <c r="C25" s="235"/>
      <c r="D25" s="20" t="str">
        <f>_xlfn.CONCAT("TARGET: Team total orders value achieved (",$Q$11,")")</f>
        <v>TARGET: Team total orders value achieved (USD)</v>
      </c>
      <c r="S25" s="61"/>
      <c r="T25" s="61"/>
      <c r="U25" s="61"/>
      <c r="V25" s="61"/>
    </row>
    <row r="26" spans="1:22" ht="9" customHeight="1" x14ac:dyDescent="0.3">
      <c r="S26" s="61"/>
      <c r="T26" s="61"/>
      <c r="U26" s="61"/>
      <c r="V26" s="61"/>
    </row>
    <row r="27" spans="1:22" ht="15.6" x14ac:dyDescent="0.3">
      <c r="D27" s="21"/>
      <c r="E27" s="22" t="s">
        <v>15</v>
      </c>
      <c r="F27" s="22" t="s">
        <v>16</v>
      </c>
      <c r="G27" s="22" t="s">
        <v>17</v>
      </c>
      <c r="H27" s="22" t="s">
        <v>18</v>
      </c>
      <c r="I27" s="22" t="s">
        <v>19</v>
      </c>
      <c r="J27" s="22" t="s">
        <v>20</v>
      </c>
      <c r="K27" s="22" t="s">
        <v>21</v>
      </c>
      <c r="L27" s="22" t="s">
        <v>22</v>
      </c>
      <c r="M27" s="22" t="s">
        <v>6</v>
      </c>
      <c r="N27" s="22" t="s">
        <v>23</v>
      </c>
      <c r="O27" s="22" t="s">
        <v>24</v>
      </c>
      <c r="P27" s="22" t="s">
        <v>25</v>
      </c>
      <c r="Q27" s="108" t="s">
        <v>26</v>
      </c>
      <c r="S27" s="239"/>
      <c r="T27" s="239"/>
      <c r="U27" s="61"/>
      <c r="V27" s="61"/>
    </row>
    <row r="28" spans="1:22" ht="19.5" customHeight="1" x14ac:dyDescent="0.3">
      <c r="D28" s="100" t="s">
        <v>32</v>
      </c>
      <c r="E28" s="50">
        <f>$Q$28/12</f>
        <v>833333.33333333337</v>
      </c>
      <c r="F28" s="50">
        <f t="shared" ref="F28:P28" si="2">$Q$28/12</f>
        <v>833333.33333333337</v>
      </c>
      <c r="G28" s="50">
        <f t="shared" si="2"/>
        <v>833333.33333333337</v>
      </c>
      <c r="H28" s="50">
        <f t="shared" si="2"/>
        <v>833333.33333333337</v>
      </c>
      <c r="I28" s="50">
        <f t="shared" si="2"/>
        <v>833333.33333333337</v>
      </c>
      <c r="J28" s="50">
        <f t="shared" si="2"/>
        <v>833333.33333333337</v>
      </c>
      <c r="K28" s="50">
        <f t="shared" si="2"/>
        <v>833333.33333333337</v>
      </c>
      <c r="L28" s="50">
        <f t="shared" si="2"/>
        <v>833333.33333333337</v>
      </c>
      <c r="M28" s="50">
        <f t="shared" si="2"/>
        <v>833333.33333333337</v>
      </c>
      <c r="N28" s="50">
        <f t="shared" si="2"/>
        <v>833333.33333333337</v>
      </c>
      <c r="O28" s="50">
        <f t="shared" si="2"/>
        <v>833333.33333333337</v>
      </c>
      <c r="P28" s="50">
        <f t="shared" si="2"/>
        <v>833333.33333333337</v>
      </c>
      <c r="Q28" s="115">
        <f t="shared" ref="Q28" si="3">L9</f>
        <v>10000000</v>
      </c>
      <c r="S28" s="77"/>
      <c r="T28" s="77"/>
      <c r="U28" s="61"/>
      <c r="V28" s="61"/>
    </row>
    <row r="29" spans="1:22" ht="19.5" customHeight="1" x14ac:dyDescent="0.3">
      <c r="D29" s="100" t="s">
        <v>33</v>
      </c>
      <c r="E29" s="101">
        <f>E28</f>
        <v>833333.33333333337</v>
      </c>
      <c r="F29" s="101">
        <f>Table_39[[#This Row],[Column2]]+F28</f>
        <v>1666666.6666666667</v>
      </c>
      <c r="G29" s="101">
        <f>Table_39[[#This Row],[Column3]]+G28</f>
        <v>2500000</v>
      </c>
      <c r="H29" s="101">
        <f>Table_39[[#This Row],[Column4]]+H28</f>
        <v>3333333.3333333335</v>
      </c>
      <c r="I29" s="101">
        <f>Table_39[[#This Row],[Column5]]+I28</f>
        <v>4166666.666666667</v>
      </c>
      <c r="J29" s="101">
        <f>Table_39[[#This Row],[Column6]]+J28</f>
        <v>5000000</v>
      </c>
      <c r="K29" s="101">
        <f>Table_39[[#This Row],[Column7]]+K28</f>
        <v>5833333.333333333</v>
      </c>
      <c r="L29" s="101">
        <f>Table_39[[#This Row],[Column8]]+L28</f>
        <v>6666666.666666666</v>
      </c>
      <c r="M29" s="101">
        <f>Table_39[[#This Row],[Column9]]+M28</f>
        <v>7499999.9999999991</v>
      </c>
      <c r="N29" s="101">
        <f>Table_39[[#This Row],[Column10]]+N28</f>
        <v>8333333.3333333321</v>
      </c>
      <c r="O29" s="101">
        <f>Table_39[[#This Row],[Column11]]+O28</f>
        <v>9166666.666666666</v>
      </c>
      <c r="P29" s="101">
        <f>Table_39[[#This Row],[Column12]]+P28</f>
        <v>10000000</v>
      </c>
      <c r="Q29" s="101"/>
      <c r="S29" s="79"/>
      <c r="T29" s="79"/>
      <c r="U29" s="61"/>
      <c r="V29" s="61"/>
    </row>
    <row r="30" spans="1:22" ht="19.5" customHeight="1" x14ac:dyDescent="0.3">
      <c r="D30" s="100" t="s">
        <v>34</v>
      </c>
      <c r="E30" s="50">
        <f>IFERROR(GETPIVOTDATA("Value of the Order",'Pivot Target 2'!$A$3,"Country",'For Manage'!$E$11,"Months (Order Date)",MONTH(DATEVALUE(E16&amp;1)),"Years (Order Date)",TEXT(Dataset!$N$4, "yyy")),0)</f>
        <v>379553.2</v>
      </c>
      <c r="F30" s="50">
        <f>IFERROR(GETPIVOTDATA("Value of the Order",'Pivot Target 2'!$A$3,"Country",'For Manage'!$E$11,"Months (Order Date)",MONTH(DATEVALUE(F16&amp;1)),"Years (Order Date)",TEXT(Dataset!$N$4, "yyy")),0)</f>
        <v>352003.3</v>
      </c>
      <c r="G30" s="50">
        <f>IFERROR(GETPIVOTDATA("Value of the Order",'Pivot Target 2'!$A$3,"Country",'For Manage'!$E$11,"Months (Order Date)",MONTH(DATEVALUE(G16&amp;1)),"Years (Order Date)",TEXT(Dataset!$N$4, "yyy")),0)</f>
        <v>1161072.55</v>
      </c>
      <c r="H30" s="50">
        <f>IFERROR(GETPIVOTDATA("Value of the Order",'Pivot Target 2'!$A$3,"Country",'For Manage'!$E$11,"Months (Order Date)",MONTH(DATEVALUE(H16&amp;1)),"Years (Order Date)",TEXT(Dataset!$N$4, "yyy")),0)</f>
        <v>675903.79999999993</v>
      </c>
      <c r="I30" s="50">
        <f>IFERROR(GETPIVOTDATA("Value of the Order",'Pivot Target 2'!$A$3,"Country",'For Manage'!$E$11,"Months (Order Date)",MONTH(DATEVALUE(I16&amp;1)),"Years (Order Date)",TEXT(Dataset!$N$4, "yyy")),0)</f>
        <v>767153</v>
      </c>
      <c r="J30" s="50">
        <f>IFERROR(GETPIVOTDATA("Value of the Order",'Pivot Target 2'!$A$3,"Country",'For Manage'!$E$11,"Months (Order Date)",MONTH(DATEVALUE(J16&amp;1)),"Years (Order Date)",TEXT(Dataset!$N$4, "yyy")),0)</f>
        <v>1000352.2</v>
      </c>
      <c r="K30" s="50">
        <f>IFERROR(GETPIVOTDATA("Value of the Order",'Pivot Target 2'!$A$3,"Country",'For Manage'!$E$11,"Months (Order Date)",MONTH(DATEVALUE(K16&amp;1)),"Years (Order Date)",TEXT(Dataset!$N$4, "yyy")),0)</f>
        <v>279253.3</v>
      </c>
      <c r="L30" s="50">
        <f>IFERROR(GETPIVOTDATA("Value of the Order",'Pivot Target 2'!$A$3,"Country",'For Manage'!$E$11,"Months (Order Date)",MONTH(DATEVALUE(L16&amp;1)),"Years (Order Date)",TEXT(Dataset!$N$4, "yyy")),0)</f>
        <v>796752.64999999991</v>
      </c>
      <c r="M30" s="50">
        <f>IFERROR(GETPIVOTDATA("Value of the Order",'Pivot Target 2'!$A$3,"Country",'For Manage'!$E$11,"Months (Order Date)",MONTH(DATEVALUE(M16&amp;1)),"Years (Order Date)",TEXT(Dataset!$N$4, "yyy")),0)</f>
        <v>697452.59999999986</v>
      </c>
      <c r="N30" s="50">
        <f>IFERROR(GETPIVOTDATA("Value of the Order",'Pivot Target 2'!$A$3,"Country",'For Manage'!$E$11,"Months (Order Date)",MONTH(DATEVALUE(N16&amp;1)),"Years (Order Date)",TEXT(Dataset!$N$4, "yyy")),0)</f>
        <v>388553.00000000006</v>
      </c>
      <c r="O30" s="50">
        <f>IFERROR(GETPIVOTDATA("Value of the Order",'Pivot Target 2'!$A$3,"Country",'For Manage'!$E$11,"Months (Order Date)",MONTH(DATEVALUE(O16&amp;1)),"Years (Order Date)",TEXT(Dataset!$N$4, "yyy")),0)</f>
        <v>184952.89999999997</v>
      </c>
      <c r="P30" s="50">
        <f>IFERROR(GETPIVOTDATA("Value of the Order",'Pivot Target 2'!$A$3,"Country",'For Manage'!$E$11,"Months (Order Date)",MONTH(DATEVALUE(P16&amp;1)),"Years (Order Date)",TEXT(Dataset!$N$4, "yyy")),0)</f>
        <v>896052.54999999993</v>
      </c>
      <c r="Q30" s="163">
        <f>SUM(Table_39[[#This Row],[Column2]:[Column13]])</f>
        <v>7579055.0499999998</v>
      </c>
      <c r="S30" s="61"/>
      <c r="T30" s="61"/>
      <c r="U30" s="61"/>
      <c r="V30" s="61"/>
    </row>
    <row r="31" spans="1:22" ht="19.5" customHeight="1" x14ac:dyDescent="0.3">
      <c r="D31" s="100" t="s">
        <v>27</v>
      </c>
      <c r="E31" s="131">
        <f>SUM($E$30:E30)</f>
        <v>379553.2</v>
      </c>
      <c r="F31" s="131">
        <f>SUM($E$30:F30)</f>
        <v>731556.5</v>
      </c>
      <c r="G31" s="131">
        <f>SUM($E$30:G30)</f>
        <v>1892629.05</v>
      </c>
      <c r="H31" s="131">
        <f>SUM($E$30:H30)</f>
        <v>2568532.85</v>
      </c>
      <c r="I31" s="131">
        <f>SUM($E$30:I30)</f>
        <v>3335685.85</v>
      </c>
      <c r="J31" s="131">
        <f>SUM($E$30:J30)</f>
        <v>4336038.05</v>
      </c>
      <c r="K31" s="131">
        <f>SUM($E$30:K30)</f>
        <v>4615291.3499999996</v>
      </c>
      <c r="L31" s="131">
        <f>SUM($E$30:L30)</f>
        <v>5412044</v>
      </c>
      <c r="M31" s="131">
        <f>SUM($E$30:M30)</f>
        <v>6109496.5999999996</v>
      </c>
      <c r="N31" s="131">
        <f>SUM($E$30:N30)</f>
        <v>6498049.5999999996</v>
      </c>
      <c r="O31" s="131">
        <f>SUM($E$30:O30)</f>
        <v>6683002.5</v>
      </c>
      <c r="P31" s="131">
        <f>SUM($E$30:P30)</f>
        <v>7579055.0499999998</v>
      </c>
      <c r="Q31" s="164">
        <f>Table_39[[#This Row],[Column13]]</f>
        <v>7579055.0499999998</v>
      </c>
      <c r="S31" s="61"/>
      <c r="T31" s="61"/>
      <c r="U31" s="61"/>
      <c r="V31" s="61"/>
    </row>
    <row r="32" spans="1:22" ht="19.5" customHeight="1" x14ac:dyDescent="0.3">
      <c r="D32" s="100" t="s">
        <v>28</v>
      </c>
      <c r="E32" s="112">
        <f>E31/E29</f>
        <v>0.45546384000000001</v>
      </c>
      <c r="F32" s="112">
        <f t="shared" ref="F32:O32" si="4">F31/F29</f>
        <v>0.43893389999999999</v>
      </c>
      <c r="G32" s="112">
        <f t="shared" si="4"/>
        <v>0.75705162000000004</v>
      </c>
      <c r="H32" s="112">
        <f t="shared" si="4"/>
        <v>0.77055985500000002</v>
      </c>
      <c r="I32" s="112">
        <f t="shared" si="4"/>
        <v>0.80056460399999996</v>
      </c>
      <c r="J32" s="112">
        <f t="shared" si="4"/>
        <v>0.86720761000000002</v>
      </c>
      <c r="K32" s="112">
        <f t="shared" si="4"/>
        <v>0.79119280285714289</v>
      </c>
      <c r="L32" s="112">
        <f t="shared" si="4"/>
        <v>0.81180660000000004</v>
      </c>
      <c r="M32" s="112">
        <f t="shared" si="4"/>
        <v>0.81459954666666667</v>
      </c>
      <c r="N32" s="112">
        <f t="shared" si="4"/>
        <v>0.7797659520000001</v>
      </c>
      <c r="O32" s="112">
        <f t="shared" si="4"/>
        <v>0.72905481818181828</v>
      </c>
      <c r="P32" s="112">
        <f>P31/P29</f>
        <v>0.75790550499999998</v>
      </c>
      <c r="Q32" s="165">
        <f>Table_39[[#This Row],[Column13]]</f>
        <v>0.75790550499999998</v>
      </c>
      <c r="S32" s="61"/>
      <c r="T32" s="61"/>
      <c r="U32" s="61"/>
      <c r="V32" s="61"/>
    </row>
    <row r="33" spans="1:22" ht="19.5" customHeight="1" x14ac:dyDescent="0.3">
      <c r="D33" s="100" t="s">
        <v>35</v>
      </c>
      <c r="E33" s="161">
        <f>_xlfn.XLOOKUP(E32,'Xlookup Compensation scheme'!$Q$23:$Q$26,'Xlookup Compensation scheme'!D$23:D$26,,-1)</f>
        <v>0</v>
      </c>
      <c r="F33" s="161">
        <f>_xlfn.XLOOKUP(F32,'Xlookup Compensation scheme'!$Q$23:$Q$26,'Xlookup Compensation scheme'!E$23:E$26,,-1)</f>
        <v>0</v>
      </c>
      <c r="G33" s="161">
        <f>_xlfn.XLOOKUP(G32,'Xlookup Compensation scheme'!$Q$23:$Q$26,'Xlookup Compensation scheme'!F$23:F$26,,-1)</f>
        <v>0.75705162000000004</v>
      </c>
      <c r="H33" s="161">
        <f>_xlfn.XLOOKUP(H32,'Xlookup Compensation scheme'!$Q$23:$Q$26,'Xlookup Compensation scheme'!G$23:G$26,,-1)</f>
        <v>0.77055985500000002</v>
      </c>
      <c r="I33" s="161">
        <f>_xlfn.XLOOKUP(I32,'Xlookup Compensation scheme'!$Q$23:$Q$26,'Xlookup Compensation scheme'!H$23:H$26,,-1)</f>
        <v>0.80056460399999996</v>
      </c>
      <c r="J33" s="161">
        <f>_xlfn.XLOOKUP(J32,'Xlookup Compensation scheme'!$Q$23:$Q$26,'Xlookup Compensation scheme'!I$23:I$26,,-1)</f>
        <v>0.86720761000000002</v>
      </c>
      <c r="K33" s="161">
        <f>_xlfn.XLOOKUP(K32,'Xlookup Compensation scheme'!$Q$23:$Q$26,'Xlookup Compensation scheme'!J$23:J$26,,-1)</f>
        <v>0.79119280285714289</v>
      </c>
      <c r="L33" s="161">
        <f>_xlfn.XLOOKUP(L32,'Xlookup Compensation scheme'!$Q$23:$Q$26,'Xlookup Compensation scheme'!K$23:K$26,,-1)</f>
        <v>0.81180660000000004</v>
      </c>
      <c r="M33" s="161">
        <f>_xlfn.XLOOKUP(M32,'Xlookup Compensation scheme'!$Q$23:$Q$26,'Xlookup Compensation scheme'!L$23:L$26,,-1)</f>
        <v>0.81459954666666667</v>
      </c>
      <c r="N33" s="161">
        <f>_xlfn.XLOOKUP(N32,'Xlookup Compensation scheme'!$Q$23:$Q$26,'Xlookup Compensation scheme'!M$23:M$26,,-1)</f>
        <v>0.7797659520000001</v>
      </c>
      <c r="O33" s="161">
        <f>_xlfn.XLOOKUP(O32,'Xlookup Compensation scheme'!$Q$23:$Q$26,'Xlookup Compensation scheme'!N$23:N$26,,-1)</f>
        <v>0.72905481818181828</v>
      </c>
      <c r="P33" s="161">
        <f>_xlfn.XLOOKUP(P32,'Xlookup Compensation scheme'!$Q$23:$Q$26,'Xlookup Compensation scheme'!O$23:O$26,,-1)</f>
        <v>0.75790550499999998</v>
      </c>
      <c r="Q33" s="162">
        <f>Table_39[[#This Row],[Column13]]</f>
        <v>0.75790550499999998</v>
      </c>
    </row>
    <row r="34" spans="1:22" ht="33.6" customHeight="1" x14ac:dyDescent="0.3">
      <c r="C34" s="234" t="s">
        <v>38</v>
      </c>
      <c r="J34" s="17"/>
    </row>
    <row r="35" spans="1:22" ht="18" customHeight="1" x14ac:dyDescent="0.3">
      <c r="A35" s="15"/>
      <c r="B35" s="15"/>
      <c r="C35" s="235"/>
      <c r="D35" s="20" t="str">
        <f>_xlfn.CONCAT("TARGET: Orders from Top Customers  (",$Q$11,")")</f>
        <v>TARGET: Orders from Top Customers  (USD)</v>
      </c>
      <c r="S35" s="61"/>
      <c r="T35" s="61"/>
      <c r="U35" s="61"/>
      <c r="V35" s="61"/>
    </row>
    <row r="36" spans="1:22" ht="9" customHeight="1" x14ac:dyDescent="0.3">
      <c r="S36" s="61"/>
      <c r="T36" s="61"/>
      <c r="U36" s="61"/>
      <c r="V36" s="61"/>
    </row>
    <row r="37" spans="1:22" ht="15.6" x14ac:dyDescent="0.3">
      <c r="D37" s="21"/>
      <c r="E37" s="22" t="s">
        <v>15</v>
      </c>
      <c r="F37" s="22" t="s">
        <v>16</v>
      </c>
      <c r="G37" s="22" t="s">
        <v>17</v>
      </c>
      <c r="H37" s="22" t="s">
        <v>18</v>
      </c>
      <c r="I37" s="22" t="s">
        <v>19</v>
      </c>
      <c r="J37" s="22" t="s">
        <v>20</v>
      </c>
      <c r="K37" s="22" t="s">
        <v>21</v>
      </c>
      <c r="L37" s="22" t="s">
        <v>22</v>
      </c>
      <c r="M37" s="22" t="s">
        <v>6</v>
      </c>
      <c r="N37" s="22" t="s">
        <v>23</v>
      </c>
      <c r="O37" s="22" t="s">
        <v>24</v>
      </c>
      <c r="P37" s="22" t="s">
        <v>25</v>
      </c>
      <c r="Q37" s="108" t="s">
        <v>26</v>
      </c>
      <c r="S37" s="239"/>
      <c r="T37" s="239"/>
      <c r="U37" s="61"/>
      <c r="V37" s="61"/>
    </row>
    <row r="38" spans="1:22" ht="19.5" customHeight="1" x14ac:dyDescent="0.3">
      <c r="D38" s="23" t="s">
        <v>32</v>
      </c>
      <c r="E38" s="50">
        <f>$Q$38/12</f>
        <v>20833.333333333332</v>
      </c>
      <c r="F38" s="50">
        <f t="shared" ref="F38:P38" si="5">$Q$38/12</f>
        <v>20833.333333333332</v>
      </c>
      <c r="G38" s="50">
        <f t="shared" si="5"/>
        <v>20833.333333333332</v>
      </c>
      <c r="H38" s="50">
        <f t="shared" si="5"/>
        <v>20833.333333333332</v>
      </c>
      <c r="I38" s="50">
        <f t="shared" si="5"/>
        <v>20833.333333333332</v>
      </c>
      <c r="J38" s="50">
        <f t="shared" si="5"/>
        <v>20833.333333333332</v>
      </c>
      <c r="K38" s="50">
        <f t="shared" si="5"/>
        <v>20833.333333333332</v>
      </c>
      <c r="L38" s="50">
        <f t="shared" si="5"/>
        <v>20833.333333333332</v>
      </c>
      <c r="M38" s="50">
        <f t="shared" si="5"/>
        <v>20833.333333333332</v>
      </c>
      <c r="N38" s="50">
        <f t="shared" si="5"/>
        <v>20833.333333333332</v>
      </c>
      <c r="O38" s="50">
        <f t="shared" si="5"/>
        <v>20833.333333333332</v>
      </c>
      <c r="P38" s="50">
        <f t="shared" si="5"/>
        <v>20833.333333333332</v>
      </c>
      <c r="Q38" s="106">
        <f>L10</f>
        <v>250000</v>
      </c>
      <c r="S38" s="77"/>
      <c r="T38" s="77"/>
      <c r="U38" s="61"/>
      <c r="V38" s="61"/>
    </row>
    <row r="39" spans="1:22" ht="19.5" customHeight="1" x14ac:dyDescent="0.3">
      <c r="D39" s="23" t="s">
        <v>33</v>
      </c>
      <c r="E39" s="49">
        <f>E38</f>
        <v>20833.333333333332</v>
      </c>
      <c r="F39" s="49">
        <f>Table_3[[#This Row],[Column2]]+F38</f>
        <v>41666.666666666664</v>
      </c>
      <c r="G39" s="49">
        <f>Table_3[[#This Row],[Column3]]+G38</f>
        <v>62500</v>
      </c>
      <c r="H39" s="49">
        <f>Table_3[[#This Row],[Column4]]+H38</f>
        <v>83333.333333333328</v>
      </c>
      <c r="I39" s="49">
        <f>Table_3[[#This Row],[Column5]]+I38</f>
        <v>104166.66666666666</v>
      </c>
      <c r="J39" s="49">
        <f>Table_3[[#This Row],[Column6]]+J38</f>
        <v>124999.99999999999</v>
      </c>
      <c r="K39" s="49">
        <f>Table_3[[#This Row],[Column7]]+K38</f>
        <v>145833.33333333331</v>
      </c>
      <c r="L39" s="49">
        <f>Table_3[[#This Row],[Column8]]+L38</f>
        <v>166666.66666666666</v>
      </c>
      <c r="M39" s="49">
        <f>Table_3[[#This Row],[Column9]]+M38</f>
        <v>187500</v>
      </c>
      <c r="N39" s="49">
        <f>Table_3[[#This Row],[Column10]]+N38</f>
        <v>208333.33333333334</v>
      </c>
      <c r="O39" s="49">
        <f>Table_3[[#This Row],[Column11]]+O38</f>
        <v>229166.66666666669</v>
      </c>
      <c r="P39" s="49">
        <f>Table_3[[#This Row],[Column12]]+P38</f>
        <v>250000.00000000003</v>
      </c>
      <c r="Q39" s="107"/>
      <c r="S39" s="79"/>
      <c r="T39" s="79"/>
      <c r="U39" s="61"/>
      <c r="V39" s="61"/>
    </row>
    <row r="40" spans="1:22" ht="19.5" customHeight="1" x14ac:dyDescent="0.3">
      <c r="D40" s="23" t="s">
        <v>34</v>
      </c>
      <c r="E40" s="114">
        <f>IFERROR(GETPIVOTDATA("Value of the Order",'Pivot Target 3'!$A$3,"Sales Rep",'For Manage'!$E$7,"Months (Order Date)",MONTH(DATEVALUE(E16&amp;1)),"Years (Order Date)",TEXT(Dataset!$N$4, "yyy")),0)</f>
        <v>0</v>
      </c>
      <c r="F40" s="114">
        <f>IFERROR(GETPIVOTDATA("Value of the Order",'Pivot Target 3'!$A$3,"Sales Rep",'For Manage'!$E$7,"Months (Order Date)",MONTH(DATEVALUE(F16&amp;1)),"Years (Order Date)",TEXT(Dataset!$N$4, "yyy")),0)</f>
        <v>150000</v>
      </c>
      <c r="G40" s="114">
        <f>IFERROR(GETPIVOTDATA("Value of the Order",'Pivot Target 3'!$A$3,"Sales Rep",'For Manage'!$E$7,"Months (Order Date)",MONTH(DATEVALUE(G16&amp;1)),"Years (Order Date)",TEXT(Dataset!$N$4, "yyy")),0)</f>
        <v>0</v>
      </c>
      <c r="H40" s="114">
        <f>IFERROR(GETPIVOTDATA("Value of the Order",'Pivot Target 3'!$A$3,"Sales Rep",'For Manage'!$E$7,"Months (Order Date)",MONTH(DATEVALUE(H16&amp;1)),"Years (Order Date)",TEXT(Dataset!$N$4, "yyy")),0)</f>
        <v>0</v>
      </c>
      <c r="I40" s="114">
        <f>IFERROR(GETPIVOTDATA("Value of the Order",'Pivot Target 3'!$A$3,"Sales Rep",'For Manage'!$E$7,"Months (Order Date)",MONTH(DATEVALUE(I16&amp;1)),"Years (Order Date)",TEXT(Dataset!$N$4, "yyy")),0)</f>
        <v>550550.85</v>
      </c>
      <c r="J40" s="114">
        <f>IFERROR(GETPIVOTDATA("Value of the Order",'Pivot Target 3'!$A$3,"Sales Rep",'For Manage'!$E$7,"Months (Order Date)",MONTH(DATEVALUE(J16&amp;1)),"Years (Order Date)",TEXT(Dataset!$N$4, "yyy")),0)</f>
        <v>0</v>
      </c>
      <c r="K40" s="114">
        <f>IFERROR(GETPIVOTDATA("Value of the Order",'Pivot Target 3'!$A$3,"Sales Rep",'For Manage'!$E$7,"Months (Order Date)",MONTH(DATEVALUE(K16&amp;1)),"Years (Order Date)",TEXT(Dataset!$N$4, "yyy")),0)</f>
        <v>250000</v>
      </c>
      <c r="L40" s="114">
        <f>IFERROR(GETPIVOTDATA("Value of the Order",'Pivot Target 3'!$A$3,"Sales Rep",'For Manage'!$E$7,"Months (Order Date)",MONTH(DATEVALUE(L16&amp;1)),"Years (Order Date)",TEXT(Dataset!$N$4, "yyy")),0)</f>
        <v>0</v>
      </c>
      <c r="M40" s="114">
        <f>IFERROR(GETPIVOTDATA("Value of the Order",'Pivot Target 3'!$A$3,"Sales Rep",'For Manage'!$E$7,"Months (Order Date)",MONTH(DATEVALUE(M16&amp;1)),"Years (Order Date)",TEXT(Dataset!$N$4, "yyy")),0)</f>
        <v>0</v>
      </c>
      <c r="N40" s="114">
        <f>IFERROR(GETPIVOTDATA("Value of the Order",'Pivot Target 3'!$A$3,"Sales Rep",'For Manage'!$E$7,"Months (Order Date)",MONTH(DATEVALUE(N16&amp;1)),"Years (Order Date)",TEXT(Dataset!$N$4, "yyy")),0)</f>
        <v>350000</v>
      </c>
      <c r="O40" s="114">
        <f>IFERROR(GETPIVOTDATA("Value of the Order",'Pivot Target 3'!$A$3,"Sales Rep",'For Manage'!$E$7,"Months (Order Date)",MONTH(DATEVALUE(O16&amp;1)),"Years (Order Date)",TEXT(Dataset!$N$4, "yyy")),0)</f>
        <v>0</v>
      </c>
      <c r="P40" s="114">
        <f>IFERROR(GETPIVOTDATA("Value of the Order",'Pivot Target 3'!$A$3,"Sales Rep",'For Manage'!$E$7,"Months (Order Date)",MONTH(DATEVALUE(P16&amp;1)),"Years (Order Date)",TEXT(Dataset!$N$4, "yyy")),0)</f>
        <v>850000</v>
      </c>
      <c r="Q40" s="109">
        <f>SUM(Table_3[[#This Row],[Column2]:[Column13]])</f>
        <v>2150550.85</v>
      </c>
      <c r="S40" s="61"/>
      <c r="T40" s="61"/>
      <c r="U40" s="61"/>
      <c r="V40" s="61"/>
    </row>
    <row r="41" spans="1:22" ht="19.5" customHeight="1" x14ac:dyDescent="0.3">
      <c r="D41" s="23" t="s">
        <v>27</v>
      </c>
      <c r="E41" s="114">
        <f>SUM($E$40:E40)</f>
        <v>0</v>
      </c>
      <c r="F41" s="114">
        <f>SUM($E$40:F40)</f>
        <v>150000</v>
      </c>
      <c r="G41" s="114">
        <f>SUM($E$40:G40)</f>
        <v>150000</v>
      </c>
      <c r="H41" s="114">
        <f>SUM($E$40:H40)</f>
        <v>150000</v>
      </c>
      <c r="I41" s="114">
        <f>SUM($E$40:I40)</f>
        <v>700550.85</v>
      </c>
      <c r="J41" s="114">
        <f>SUM($E$40:J40)</f>
        <v>700550.85</v>
      </c>
      <c r="K41" s="114">
        <f>SUM($E$40:K40)</f>
        <v>950550.85</v>
      </c>
      <c r="L41" s="114">
        <f>SUM($E$40:L40)</f>
        <v>950550.85</v>
      </c>
      <c r="M41" s="114">
        <f>SUM($E$40:M40)</f>
        <v>950550.85</v>
      </c>
      <c r="N41" s="114">
        <f>SUM($E$40:N40)</f>
        <v>1300550.8500000001</v>
      </c>
      <c r="O41" s="114">
        <f>SUM($E$40:O40)</f>
        <v>1300550.8500000001</v>
      </c>
      <c r="P41" s="114">
        <f>SUM($E$40:P40)</f>
        <v>2150550.85</v>
      </c>
      <c r="Q41" s="109">
        <f>Table_3[[#This Row],[Column13]]</f>
        <v>2150550.85</v>
      </c>
      <c r="S41" s="61"/>
      <c r="T41" s="61"/>
      <c r="U41" s="61"/>
      <c r="V41" s="61"/>
    </row>
    <row r="42" spans="1:22" ht="19.5" customHeight="1" x14ac:dyDescent="0.3">
      <c r="D42" s="23" t="s">
        <v>28</v>
      </c>
      <c r="E42" s="151">
        <f>E41/E39</f>
        <v>0</v>
      </c>
      <c r="F42" s="151">
        <f t="shared" ref="F42:P42" si="6">F41/F39</f>
        <v>3.6</v>
      </c>
      <c r="G42" s="151">
        <f t="shared" si="6"/>
        <v>2.4</v>
      </c>
      <c r="H42" s="151">
        <f t="shared" si="6"/>
        <v>1.8</v>
      </c>
      <c r="I42" s="151">
        <f t="shared" si="6"/>
        <v>6.7252881600000007</v>
      </c>
      <c r="J42" s="151">
        <f t="shared" si="6"/>
        <v>5.6044068000000005</v>
      </c>
      <c r="K42" s="151">
        <f t="shared" si="6"/>
        <v>6.5180629714285718</v>
      </c>
      <c r="L42" s="151">
        <f t="shared" si="6"/>
        <v>5.7033051000000006</v>
      </c>
      <c r="M42" s="151">
        <f t="shared" si="6"/>
        <v>5.0696045333333331</v>
      </c>
      <c r="N42" s="151">
        <f t="shared" si="6"/>
        <v>6.2426440799999998</v>
      </c>
      <c r="O42" s="151">
        <f t="shared" si="6"/>
        <v>5.6751309818181817</v>
      </c>
      <c r="P42" s="151">
        <f t="shared" si="6"/>
        <v>8.6022033999999987</v>
      </c>
      <c r="Q42" s="153">
        <f>Table_3[[#This Row],[Column13]]</f>
        <v>8.6022033999999987</v>
      </c>
      <c r="S42" s="61"/>
      <c r="T42" s="61"/>
      <c r="U42" s="61"/>
      <c r="V42" s="61"/>
    </row>
    <row r="43" spans="1:22" ht="19.5" customHeight="1" x14ac:dyDescent="0.3">
      <c r="D43" s="23" t="s">
        <v>35</v>
      </c>
      <c r="E43" s="150">
        <f>_xlfn.XLOOKUP(E42,'Xlookup Compensation scheme'!$Q$33:$Q$35,'Xlookup Compensation scheme'!D$33:D$35,,-1)</f>
        <v>0</v>
      </c>
      <c r="F43" s="150">
        <f>_xlfn.XLOOKUP(F42,'Xlookup Compensation scheme'!$Q$33:$Q$35,'Xlookup Compensation scheme'!E$33:E$35,,-1)</f>
        <v>3</v>
      </c>
      <c r="G43" s="150">
        <f>_xlfn.XLOOKUP(G42,'Xlookup Compensation scheme'!$Q$33:$Q$35,'Xlookup Compensation scheme'!F$33:F$35,,-1)</f>
        <v>3</v>
      </c>
      <c r="H43" s="150">
        <f>_xlfn.XLOOKUP(H42,'Xlookup Compensation scheme'!$Q$33:$Q$35,'Xlookup Compensation scheme'!G$33:G$35,,-1)</f>
        <v>3</v>
      </c>
      <c r="I43" s="150">
        <f>_xlfn.XLOOKUP(I42,'Xlookup Compensation scheme'!$Q$33:$Q$35,'Xlookup Compensation scheme'!H$33:H$35,,-1)</f>
        <v>3</v>
      </c>
      <c r="J43" s="150">
        <f>_xlfn.XLOOKUP(J42,'Xlookup Compensation scheme'!$Q$33:$Q$35,'Xlookup Compensation scheme'!I$33:I$35,,-1)</f>
        <v>3</v>
      </c>
      <c r="K43" s="150">
        <f>_xlfn.XLOOKUP(K42,'Xlookup Compensation scheme'!$Q$33:$Q$35,'Xlookup Compensation scheme'!J$33:J$35,,-1)</f>
        <v>3</v>
      </c>
      <c r="L43" s="150">
        <f>_xlfn.XLOOKUP(L42,'Xlookup Compensation scheme'!$Q$33:$Q$35,'Xlookup Compensation scheme'!K$33:K$35,,-1)</f>
        <v>3</v>
      </c>
      <c r="M43" s="150">
        <f>_xlfn.XLOOKUP(M42,'Xlookup Compensation scheme'!$Q$33:$Q$35,'Xlookup Compensation scheme'!L$33:L$35,,-1)</f>
        <v>3</v>
      </c>
      <c r="N43" s="150">
        <f>_xlfn.XLOOKUP(N42,'Xlookup Compensation scheme'!$Q$33:$Q$35,'Xlookup Compensation scheme'!M$33:M$35,,-1)</f>
        <v>3</v>
      </c>
      <c r="O43" s="150">
        <f>_xlfn.XLOOKUP(O42,'Xlookup Compensation scheme'!$Q$33:$Q$35,'Xlookup Compensation scheme'!N$33:N$35,,-1)</f>
        <v>3</v>
      </c>
      <c r="P43" s="150">
        <f>_xlfn.XLOOKUP(P42,'Xlookup Compensation scheme'!$Q$33:$Q$35,'Xlookup Compensation scheme'!O$33:O$35,,-1)</f>
        <v>3</v>
      </c>
      <c r="Q43" s="153">
        <f>Table_3[[#This Row],[Column13]]</f>
        <v>3</v>
      </c>
    </row>
    <row r="44" spans="1:22" ht="15.6" x14ac:dyDescent="0.3"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110"/>
    </row>
    <row r="45" spans="1:22" ht="38.4" customHeight="1" x14ac:dyDescent="0.3">
      <c r="C45" s="234" t="s">
        <v>204</v>
      </c>
    </row>
    <row r="46" spans="1:22" ht="18" customHeight="1" x14ac:dyDescent="0.3">
      <c r="A46" s="14"/>
      <c r="B46" s="14"/>
      <c r="C46" s="235"/>
      <c r="D46" s="24" t="str">
        <f>_xlfn.CONCAT("TARGET: Orders from New Customers  (",$Q$11,")")</f>
        <v>TARGET: Orders from New Customers  (USD)</v>
      </c>
    </row>
    <row r="47" spans="1:22" ht="9" customHeight="1" x14ac:dyDescent="0.3"/>
    <row r="48" spans="1:22" ht="15.6" x14ac:dyDescent="0.3">
      <c r="D48" s="25"/>
      <c r="E48" s="26" t="s">
        <v>15</v>
      </c>
      <c r="F48" s="26" t="s">
        <v>16</v>
      </c>
      <c r="G48" s="26" t="s">
        <v>17</v>
      </c>
      <c r="H48" s="26" t="s">
        <v>18</v>
      </c>
      <c r="I48" s="26" t="s">
        <v>19</v>
      </c>
      <c r="J48" s="26" t="s">
        <v>20</v>
      </c>
      <c r="K48" s="26" t="s">
        <v>21</v>
      </c>
      <c r="L48" s="26" t="s">
        <v>22</v>
      </c>
      <c r="M48" s="26" t="s">
        <v>6</v>
      </c>
      <c r="N48" s="26" t="s">
        <v>23</v>
      </c>
      <c r="O48" s="26" t="s">
        <v>24</v>
      </c>
      <c r="P48" s="26" t="s">
        <v>25</v>
      </c>
      <c r="Q48" s="111" t="s">
        <v>26</v>
      </c>
    </row>
    <row r="49" spans="4:17" ht="19.5" customHeight="1" x14ac:dyDescent="0.3">
      <c r="D49" s="27" t="s">
        <v>32</v>
      </c>
      <c r="E49" s="50">
        <f>$Q$49/12</f>
        <v>8333.3333333333339</v>
      </c>
      <c r="F49" s="50">
        <f t="shared" ref="F49:P49" si="7">$Q$49/12</f>
        <v>8333.3333333333339</v>
      </c>
      <c r="G49" s="50">
        <f t="shared" si="7"/>
        <v>8333.3333333333339</v>
      </c>
      <c r="H49" s="50">
        <f t="shared" si="7"/>
        <v>8333.3333333333339</v>
      </c>
      <c r="I49" s="50">
        <f t="shared" si="7"/>
        <v>8333.3333333333339</v>
      </c>
      <c r="J49" s="50">
        <f t="shared" si="7"/>
        <v>8333.3333333333339</v>
      </c>
      <c r="K49" s="50">
        <f t="shared" si="7"/>
        <v>8333.3333333333339</v>
      </c>
      <c r="L49" s="50">
        <f t="shared" si="7"/>
        <v>8333.3333333333339</v>
      </c>
      <c r="M49" s="50">
        <f t="shared" si="7"/>
        <v>8333.3333333333339</v>
      </c>
      <c r="N49" s="50">
        <f t="shared" si="7"/>
        <v>8333.3333333333339</v>
      </c>
      <c r="O49" s="50">
        <f t="shared" si="7"/>
        <v>8333.3333333333339</v>
      </c>
      <c r="P49" s="50">
        <f t="shared" si="7"/>
        <v>8333.3333333333339</v>
      </c>
      <c r="Q49" s="115">
        <f>L11</f>
        <v>100000</v>
      </c>
    </row>
    <row r="50" spans="4:17" ht="19.5" customHeight="1" x14ac:dyDescent="0.3">
      <c r="D50" s="27" t="s">
        <v>33</v>
      </c>
      <c r="E50" s="49">
        <f>E49</f>
        <v>8333.3333333333339</v>
      </c>
      <c r="F50" s="49">
        <f>Table_4[[#This Row],[Column1]]+F49</f>
        <v>16666.666666666668</v>
      </c>
      <c r="G50" s="49">
        <f>Table_4[[#This Row],[Column2]]+G49</f>
        <v>25000</v>
      </c>
      <c r="H50" s="49">
        <f>Table_4[[#This Row],[Column3]]+H49</f>
        <v>33333.333333333336</v>
      </c>
      <c r="I50" s="49">
        <f>Table_4[[#This Row],[Column4]]+I49</f>
        <v>41666.666666666672</v>
      </c>
      <c r="J50" s="49">
        <f>Table_4[[#This Row],[Column5]]+J49</f>
        <v>50000.000000000007</v>
      </c>
      <c r="K50" s="49">
        <f>Table_4[[#This Row],[Column6]]+K49</f>
        <v>58333.333333333343</v>
      </c>
      <c r="L50" s="49">
        <f>Table_4[[#This Row],[Column7]]+L49</f>
        <v>66666.666666666672</v>
      </c>
      <c r="M50" s="49">
        <f>Table_4[[#This Row],[Column8]]+M49</f>
        <v>75000</v>
      </c>
      <c r="N50" s="49">
        <f>Table_4[[#This Row],[Column9]]+N49</f>
        <v>83333.333333333328</v>
      </c>
      <c r="O50" s="49">
        <f>Table_4[[#This Row],[Column10]]+O49</f>
        <v>91666.666666666657</v>
      </c>
      <c r="P50" s="49">
        <f>Table_4[[#This Row],[Column11]]+P49</f>
        <v>99999.999999999985</v>
      </c>
      <c r="Q50" s="49"/>
    </row>
    <row r="51" spans="4:17" ht="19.5" customHeight="1" x14ac:dyDescent="0.3">
      <c r="D51" s="27" t="s">
        <v>34</v>
      </c>
      <c r="E51" s="50">
        <f>IFERROR(GETPIVOTDATA("Value of the Order",'Pivot Target 4'!$A$3,"Sales Rep",'For Manage'!$E$7,"Months (Order Date)",MONTH(DATEVALUE(E16&amp;1)),"Years (Order Date)",TEXT(Dataset!$N$4, "yyy")),0)</f>
        <v>29202.75</v>
      </c>
      <c r="F51" s="50">
        <f>IFERROR(GETPIVOTDATA("Value of the Order",'Pivot Target 4'!$A$3,"Sales Rep",'For Manage'!$E$7,"Months (Order Date)",MONTH(DATEVALUE(F16&amp;1)),"Years (Order Date)",TEXT(Dataset!$N$4, "yyy")),0)</f>
        <v>200351.99999999997</v>
      </c>
      <c r="G51" s="50">
        <f>IFERROR(GETPIVOTDATA("Value of the Order",'Pivot Target 4'!$A$3,"Sales Rep",'For Manage'!$E$7,"Months (Order Date)",MONTH(DATEVALUE(G16&amp;1)),"Years (Order Date)",TEXT(Dataset!$N$4, "yyy")),0)</f>
        <v>310222.3</v>
      </c>
      <c r="H51" s="50">
        <f>IFERROR(GETPIVOTDATA("Value of the Order",'Pivot Target 4'!$A$3,"Sales Rep",'For Manage'!$E$7,"Months (Order Date)",MONTH(DATEVALUE(H16&amp;1)),"Years (Order Date)",TEXT(Dataset!$N$4, "yyy")),0)</f>
        <v>225453.2</v>
      </c>
      <c r="I51" s="50">
        <f>IFERROR(GETPIVOTDATA("Value of the Order",'Pivot Target 4'!$A$3,"Sales Rep",'For Manage'!$E$7,"Months (Order Date)",MONTH(DATEVALUE(I16&amp;1)),"Years (Order Date)",TEXT(Dataset!$N$4, "yyy")),0)</f>
        <v>211101.4</v>
      </c>
      <c r="J51" s="50">
        <f>IFERROR(GETPIVOTDATA("Value of the Order",'Pivot Target 4'!$A$3,"Sales Rep",'For Manage'!$E$7,"Months (Order Date)",MONTH(DATEVALUE(J16&amp;1)),"Years (Order Date)",TEXT(Dataset!$N$4, "yyy")),0)</f>
        <v>49401.5</v>
      </c>
      <c r="K51" s="50">
        <f>IFERROR(GETPIVOTDATA("Value of the Order",'Pivot Target 4'!$A$3,"Sales Rep",'For Manage'!$E$7,"Months (Order Date)",MONTH(DATEVALUE(K16&amp;1)),"Years (Order Date)",TEXT(Dataset!$N$4, "yyy")),0)</f>
        <v>29002.5</v>
      </c>
      <c r="L51" s="50">
        <f>IFERROR(GETPIVOTDATA("Value of the Order",'Pivot Target 4'!$A$3,"Sales Rep",'For Manage'!$E$7,"Months (Order Date)",MONTH(DATEVALUE(L16&amp;1)),"Years (Order Date)",TEXT(Dataset!$N$4, "yyy")),0)</f>
        <v>45251.15</v>
      </c>
      <c r="M51" s="50">
        <f>IFERROR(GETPIVOTDATA("Value of the Order",'Pivot Target 4'!$A$3,"Sales Rep",'For Manage'!$E$7,"Months (Order Date)",MONTH(DATEVALUE(M16&amp;1)),"Years (Order Date)",TEXT(Dataset!$N$4, "yyy")),0)</f>
        <v>17150.75</v>
      </c>
      <c r="N51" s="50">
        <f>IFERROR(GETPIVOTDATA("Value of the Order",'Pivot Target 4'!$A$3,"Sales Rep",'For Manage'!$E$7,"Months (Order Date)",MONTH(DATEVALUE(N16&amp;1)),"Years (Order Date)",TEXT(Dataset!$N$4, "yyy")),0)</f>
        <v>24702.500000000004</v>
      </c>
      <c r="O51" s="50">
        <f>IFERROR(GETPIVOTDATA("Value of the Order",'Pivot Target 4'!$A$3,"Sales Rep",'For Manage'!$E$7,"Months (Order Date)",MONTH(DATEVALUE(O16&amp;1)),"Years (Order Date)",TEXT(Dataset!$N$4, "yyy")),0)</f>
        <v>34802.149999999994</v>
      </c>
      <c r="P51" s="50">
        <f>IFERROR(GETPIVOTDATA("Value of the Order",'Pivot Target 4'!$A$3,"Sales Rep",'For Manage'!$E$7,"Months (Order Date)",MONTH(DATEVALUE(P16&amp;1)),"Years (Order Date)",TEXT(Dataset!$N$4, "yyy")),0)</f>
        <v>45201.899999999994</v>
      </c>
      <c r="Q51" s="163">
        <f>SUM(Table_4[[#This Row],[Column1]:[Column12]])</f>
        <v>1221844.0999999996</v>
      </c>
    </row>
    <row r="52" spans="4:17" ht="19.5" customHeight="1" x14ac:dyDescent="0.3">
      <c r="D52" s="27" t="s">
        <v>27</v>
      </c>
      <c r="E52" s="50">
        <f>SUM($E$51:E51)</f>
        <v>29202.75</v>
      </c>
      <c r="F52" s="50">
        <f>SUM($E$51:F51)</f>
        <v>229554.74999999997</v>
      </c>
      <c r="G52" s="50">
        <f>SUM($E$51:G51)</f>
        <v>539777.04999999993</v>
      </c>
      <c r="H52" s="50">
        <f>SUM($E$51:H51)</f>
        <v>765230.25</v>
      </c>
      <c r="I52" s="50">
        <f>SUM($E$51:I51)</f>
        <v>976331.65</v>
      </c>
      <c r="J52" s="50">
        <f>SUM($E$51:J51)</f>
        <v>1025733.15</v>
      </c>
      <c r="K52" s="50">
        <f>SUM($E$51:K51)</f>
        <v>1054735.6499999999</v>
      </c>
      <c r="L52" s="50">
        <f>SUM($E$51:L51)</f>
        <v>1099986.7999999998</v>
      </c>
      <c r="M52" s="50">
        <f>SUM($E$51:M51)</f>
        <v>1117137.5499999998</v>
      </c>
      <c r="N52" s="50">
        <f>SUM($E$51:N51)</f>
        <v>1141840.0499999998</v>
      </c>
      <c r="O52" s="50">
        <f>SUM($E$51:O51)</f>
        <v>1176642.1999999997</v>
      </c>
      <c r="P52" s="50">
        <f>SUM($E$51:P51)</f>
        <v>1221844.0999999996</v>
      </c>
      <c r="Q52" s="109">
        <f>Table_4[[#This Row],[Column12]]</f>
        <v>1221844.0999999996</v>
      </c>
    </row>
    <row r="53" spans="4:17" ht="19.5" customHeight="1" x14ac:dyDescent="0.3">
      <c r="D53" s="27" t="s">
        <v>28</v>
      </c>
      <c r="E53" s="112">
        <f>E52/E50</f>
        <v>3.5043299999999999</v>
      </c>
      <c r="F53" s="112">
        <f t="shared" ref="F53:P53" si="8">F52/F50</f>
        <v>13.773284999999998</v>
      </c>
      <c r="G53" s="112">
        <f t="shared" si="8"/>
        <v>21.591081999999997</v>
      </c>
      <c r="H53" s="112">
        <f t="shared" si="8"/>
        <v>22.9569075</v>
      </c>
      <c r="I53" s="112">
        <f t="shared" si="8"/>
        <v>23.431959599999999</v>
      </c>
      <c r="J53" s="112">
        <f t="shared" si="8"/>
        <v>20.514662999999999</v>
      </c>
      <c r="K53" s="112">
        <f t="shared" si="8"/>
        <v>18.081182571428567</v>
      </c>
      <c r="L53" s="112">
        <f t="shared" si="8"/>
        <v>16.499801999999995</v>
      </c>
      <c r="M53" s="112">
        <f t="shared" si="8"/>
        <v>14.895167333333331</v>
      </c>
      <c r="N53" s="112">
        <f t="shared" si="8"/>
        <v>13.702080599999999</v>
      </c>
      <c r="O53" s="112">
        <f t="shared" si="8"/>
        <v>12.836096727272725</v>
      </c>
      <c r="P53" s="112">
        <f t="shared" si="8"/>
        <v>12.218440999999999</v>
      </c>
      <c r="Q53" s="165">
        <f>Table_4[[#This Row],[Column12]]</f>
        <v>12.218440999999999</v>
      </c>
    </row>
    <row r="54" spans="4:17" ht="19.5" customHeight="1" x14ac:dyDescent="0.3">
      <c r="D54" s="27" t="s">
        <v>35</v>
      </c>
      <c r="E54" s="112">
        <f>_xlfn.XLOOKUP(E53,'Xlookup Compensation scheme'!$Q$42:$Q$43,'Xlookup Compensation scheme'!D$42:D$43,,-1)</f>
        <v>3</v>
      </c>
      <c r="F54" s="112">
        <f>_xlfn.XLOOKUP(F53,'Xlookup Compensation scheme'!$Q$42:$Q$43,'Xlookup Compensation scheme'!E$42:E$43,,-1)</f>
        <v>3</v>
      </c>
      <c r="G54" s="112">
        <f>_xlfn.XLOOKUP(G53,'Xlookup Compensation scheme'!$Q$42:$Q$43,'Xlookup Compensation scheme'!F$42:F$43,,-1)</f>
        <v>3</v>
      </c>
      <c r="H54" s="112">
        <f>_xlfn.XLOOKUP(H53,'Xlookup Compensation scheme'!$Q$42:$Q$43,'Xlookup Compensation scheme'!G$42:G$43,,-1)</f>
        <v>3</v>
      </c>
      <c r="I54" s="112">
        <f>_xlfn.XLOOKUP(I53,'Xlookup Compensation scheme'!$Q$42:$Q$43,'Xlookup Compensation scheme'!H$42:H$43,,-1)</f>
        <v>3</v>
      </c>
      <c r="J54" s="112">
        <f>_xlfn.XLOOKUP(J53,'Xlookup Compensation scheme'!$Q$42:$Q$43,'Xlookup Compensation scheme'!I$42:I$43,,-1)</f>
        <v>3</v>
      </c>
      <c r="K54" s="112">
        <f>_xlfn.XLOOKUP(K53,'Xlookup Compensation scheme'!$Q$42:$Q$43,'Xlookup Compensation scheme'!J$42:J$43,,-1)</f>
        <v>3</v>
      </c>
      <c r="L54" s="112">
        <f>_xlfn.XLOOKUP(L53,'Xlookup Compensation scheme'!$Q$42:$Q$43,'Xlookup Compensation scheme'!K$42:K$43,,-1)</f>
        <v>3</v>
      </c>
      <c r="M54" s="112">
        <f>_xlfn.XLOOKUP(M53,'Xlookup Compensation scheme'!$Q$42:$Q$43,'Xlookup Compensation scheme'!L$42:L$43,,-1)</f>
        <v>3</v>
      </c>
      <c r="N54" s="112">
        <f>_xlfn.XLOOKUP(N53,'Xlookup Compensation scheme'!$Q$42:$Q$43,'Xlookup Compensation scheme'!M$42:M$43,,-1)</f>
        <v>3</v>
      </c>
      <c r="O54" s="112">
        <f>_xlfn.XLOOKUP(O53,'Xlookup Compensation scheme'!$Q$42:$Q$43,'Xlookup Compensation scheme'!N$42:N$43,,-1)</f>
        <v>3</v>
      </c>
      <c r="P54" s="112">
        <f>_xlfn.XLOOKUP(P53,'Xlookup Compensation scheme'!$Q$42:$Q$43,'Xlookup Compensation scheme'!O$42:O$43,,-1)</f>
        <v>3</v>
      </c>
      <c r="Q54" s="152">
        <f>Table_4[[#This Row],[Column12]]</f>
        <v>3</v>
      </c>
    </row>
    <row r="55" spans="4:17" ht="15" customHeight="1" x14ac:dyDescent="0.3"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110"/>
    </row>
    <row r="56" spans="4:17" ht="15" customHeight="1" x14ac:dyDescent="0.3">
      <c r="E56" s="120"/>
    </row>
  </sheetData>
  <mergeCells count="13">
    <mergeCell ref="C45:C46"/>
    <mergeCell ref="C13:C14"/>
    <mergeCell ref="A5:L5"/>
    <mergeCell ref="S37:T37"/>
    <mergeCell ref="C24:C25"/>
    <mergeCell ref="S27:T27"/>
    <mergeCell ref="D3:P3"/>
    <mergeCell ref="C34:C35"/>
    <mergeCell ref="G7:K7"/>
    <mergeCell ref="G8:K8"/>
    <mergeCell ref="G9:K9"/>
    <mergeCell ref="G10:K10"/>
    <mergeCell ref="G11:K11"/>
  </mergeCells>
  <pageMargins left="0.7" right="0.7" top="0.75" bottom="0.75" header="0" footer="0"/>
  <pageSetup orientation="landscape"/>
  <ignoredErrors>
    <ignoredError sqref="Q19:Q22 E18:E22 Q30:Q33" calculatedColumn="1"/>
    <ignoredError sqref="C13 C24 C34 C45" numberStoredAsText="1"/>
  </ignoredErrors>
  <drawing r:id="rId1"/>
  <tableParts count="4"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B7B70"/>
    <outlinePr summaryBelow="0" summaryRight="0"/>
  </sheetPr>
  <dimension ref="A1:BF231"/>
  <sheetViews>
    <sheetView zoomScale="81" zoomScaleNormal="81" workbookViewId="0">
      <selection activeCell="N4" sqref="N4"/>
    </sheetView>
  </sheetViews>
  <sheetFormatPr defaultColWidth="11.19921875" defaultRowHeight="15" customHeight="1" x14ac:dyDescent="0.3"/>
  <cols>
    <col min="1" max="1" width="13.59765625" bestFit="1" customWidth="1"/>
    <col min="2" max="2" width="19.8984375" bestFit="1" customWidth="1"/>
    <col min="3" max="3" width="8.5" bestFit="1" customWidth="1"/>
    <col min="4" max="4" width="6.59765625" bestFit="1" customWidth="1"/>
    <col min="5" max="5" width="16.69921875" bestFit="1" customWidth="1"/>
    <col min="6" max="6" width="13.5" bestFit="1" customWidth="1"/>
    <col min="7" max="7" width="11.5" bestFit="1" customWidth="1"/>
    <col min="8" max="8" width="25.8984375" bestFit="1" customWidth="1"/>
    <col min="9" max="9" width="13.19921875" bestFit="1" customWidth="1"/>
    <col min="10" max="10" width="13.59765625" bestFit="1" customWidth="1"/>
    <col min="11" max="11" width="18.19921875" bestFit="1" customWidth="1"/>
    <col min="12" max="12" width="13.3984375" bestFit="1" customWidth="1"/>
    <col min="13" max="13" width="53" customWidth="1"/>
    <col min="14" max="14" width="35.69921875" style="61" bestFit="1" customWidth="1"/>
    <col min="15" max="15" width="20" style="61" bestFit="1" customWidth="1"/>
    <col min="16" max="16" width="7.59765625" bestFit="1" customWidth="1"/>
    <col min="17" max="17" width="6.796875" bestFit="1" customWidth="1"/>
    <col min="18" max="18" width="16.8984375" bestFit="1" customWidth="1"/>
    <col min="19" max="19" width="16" customWidth="1"/>
    <col min="20" max="20" width="14.8984375" customWidth="1"/>
    <col min="21" max="21" width="18.59765625" bestFit="1" customWidth="1"/>
    <col min="27" max="27" width="11.19921875" style="61"/>
    <col min="28" max="28" width="10.5" style="61" bestFit="1" customWidth="1"/>
    <col min="29" max="29" width="18.8984375" style="61" bestFit="1" customWidth="1"/>
    <col min="30" max="30" width="11.19921875" style="61"/>
    <col min="31" max="31" width="6.796875" style="61" bestFit="1" customWidth="1"/>
    <col min="32" max="32" width="11.19921875" style="61"/>
    <col min="33" max="33" width="13.69921875" style="61" bestFit="1" customWidth="1"/>
    <col min="34" max="34" width="12.19921875" style="61" bestFit="1" customWidth="1"/>
    <col min="35" max="35" width="18.59765625" style="61" bestFit="1" customWidth="1"/>
    <col min="36" max="36" width="22.59765625" style="61" customWidth="1"/>
    <col min="37" max="37" width="11.19921875" style="61"/>
    <col min="38" max="38" width="17.3984375" style="61" bestFit="1" customWidth="1"/>
    <col min="39" max="39" width="21" style="61" customWidth="1"/>
    <col min="40" max="40" width="17.09765625" style="61" customWidth="1"/>
    <col min="41" max="41" width="16.8984375" style="61" bestFit="1" customWidth="1"/>
    <col min="42" max="42" width="13.69921875" style="61" bestFit="1" customWidth="1"/>
    <col min="43" max="43" width="12.8984375" style="61" bestFit="1" customWidth="1"/>
    <col min="44" max="44" width="18.5" style="61" bestFit="1" customWidth="1"/>
    <col min="45" max="45" width="9.69921875" style="61" bestFit="1" customWidth="1"/>
    <col min="46" max="16384" width="11.19921875" style="61"/>
  </cols>
  <sheetData>
    <row r="1" spans="1:58" ht="15.6" x14ac:dyDescent="0.3">
      <c r="A1" s="84" t="s">
        <v>40</v>
      </c>
      <c r="B1" s="84" t="s">
        <v>41</v>
      </c>
      <c r="C1" s="84" t="s">
        <v>42</v>
      </c>
      <c r="D1" s="84" t="s">
        <v>43</v>
      </c>
      <c r="E1" s="85" t="s">
        <v>44</v>
      </c>
      <c r="F1" s="84" t="s">
        <v>45</v>
      </c>
      <c r="G1" s="84" t="s">
        <v>46</v>
      </c>
      <c r="H1" s="84" t="s">
        <v>47</v>
      </c>
      <c r="I1" s="90" t="s">
        <v>231</v>
      </c>
      <c r="J1" s="90" t="s">
        <v>235</v>
      </c>
      <c r="K1" s="90" t="s">
        <v>232</v>
      </c>
      <c r="L1" s="90" t="s">
        <v>239</v>
      </c>
      <c r="M1" s="84"/>
      <c r="N1" s="242" t="s">
        <v>265</v>
      </c>
      <c r="O1" s="242"/>
      <c r="P1" s="242"/>
      <c r="Q1" s="242"/>
      <c r="R1" s="242"/>
      <c r="S1" s="242"/>
      <c r="T1" s="242"/>
      <c r="U1" s="70"/>
      <c r="AB1" s="241"/>
      <c r="AC1" s="241"/>
      <c r="AD1" s="241"/>
      <c r="AE1" s="122"/>
      <c r="AG1" s="121"/>
      <c r="AH1" s="122"/>
      <c r="AI1" s="121"/>
      <c r="AK1" s="240"/>
      <c r="AL1" s="240"/>
      <c r="AM1" s="121"/>
      <c r="AN1" s="123"/>
    </row>
    <row r="2" spans="1:58" ht="15.6" x14ac:dyDescent="0.3">
      <c r="A2" s="80">
        <v>44206</v>
      </c>
      <c r="B2" s="2" t="s">
        <v>48</v>
      </c>
      <c r="C2" s="2" t="s">
        <v>49</v>
      </c>
      <c r="D2" s="2" t="s">
        <v>50</v>
      </c>
      <c r="E2" s="203">
        <v>500000</v>
      </c>
      <c r="F2" s="2" t="s">
        <v>51</v>
      </c>
      <c r="G2" s="2" t="s">
        <v>3</v>
      </c>
      <c r="H2" s="2" t="s">
        <v>52</v>
      </c>
      <c r="I2" s="113">
        <f>IF(Table_5[[#This Row],[Sales Rep]]='For Manage'!$E$7,1,0)</f>
        <v>1</v>
      </c>
      <c r="J2" s="113" t="str">
        <f>IF(OR(Table_5[[#This Row],[Customer Name]]="ABC Manufacturing",Table_5[[#This Row],[Customer Name]]="123 Industries"), "Yes", "No")</f>
        <v>Yes</v>
      </c>
      <c r="K2" s="113" t="str">
        <f>IF(COUNTIFS(Table_5[Customer Name],B2, Table_5[Order Date], "&gt;="&amp;DATE(2021,1,1), Table_5[Order Date], "&lt;="&amp;DATE(2022,12,31))&gt;0, "Existing Customer", "New Customer")</f>
        <v>Existing Customer</v>
      </c>
      <c r="L2" s="113">
        <f>IF(Table_5[[#This Row],[Country]]='For Manage'!$E$11,1,0)</f>
        <v>1</v>
      </c>
      <c r="M2" s="113"/>
      <c r="N2" s="72"/>
      <c r="O2" s="65"/>
      <c r="P2" s="71"/>
      <c r="Q2" s="71"/>
      <c r="R2" s="71"/>
      <c r="S2" s="71"/>
      <c r="T2" s="71"/>
      <c r="U2" s="71"/>
      <c r="AB2" s="72"/>
      <c r="AC2" s="72"/>
      <c r="AD2" s="72"/>
      <c r="AE2" s="72"/>
      <c r="AF2" s="72"/>
      <c r="AG2" s="72"/>
      <c r="AL2" s="72"/>
      <c r="AM2" s="72"/>
      <c r="AO2" s="239"/>
      <c r="AP2" s="239"/>
    </row>
    <row r="3" spans="1:58" ht="15.6" x14ac:dyDescent="0.3">
      <c r="A3" s="80">
        <v>44242</v>
      </c>
      <c r="B3" s="2" t="s">
        <v>53</v>
      </c>
      <c r="C3" s="2" t="s">
        <v>49</v>
      </c>
      <c r="D3" s="2" t="s">
        <v>50</v>
      </c>
      <c r="E3" s="203">
        <v>700000</v>
      </c>
      <c r="F3" s="2" t="s">
        <v>54</v>
      </c>
      <c r="G3" s="2" t="s">
        <v>3</v>
      </c>
      <c r="H3" s="2" t="s">
        <v>52</v>
      </c>
      <c r="I3" s="113">
        <f>IF(Table_5[[#This Row],[Sales Rep]]='For Manage'!$E$7,1,0)</f>
        <v>1</v>
      </c>
      <c r="J3" s="113" t="str">
        <f>IF(OR(Table_5[[#This Row],[Customer Name]]="ABC Manufacturing",Table_5[[#This Row],[Customer Name]]="123 Industries"), "Yes", "No")</f>
        <v>No</v>
      </c>
      <c r="K3" s="113" t="str">
        <f>IF(COUNTIFS(Table_5[Customer Name],B3, Table_5[Order Date], "&gt;="&amp;DATE(2021,1,1), Table_5[Order Date], "&lt;="&amp;DATE(2022,12,31))&gt;0, "Existing Customer", "New Customer")</f>
        <v>Existing Customer</v>
      </c>
      <c r="L3" s="113">
        <f>IF(Table_5[[#This Row],[Country]]='For Manage'!$E$11,1,0)</f>
        <v>1</v>
      </c>
      <c r="M3" s="113"/>
      <c r="N3" s="55" t="s">
        <v>40</v>
      </c>
      <c r="O3" s="55" t="s">
        <v>41</v>
      </c>
      <c r="P3" s="55" t="s">
        <v>42</v>
      </c>
      <c r="Q3" s="55" t="s">
        <v>43</v>
      </c>
      <c r="R3" s="76" t="s">
        <v>44</v>
      </c>
      <c r="S3" s="55" t="s">
        <v>45</v>
      </c>
      <c r="T3" s="55" t="s">
        <v>46</v>
      </c>
      <c r="U3" s="55" t="s">
        <v>47</v>
      </c>
      <c r="AB3" s="133"/>
      <c r="AC3" s="134"/>
      <c r="AD3" s="133"/>
      <c r="AE3" s="125"/>
      <c r="AF3" s="126"/>
      <c r="AG3" s="125"/>
      <c r="AH3" s="125"/>
      <c r="AI3" s="125"/>
      <c r="AK3" s="125"/>
      <c r="AL3" s="125"/>
      <c r="AM3" s="125"/>
      <c r="AN3" s="125"/>
      <c r="AO3" s="126"/>
      <c r="AP3" s="125"/>
      <c r="AQ3" s="125"/>
      <c r="AR3" s="125"/>
      <c r="AS3" s="125"/>
      <c r="AU3" s="127"/>
      <c r="AV3" s="128"/>
      <c r="AW3" s="128"/>
      <c r="AX3" s="128"/>
      <c r="AY3" s="128"/>
      <c r="AZ3" s="128"/>
      <c r="BA3" s="128"/>
      <c r="BB3" s="128"/>
      <c r="BC3" s="128"/>
      <c r="BD3" s="128"/>
      <c r="BE3" s="128"/>
      <c r="BF3" s="128"/>
    </row>
    <row r="4" spans="1:58" ht="15.6" x14ac:dyDescent="0.3">
      <c r="A4" s="80">
        <v>44275</v>
      </c>
      <c r="B4" s="2" t="s">
        <v>55</v>
      </c>
      <c r="C4" s="2" t="s">
        <v>49</v>
      </c>
      <c r="D4" s="2" t="s">
        <v>50</v>
      </c>
      <c r="E4" s="203">
        <v>300000</v>
      </c>
      <c r="F4" s="2" t="s">
        <v>56</v>
      </c>
      <c r="G4" s="2" t="s">
        <v>3</v>
      </c>
      <c r="H4" s="2" t="s">
        <v>52</v>
      </c>
      <c r="I4" s="113">
        <f>IF(Table_5[[#This Row],[Sales Rep]]='For Manage'!$E$7,1,0)</f>
        <v>1</v>
      </c>
      <c r="J4" s="113" t="str">
        <f>IF(OR(Table_5[[#This Row],[Customer Name]]="ABC Manufacturing",Table_5[[#This Row],[Customer Name]]="123 Industries"), "Yes", "No")</f>
        <v>No</v>
      </c>
      <c r="K4" s="113" t="str">
        <f>IF(COUNTIFS(Table_5[Customer Name],B4, Table_5[Order Date], "&gt;="&amp;DATE(2021,1,1), Table_5[Order Date], "&lt;="&amp;DATE(2022,12,31))&gt;0, "Existing Customer", "New Customer")</f>
        <v>Existing Customer</v>
      </c>
      <c r="L4" s="113">
        <f>IF(Table_5[[#This Row],[Country]]='For Manage'!$E$11,1,0)</f>
        <v>1</v>
      </c>
      <c r="M4" s="113"/>
      <c r="N4" s="81" cm="1">
        <f t="array" ref="N4:Y207">_xlfn._xlws.SORT(Table_5[],1,-1)</f>
        <v>45277</v>
      </c>
      <c r="O4" s="72" t="str">
        <v>ABC Manufacturing</v>
      </c>
      <c r="P4" s="71" t="str">
        <v>USA</v>
      </c>
      <c r="Q4" s="71" t="str">
        <v>NA</v>
      </c>
      <c r="R4" s="71">
        <v>850000</v>
      </c>
      <c r="S4" s="71" t="str">
        <v>Service</v>
      </c>
      <c r="T4" s="71" t="str">
        <v>Sarah Brown</v>
      </c>
      <c r="U4" s="71" t="str">
        <v>USD</v>
      </c>
      <c r="V4">
        <v>1</v>
      </c>
      <c r="W4" t="str">
        <v>Yes</v>
      </c>
      <c r="X4" t="str">
        <v>Existing Customer</v>
      </c>
      <c r="Y4">
        <v>1</v>
      </c>
      <c r="AB4" s="81"/>
      <c r="AC4" s="72"/>
      <c r="AD4" s="72"/>
      <c r="AE4" s="72"/>
      <c r="AK4" s="129"/>
      <c r="AL4" s="72"/>
      <c r="AM4" s="130"/>
      <c r="AO4" s="124"/>
    </row>
    <row r="5" spans="1:58" ht="15.6" x14ac:dyDescent="0.3">
      <c r="A5" s="80">
        <v>44291</v>
      </c>
      <c r="B5" s="2" t="s">
        <v>57</v>
      </c>
      <c r="C5" s="2" t="s">
        <v>49</v>
      </c>
      <c r="D5" s="2" t="s">
        <v>50</v>
      </c>
      <c r="E5" s="203">
        <v>900000</v>
      </c>
      <c r="F5" s="2" t="s">
        <v>51</v>
      </c>
      <c r="G5" s="2" t="s">
        <v>3</v>
      </c>
      <c r="H5" s="2" t="s">
        <v>52</v>
      </c>
      <c r="I5" s="113">
        <f>IF(Table_5[[#This Row],[Sales Rep]]='For Manage'!$E$7,1,0)</f>
        <v>1</v>
      </c>
      <c r="J5" s="113" t="str">
        <f>IF(OR(Table_5[[#This Row],[Customer Name]]="ABC Manufacturing",Table_5[[#This Row],[Customer Name]]="123 Industries"), "Yes", "No")</f>
        <v>Yes</v>
      </c>
      <c r="K5" s="113" t="str">
        <f>IF(COUNTIFS(Table_5[Customer Name],B5, Table_5[Order Date], "&gt;="&amp;DATE(2021,1,1), Table_5[Order Date], "&lt;="&amp;DATE(2022,12,31))&gt;0, "Existing Customer", "New Customer")</f>
        <v>Existing Customer</v>
      </c>
      <c r="L5" s="113">
        <f>IF(Table_5[[#This Row],[Country]]='For Manage'!$E$11,1,0)</f>
        <v>1</v>
      </c>
      <c r="M5" s="113"/>
      <c r="N5" s="81">
        <v>45277</v>
      </c>
      <c r="O5" s="72" t="str">
        <v>Paulson Enterprises</v>
      </c>
      <c r="P5" s="71" t="str">
        <v>USA</v>
      </c>
      <c r="Q5" s="71" t="str">
        <v>NA</v>
      </c>
      <c r="R5" s="71">
        <v>850.45</v>
      </c>
      <c r="S5" s="71" t="str">
        <v>Service</v>
      </c>
      <c r="T5" s="71" t="str">
        <v>Sarah Brown</v>
      </c>
      <c r="U5" s="71" t="str">
        <v>USD</v>
      </c>
      <c r="V5">
        <v>1</v>
      </c>
      <c r="W5" t="str">
        <v>No</v>
      </c>
      <c r="X5" t="str">
        <v>New Customer</v>
      </c>
      <c r="Y5">
        <v>1</v>
      </c>
      <c r="AB5" s="81"/>
      <c r="AC5" s="72"/>
      <c r="AD5" s="72"/>
      <c r="AE5" s="72"/>
      <c r="AK5" s="129"/>
      <c r="AL5" s="72"/>
      <c r="AM5" s="130"/>
    </row>
    <row r="6" spans="1:58" ht="15.6" x14ac:dyDescent="0.3">
      <c r="A6" s="80">
        <v>44326</v>
      </c>
      <c r="B6" s="2" t="s">
        <v>58</v>
      </c>
      <c r="C6" s="2" t="s">
        <v>49</v>
      </c>
      <c r="D6" s="2" t="s">
        <v>50</v>
      </c>
      <c r="E6" s="203">
        <v>400000</v>
      </c>
      <c r="F6" s="2" t="s">
        <v>54</v>
      </c>
      <c r="G6" s="2" t="s">
        <v>3</v>
      </c>
      <c r="H6" s="2" t="s">
        <v>52</v>
      </c>
      <c r="I6" s="113">
        <f>IF(Table_5[[#This Row],[Sales Rep]]='For Manage'!$E$7,1,0)</f>
        <v>1</v>
      </c>
      <c r="J6" s="113" t="str">
        <f>IF(OR(Table_5[[#This Row],[Customer Name]]="ABC Manufacturing",Table_5[[#This Row],[Customer Name]]="123 Industries"), "Yes", "No")</f>
        <v>No</v>
      </c>
      <c r="K6" s="113" t="str">
        <f>IF(COUNTIFS(Table_5[Customer Name],B6, Table_5[Order Date], "&gt;="&amp;DATE(2021,1,1), Table_5[Order Date], "&lt;="&amp;DATE(2022,12,31))&gt;0, "Existing Customer", "New Customer")</f>
        <v>Existing Customer</v>
      </c>
      <c r="L6" s="113">
        <f>IF(Table_5[[#This Row],[Country]]='For Manage'!$E$11,1,0)</f>
        <v>1</v>
      </c>
      <c r="M6" s="113"/>
      <c r="N6" s="81">
        <v>45277</v>
      </c>
      <c r="O6" s="65" t="str">
        <v>Martinez Solutions</v>
      </c>
      <c r="P6" s="74" t="str">
        <v>USA</v>
      </c>
      <c r="Q6" s="74" t="str">
        <v>NA</v>
      </c>
      <c r="R6" s="74">
        <v>18500.25</v>
      </c>
      <c r="S6" s="78" t="str">
        <v>Service</v>
      </c>
      <c r="T6" s="74" t="str">
        <v>Sarah Brown</v>
      </c>
      <c r="U6" s="74" t="str">
        <v>USD</v>
      </c>
      <c r="V6">
        <v>1</v>
      </c>
      <c r="W6" t="str">
        <v>No</v>
      </c>
      <c r="X6" t="str">
        <v>New Customer</v>
      </c>
      <c r="Y6">
        <v>1</v>
      </c>
      <c r="AB6" s="81"/>
      <c r="AC6" s="72"/>
      <c r="AD6" s="72"/>
      <c r="AE6" s="72"/>
      <c r="AK6" s="129"/>
      <c r="AL6" s="72"/>
      <c r="AM6" s="130"/>
    </row>
    <row r="7" spans="1:58" ht="15.6" x14ac:dyDescent="0.3">
      <c r="A7" s="80">
        <v>44362</v>
      </c>
      <c r="B7" s="2" t="s">
        <v>48</v>
      </c>
      <c r="C7" s="2" t="s">
        <v>49</v>
      </c>
      <c r="D7" s="2" t="s">
        <v>50</v>
      </c>
      <c r="E7" s="203">
        <v>600000</v>
      </c>
      <c r="F7" s="2" t="s">
        <v>56</v>
      </c>
      <c r="G7" s="2" t="s">
        <v>3</v>
      </c>
      <c r="H7" s="2" t="s">
        <v>52</v>
      </c>
      <c r="I7" s="113">
        <f>IF(Table_5[[#This Row],[Sales Rep]]='For Manage'!$E$7,1,0)</f>
        <v>1</v>
      </c>
      <c r="J7" s="113" t="str">
        <f>IF(OR(Table_5[[#This Row],[Customer Name]]="ABC Manufacturing",Table_5[[#This Row],[Customer Name]]="123 Industries"), "Yes", "No")</f>
        <v>Yes</v>
      </c>
      <c r="K7" s="113" t="str">
        <f>IF(COUNTIFS(Table_5[Customer Name],B7, Table_5[Order Date], "&gt;="&amp;DATE(2021,1,1), Table_5[Order Date], "&lt;="&amp;DATE(2022,12,31))&gt;0, "Existing Customer", "New Customer")</f>
        <v>Existing Customer</v>
      </c>
      <c r="L7" s="113">
        <f>IF(Table_5[[#This Row],[Country]]='For Manage'!$E$11,1,0)</f>
        <v>1</v>
      </c>
      <c r="M7" s="113"/>
      <c r="N7" s="81">
        <v>45277</v>
      </c>
      <c r="O7" s="73" t="str">
        <v>Reed Corporation</v>
      </c>
      <c r="P7" s="74" t="str">
        <v>USA</v>
      </c>
      <c r="Q7" s="74" t="str">
        <v>NA</v>
      </c>
      <c r="R7" s="74">
        <v>850.6</v>
      </c>
      <c r="S7" s="75" t="str">
        <v>Service</v>
      </c>
      <c r="T7" s="74" t="str">
        <v>Sarah Brown</v>
      </c>
      <c r="U7" s="74" t="str">
        <v>USD</v>
      </c>
      <c r="V7">
        <v>1</v>
      </c>
      <c r="W7" t="str">
        <v>No</v>
      </c>
      <c r="X7" t="str">
        <v>New Customer</v>
      </c>
      <c r="Y7">
        <v>1</v>
      </c>
      <c r="Z7" s="2"/>
      <c r="AB7" s="81"/>
      <c r="AC7" s="72"/>
      <c r="AD7" s="72"/>
      <c r="AE7" s="72"/>
      <c r="AK7" s="129"/>
      <c r="AL7" s="72"/>
      <c r="AM7" s="130"/>
    </row>
    <row r="8" spans="1:58" ht="15.6" x14ac:dyDescent="0.3">
      <c r="A8" s="80">
        <v>44397</v>
      </c>
      <c r="B8" s="2" t="s">
        <v>53</v>
      </c>
      <c r="C8" s="2" t="s">
        <v>49</v>
      </c>
      <c r="D8" s="2" t="s">
        <v>50</v>
      </c>
      <c r="E8" s="203">
        <v>800000</v>
      </c>
      <c r="F8" s="2" t="s">
        <v>51</v>
      </c>
      <c r="G8" s="2" t="s">
        <v>3</v>
      </c>
      <c r="H8" s="2" t="s">
        <v>52</v>
      </c>
      <c r="I8" s="113">
        <f>IF(Table_5[[#This Row],[Sales Rep]]='For Manage'!$E$7,1,0)</f>
        <v>1</v>
      </c>
      <c r="J8" s="113" t="str">
        <f>IF(OR(Table_5[[#This Row],[Customer Name]]="ABC Manufacturing",Table_5[[#This Row],[Customer Name]]="123 Industries"), "Yes", "No")</f>
        <v>No</v>
      </c>
      <c r="K8" s="113" t="str">
        <f>IF(COUNTIFS(Table_5[Customer Name],B8, Table_5[Order Date], "&gt;="&amp;DATE(2021,1,1), Table_5[Order Date], "&lt;="&amp;DATE(2022,12,31))&gt;0, "Existing Customer", "New Customer")</f>
        <v>Existing Customer</v>
      </c>
      <c r="L8" s="113">
        <f>IF(Table_5[[#This Row],[Country]]='For Manage'!$E$11,1,0)</f>
        <v>1</v>
      </c>
      <c r="M8" s="113"/>
      <c r="N8" s="81">
        <v>45277</v>
      </c>
      <c r="O8" s="73" t="str">
        <v>Reed Corporation</v>
      </c>
      <c r="P8" s="74" t="str">
        <v>USA</v>
      </c>
      <c r="Q8" s="74" t="str">
        <v>NA</v>
      </c>
      <c r="R8" s="74">
        <v>25000.6</v>
      </c>
      <c r="S8" s="75" t="str">
        <v>Service</v>
      </c>
      <c r="T8" s="74" t="str">
        <v>Sarah Brown</v>
      </c>
      <c r="U8" s="74" t="str">
        <v>USD</v>
      </c>
      <c r="V8">
        <v>1</v>
      </c>
      <c r="W8" t="str">
        <v>No</v>
      </c>
      <c r="X8" t="str">
        <v>New Customer</v>
      </c>
      <c r="Y8">
        <v>1</v>
      </c>
      <c r="AB8" s="81"/>
      <c r="AC8" s="72"/>
      <c r="AD8" s="72"/>
      <c r="AE8" s="72"/>
      <c r="AK8" s="129"/>
      <c r="AL8" s="72"/>
      <c r="AM8" s="130"/>
    </row>
    <row r="9" spans="1:58" ht="15.6" x14ac:dyDescent="0.3">
      <c r="A9" s="80">
        <v>44433</v>
      </c>
      <c r="B9" s="2" t="s">
        <v>55</v>
      </c>
      <c r="C9" s="2" t="s">
        <v>49</v>
      </c>
      <c r="D9" s="2" t="s">
        <v>50</v>
      </c>
      <c r="E9" s="203">
        <v>200000</v>
      </c>
      <c r="F9" s="2" t="s">
        <v>54</v>
      </c>
      <c r="G9" s="2" t="s">
        <v>3</v>
      </c>
      <c r="H9" s="2" t="s">
        <v>52</v>
      </c>
      <c r="I9" s="113">
        <f>IF(Table_5[[#This Row],[Sales Rep]]='For Manage'!$E$7,1,0)</f>
        <v>1</v>
      </c>
      <c r="J9" s="113" t="str">
        <f>IF(OR(Table_5[[#This Row],[Customer Name]]="ABC Manufacturing",Table_5[[#This Row],[Customer Name]]="123 Industries"), "Yes", "No")</f>
        <v>No</v>
      </c>
      <c r="K9" s="113" t="str">
        <f>IF(COUNTIFS(Table_5[Customer Name],B9, Table_5[Order Date], "&gt;="&amp;DATE(2021,1,1), Table_5[Order Date], "&lt;="&amp;DATE(2022,12,31))&gt;0, "Existing Customer", "New Customer")</f>
        <v>Existing Customer</v>
      </c>
      <c r="L9" s="113">
        <f>IF(Table_5[[#This Row],[Country]]='For Manage'!$E$11,1,0)</f>
        <v>1</v>
      </c>
      <c r="M9" s="113"/>
      <c r="N9" s="81">
        <v>45277</v>
      </c>
      <c r="O9" s="73" t="str">
        <v>JKL Enterprises</v>
      </c>
      <c r="P9" s="74" t="str">
        <v>USA</v>
      </c>
      <c r="Q9" s="74" t="str">
        <v>NA</v>
      </c>
      <c r="R9" s="74">
        <v>850.65</v>
      </c>
      <c r="S9" s="75" t="str">
        <v>Service</v>
      </c>
      <c r="T9" s="74" t="str">
        <v>Sarah Brown</v>
      </c>
      <c r="U9" s="74" t="str">
        <v>USD</v>
      </c>
      <c r="V9">
        <v>1</v>
      </c>
      <c r="W9" t="str">
        <v>No</v>
      </c>
      <c r="X9" t="str">
        <v>Existing Customer</v>
      </c>
      <c r="Y9">
        <v>1</v>
      </c>
      <c r="AB9" s="81"/>
      <c r="AC9" s="72"/>
      <c r="AD9" s="72"/>
      <c r="AE9" s="72"/>
      <c r="AK9" s="129"/>
      <c r="AL9" s="72"/>
      <c r="AM9" s="130"/>
    </row>
    <row r="10" spans="1:58" ht="15.6" x14ac:dyDescent="0.3">
      <c r="A10" s="80">
        <v>44469</v>
      </c>
      <c r="B10" s="2" t="s">
        <v>57</v>
      </c>
      <c r="C10" s="2" t="s">
        <v>49</v>
      </c>
      <c r="D10" s="2" t="s">
        <v>50</v>
      </c>
      <c r="E10" s="203">
        <v>1000000</v>
      </c>
      <c r="F10" s="2" t="s">
        <v>56</v>
      </c>
      <c r="G10" s="2" t="s">
        <v>3</v>
      </c>
      <c r="H10" s="2" t="s">
        <v>52</v>
      </c>
      <c r="I10" s="113">
        <f>IF(Table_5[[#This Row],[Sales Rep]]='For Manage'!$E$7,1,0)</f>
        <v>1</v>
      </c>
      <c r="J10" s="113" t="str">
        <f>IF(OR(Table_5[[#This Row],[Customer Name]]="ABC Manufacturing",Table_5[[#This Row],[Customer Name]]="123 Industries"), "Yes", "No")</f>
        <v>Yes</v>
      </c>
      <c r="K10" s="113" t="str">
        <f>IF(COUNTIFS(Table_5[Customer Name],B10, Table_5[Order Date], "&gt;="&amp;DATE(2021,1,1), Table_5[Order Date], "&lt;="&amp;DATE(2022,12,31))&gt;0, "Existing Customer", "New Customer")</f>
        <v>Existing Customer</v>
      </c>
      <c r="L10" s="113">
        <f>IF(Table_5[[#This Row],[Country]]='For Manage'!$E$11,1,0)</f>
        <v>1</v>
      </c>
      <c r="M10" s="113"/>
      <c r="N10" s="81">
        <v>45242</v>
      </c>
      <c r="O10" s="73" t="str">
        <v>PQR Incorporated</v>
      </c>
      <c r="P10" s="74" t="str">
        <v>USA</v>
      </c>
      <c r="Q10" s="74" t="str">
        <v>NA</v>
      </c>
      <c r="R10" s="74">
        <v>150000</v>
      </c>
      <c r="S10" s="75" t="str">
        <v>Normal Order</v>
      </c>
      <c r="T10" s="74" t="str">
        <v>Sarah Brown</v>
      </c>
      <c r="U10" s="74" t="str">
        <v>USD</v>
      </c>
      <c r="V10">
        <v>1</v>
      </c>
      <c r="W10" t="str">
        <v>No</v>
      </c>
      <c r="X10" t="str">
        <v>Existing Customer</v>
      </c>
      <c r="Y10">
        <v>1</v>
      </c>
      <c r="AB10" s="81"/>
      <c r="AC10" s="72"/>
      <c r="AD10" s="72"/>
      <c r="AE10" s="72"/>
      <c r="AK10" s="129"/>
      <c r="AL10" s="72"/>
      <c r="AM10" s="130"/>
    </row>
    <row r="11" spans="1:58" ht="15.6" x14ac:dyDescent="0.3">
      <c r="A11" s="80">
        <v>44474</v>
      </c>
      <c r="B11" s="2" t="s">
        <v>58</v>
      </c>
      <c r="C11" s="2" t="s">
        <v>49</v>
      </c>
      <c r="D11" s="2" t="s">
        <v>50</v>
      </c>
      <c r="E11" s="203">
        <v>550000</v>
      </c>
      <c r="F11" s="2" t="s">
        <v>51</v>
      </c>
      <c r="G11" s="2" t="s">
        <v>3</v>
      </c>
      <c r="H11" s="2" t="s">
        <v>52</v>
      </c>
      <c r="I11" s="113">
        <f>IF(Table_5[[#This Row],[Sales Rep]]='For Manage'!$E$7,1,0)</f>
        <v>1</v>
      </c>
      <c r="J11" s="113" t="str">
        <f>IF(OR(Table_5[[#This Row],[Customer Name]]="ABC Manufacturing",Table_5[[#This Row],[Customer Name]]="123 Industries"), "Yes", "No")</f>
        <v>No</v>
      </c>
      <c r="K11" s="113" t="str">
        <f>IF(COUNTIFS(Table_5[Customer Name],B11, Table_5[Order Date], "&gt;="&amp;DATE(2021,1,1), Table_5[Order Date], "&lt;="&amp;DATE(2022,12,31))&gt;0, "Existing Customer", "New Customer")</f>
        <v>Existing Customer</v>
      </c>
      <c r="L11" s="113">
        <f>IF(Table_5[[#This Row],[Country]]='For Manage'!$E$11,1,0)</f>
        <v>1</v>
      </c>
      <c r="M11" s="113"/>
      <c r="N11" s="81">
        <v>45242</v>
      </c>
      <c r="O11" s="73" t="str">
        <v>Harrison Corporation</v>
      </c>
      <c r="P11" s="74" t="str">
        <v>USA</v>
      </c>
      <c r="Q11" s="74" t="str">
        <v>NA</v>
      </c>
      <c r="R11" s="74">
        <v>150.80000000000001</v>
      </c>
      <c r="S11" s="75" t="str">
        <v>Normal Order</v>
      </c>
      <c r="T11" s="74" t="str">
        <v>Sarah Brown</v>
      </c>
      <c r="U11" s="74" t="str">
        <v>USD</v>
      </c>
      <c r="V11">
        <v>1</v>
      </c>
      <c r="W11" t="str">
        <v>No</v>
      </c>
      <c r="X11" t="str">
        <v>New Customer</v>
      </c>
      <c r="Y11">
        <v>1</v>
      </c>
      <c r="AB11" s="81"/>
      <c r="AC11" s="72"/>
      <c r="AD11" s="72"/>
      <c r="AE11" s="72"/>
      <c r="AK11" s="129"/>
      <c r="AL11" s="72"/>
      <c r="AM11" s="130"/>
    </row>
    <row r="12" spans="1:58" ht="15.6" x14ac:dyDescent="0.3">
      <c r="A12" s="80">
        <v>44510</v>
      </c>
      <c r="B12" s="2" t="s">
        <v>48</v>
      </c>
      <c r="C12" s="2" t="s">
        <v>49</v>
      </c>
      <c r="D12" s="2" t="s">
        <v>50</v>
      </c>
      <c r="E12" s="203">
        <v>450000</v>
      </c>
      <c r="F12" s="2" t="s">
        <v>54</v>
      </c>
      <c r="G12" s="2" t="s">
        <v>3</v>
      </c>
      <c r="H12" s="2" t="s">
        <v>52</v>
      </c>
      <c r="I12" s="113">
        <f>IF(Table_5[[#This Row],[Sales Rep]]='For Manage'!$E$7,1,0)</f>
        <v>1</v>
      </c>
      <c r="J12" s="113" t="str">
        <f>IF(OR(Table_5[[#This Row],[Customer Name]]="ABC Manufacturing",Table_5[[#This Row],[Customer Name]]="123 Industries"), "Yes", "No")</f>
        <v>Yes</v>
      </c>
      <c r="K12" s="113" t="str">
        <f>IF(COUNTIFS(Table_5[Customer Name],B12, Table_5[Order Date], "&gt;="&amp;DATE(2021,1,1), Table_5[Order Date], "&lt;="&amp;DATE(2022,12,31))&gt;0, "Existing Customer", "New Customer")</f>
        <v>Existing Customer</v>
      </c>
      <c r="L12" s="113">
        <f>IF(Table_5[[#This Row],[Country]]='For Manage'!$E$11,1,0)</f>
        <v>1</v>
      </c>
      <c r="M12" s="113"/>
      <c r="N12" s="81">
        <v>45242</v>
      </c>
      <c r="O12" s="73" t="str">
        <v>Wilson &amp; Co.</v>
      </c>
      <c r="P12" s="74" t="str">
        <v>USA</v>
      </c>
      <c r="Q12" s="74" t="str">
        <v>NA</v>
      </c>
      <c r="R12" s="74">
        <v>11500.75</v>
      </c>
      <c r="S12" s="75" t="str">
        <v>Normal Order</v>
      </c>
      <c r="T12" s="74" t="str">
        <v>Sarah Brown</v>
      </c>
      <c r="U12" s="74" t="str">
        <v>USD</v>
      </c>
      <c r="V12">
        <v>1</v>
      </c>
      <c r="W12" t="str">
        <v>No</v>
      </c>
      <c r="X12" t="str">
        <v>New Customer</v>
      </c>
      <c r="Y12">
        <v>1</v>
      </c>
      <c r="AB12" s="81"/>
      <c r="AC12" s="72"/>
      <c r="AD12" s="72"/>
      <c r="AE12" s="72"/>
      <c r="AK12" s="129"/>
      <c r="AL12" s="72"/>
      <c r="AM12" s="130"/>
    </row>
    <row r="13" spans="1:58" ht="15.6" x14ac:dyDescent="0.3">
      <c r="A13" s="80">
        <v>44545</v>
      </c>
      <c r="B13" s="2" t="s">
        <v>53</v>
      </c>
      <c r="C13" s="2" t="s">
        <v>49</v>
      </c>
      <c r="D13" s="2" t="s">
        <v>50</v>
      </c>
      <c r="E13" s="203">
        <v>350000</v>
      </c>
      <c r="F13" s="2" t="s">
        <v>56</v>
      </c>
      <c r="G13" s="2" t="s">
        <v>3</v>
      </c>
      <c r="H13" s="2" t="s">
        <v>52</v>
      </c>
      <c r="I13" s="113">
        <f>IF(Table_5[[#This Row],[Sales Rep]]='For Manage'!$E$7,1,0)</f>
        <v>1</v>
      </c>
      <c r="J13" s="113" t="str">
        <f>IF(OR(Table_5[[#This Row],[Customer Name]]="ABC Manufacturing",Table_5[[#This Row],[Customer Name]]="123 Industries"), "Yes", "No")</f>
        <v>No</v>
      </c>
      <c r="K13" s="113" t="str">
        <f>IF(COUNTIFS(Table_5[Customer Name],B13, Table_5[Order Date], "&gt;="&amp;DATE(2021,1,1), Table_5[Order Date], "&lt;="&amp;DATE(2022,12,31))&gt;0, "Existing Customer", "New Customer")</f>
        <v>Existing Customer</v>
      </c>
      <c r="L13" s="113">
        <f>IF(Table_5[[#This Row],[Country]]='For Manage'!$E$11,1,0)</f>
        <v>1</v>
      </c>
      <c r="M13" s="113"/>
      <c r="N13" s="81">
        <v>45242</v>
      </c>
      <c r="O13" s="73" t="str">
        <v>Long Enterprises</v>
      </c>
      <c r="P13" s="74" t="str">
        <v>USA</v>
      </c>
      <c r="Q13" s="74" t="str">
        <v>NA</v>
      </c>
      <c r="R13" s="74">
        <v>150.30000000000001</v>
      </c>
      <c r="S13" s="75" t="str">
        <v>Normal Order</v>
      </c>
      <c r="T13" s="74" t="str">
        <v>Sarah Brown</v>
      </c>
      <c r="U13" s="74" t="str">
        <v>USD</v>
      </c>
      <c r="V13">
        <v>1</v>
      </c>
      <c r="W13" t="str">
        <v>No</v>
      </c>
      <c r="X13" t="str">
        <v>New Customer</v>
      </c>
      <c r="Y13">
        <v>1</v>
      </c>
      <c r="AB13" s="81"/>
      <c r="AC13" s="72"/>
      <c r="AD13" s="72"/>
      <c r="AE13" s="72"/>
      <c r="AK13" s="129"/>
      <c r="AL13" s="72"/>
      <c r="AM13" s="130"/>
    </row>
    <row r="14" spans="1:58" ht="15.6" x14ac:dyDescent="0.3">
      <c r="A14" s="80">
        <v>44581</v>
      </c>
      <c r="B14" s="2" t="s">
        <v>55</v>
      </c>
      <c r="C14" s="2" t="s">
        <v>49</v>
      </c>
      <c r="D14" s="2" t="s">
        <v>50</v>
      </c>
      <c r="E14" s="203">
        <v>950000</v>
      </c>
      <c r="F14" s="2" t="s">
        <v>51</v>
      </c>
      <c r="G14" s="2" t="s">
        <v>3</v>
      </c>
      <c r="H14" s="2" t="s">
        <v>52</v>
      </c>
      <c r="I14" s="113">
        <f>IF(Table_5[[#This Row],[Sales Rep]]='For Manage'!$E$7,1,0)</f>
        <v>1</v>
      </c>
      <c r="J14" s="113" t="str">
        <f>IF(OR(Table_5[[#This Row],[Customer Name]]="ABC Manufacturing",Table_5[[#This Row],[Customer Name]]="123 Industries"), "Yes", "No")</f>
        <v>No</v>
      </c>
      <c r="K14" s="113" t="str">
        <f>IF(COUNTIFS(Table_5[Customer Name],B14, Table_5[Order Date], "&gt;="&amp;DATE(2021,1,1), Table_5[Order Date], "&lt;="&amp;DATE(2022,12,31))&gt;0, "Existing Customer", "New Customer")</f>
        <v>Existing Customer</v>
      </c>
      <c r="L14" s="113">
        <f>IF(Table_5[[#This Row],[Country]]='For Manage'!$E$11,1,0)</f>
        <v>1</v>
      </c>
      <c r="M14" s="113"/>
      <c r="N14" s="81">
        <v>45242</v>
      </c>
      <c r="O14" s="73" t="str">
        <v>Long Enterprises</v>
      </c>
      <c r="P14" s="74" t="str">
        <v>USA</v>
      </c>
      <c r="Q14" s="74" t="str">
        <v>NA</v>
      </c>
      <c r="R14" s="74">
        <v>23000.3</v>
      </c>
      <c r="S14" s="75" t="str">
        <v>Normal Order</v>
      </c>
      <c r="T14" s="74" t="str">
        <v>Sarah Brown</v>
      </c>
      <c r="U14" s="74" t="str">
        <v>USD</v>
      </c>
      <c r="V14">
        <v>1</v>
      </c>
      <c r="W14" t="str">
        <v>No</v>
      </c>
      <c r="X14" t="str">
        <v>New Customer</v>
      </c>
      <c r="Y14">
        <v>1</v>
      </c>
      <c r="AB14" s="81"/>
      <c r="AC14" s="72"/>
      <c r="AD14" s="72"/>
      <c r="AE14" s="72"/>
      <c r="AK14" s="129"/>
      <c r="AL14" s="72"/>
      <c r="AM14" s="130"/>
    </row>
    <row r="15" spans="1:58" ht="15.6" x14ac:dyDescent="0.3">
      <c r="A15" s="80">
        <v>44617</v>
      </c>
      <c r="B15" s="2" t="s">
        <v>57</v>
      </c>
      <c r="C15" s="2" t="s">
        <v>49</v>
      </c>
      <c r="D15" s="2" t="s">
        <v>50</v>
      </c>
      <c r="E15" s="203">
        <v>250000</v>
      </c>
      <c r="F15" s="2" t="s">
        <v>54</v>
      </c>
      <c r="G15" s="2" t="s">
        <v>3</v>
      </c>
      <c r="H15" s="2" t="s">
        <v>52</v>
      </c>
      <c r="I15" s="113">
        <f>IF(Table_5[[#This Row],[Sales Rep]]='For Manage'!$E$7,1,0)</f>
        <v>1</v>
      </c>
      <c r="J15" s="113" t="str">
        <f>IF(OR(Table_5[[#This Row],[Customer Name]]="ABC Manufacturing",Table_5[[#This Row],[Customer Name]]="123 Industries"), "Yes", "No")</f>
        <v>Yes</v>
      </c>
      <c r="K15" s="113" t="str">
        <f>IF(COUNTIFS(Table_5[Customer Name],B15, Table_5[Order Date], "&gt;="&amp;DATE(2021,1,1), Table_5[Order Date], "&lt;="&amp;DATE(2022,12,31))&gt;0, "Existing Customer", "New Customer")</f>
        <v>Existing Customer</v>
      </c>
      <c r="L15" s="113">
        <f>IF(Table_5[[#This Row],[Country]]='For Manage'!$E$11,1,0)</f>
        <v>1</v>
      </c>
      <c r="M15" s="113"/>
      <c r="N15" s="81">
        <v>45242</v>
      </c>
      <c r="O15" s="73" t="str">
        <v>GHI Manufacturing</v>
      </c>
      <c r="P15" s="74" t="str">
        <v>USA</v>
      </c>
      <c r="Q15" s="74" t="str">
        <v>NA</v>
      </c>
      <c r="R15" s="74">
        <v>150.75</v>
      </c>
      <c r="S15" s="75" t="str">
        <v>Normal Order</v>
      </c>
      <c r="T15" s="74" t="str">
        <v>Sarah Brown</v>
      </c>
      <c r="U15" s="74" t="str">
        <v>USD</v>
      </c>
      <c r="V15">
        <v>1</v>
      </c>
      <c r="W15" t="str">
        <v>No</v>
      </c>
      <c r="X15" t="str">
        <v>Existing Customer</v>
      </c>
      <c r="Y15">
        <v>1</v>
      </c>
      <c r="AB15" s="81"/>
      <c r="AC15" s="72"/>
      <c r="AD15" s="72"/>
      <c r="AE15" s="72"/>
      <c r="AK15" s="129"/>
      <c r="AL15" s="72"/>
      <c r="AM15" s="130"/>
    </row>
    <row r="16" spans="1:58" ht="15.6" x14ac:dyDescent="0.3">
      <c r="A16" s="80">
        <v>44622</v>
      </c>
      <c r="B16" s="2" t="s">
        <v>58</v>
      </c>
      <c r="C16" s="2" t="s">
        <v>49</v>
      </c>
      <c r="D16" s="2" t="s">
        <v>50</v>
      </c>
      <c r="E16" s="203">
        <v>750000</v>
      </c>
      <c r="F16" s="2" t="s">
        <v>56</v>
      </c>
      <c r="G16" s="2" t="s">
        <v>3</v>
      </c>
      <c r="H16" s="2" t="s">
        <v>52</v>
      </c>
      <c r="I16" s="113">
        <f>IF(Table_5[[#This Row],[Sales Rep]]='For Manage'!$E$7,1,0)</f>
        <v>1</v>
      </c>
      <c r="J16" s="113" t="str">
        <f>IF(OR(Table_5[[#This Row],[Customer Name]]="ABC Manufacturing",Table_5[[#This Row],[Customer Name]]="123 Industries"), "Yes", "No")</f>
        <v>No</v>
      </c>
      <c r="K16" s="113" t="str">
        <f>IF(COUNTIFS(Table_5[Customer Name],B16, Table_5[Order Date], "&gt;="&amp;DATE(2021,1,1), Table_5[Order Date], "&lt;="&amp;DATE(2022,12,31))&gt;0, "Existing Customer", "New Customer")</f>
        <v>Existing Customer</v>
      </c>
      <c r="L16" s="113">
        <f>IF(Table_5[[#This Row],[Country]]='For Manage'!$E$11,1,0)</f>
        <v>1</v>
      </c>
      <c r="M16" s="113"/>
      <c r="N16" s="81">
        <v>45206</v>
      </c>
      <c r="O16" s="73" t="str">
        <v>123 Industries</v>
      </c>
      <c r="P16" s="74" t="str">
        <v>USA</v>
      </c>
      <c r="Q16" s="74" t="str">
        <v>NA</v>
      </c>
      <c r="R16" s="74">
        <v>350000</v>
      </c>
      <c r="S16" s="75" t="str">
        <v>Machine Order</v>
      </c>
      <c r="T16" s="74" t="str">
        <v>Sarah Brown</v>
      </c>
      <c r="U16" s="74" t="str">
        <v>USD</v>
      </c>
      <c r="V16">
        <v>1</v>
      </c>
      <c r="W16" t="str">
        <v>Yes</v>
      </c>
      <c r="X16" t="str">
        <v>Existing Customer</v>
      </c>
      <c r="Y16">
        <v>1</v>
      </c>
      <c r="AB16" s="81"/>
      <c r="AC16" s="72"/>
      <c r="AD16" s="72"/>
      <c r="AE16" s="72"/>
      <c r="AK16" s="129"/>
      <c r="AL16" s="72"/>
      <c r="AM16" s="130"/>
    </row>
    <row r="17" spans="1:39" ht="15.6" x14ac:dyDescent="0.3">
      <c r="A17" s="80">
        <v>44658</v>
      </c>
      <c r="B17" s="2" t="s">
        <v>48</v>
      </c>
      <c r="C17" s="2" t="s">
        <v>49</v>
      </c>
      <c r="D17" s="2" t="s">
        <v>50</v>
      </c>
      <c r="E17" s="203">
        <v>850000</v>
      </c>
      <c r="F17" s="2" t="s">
        <v>51</v>
      </c>
      <c r="G17" s="2" t="s">
        <v>3</v>
      </c>
      <c r="H17" s="2" t="s">
        <v>52</v>
      </c>
      <c r="I17" s="113">
        <f>IF(Table_5[[#This Row],[Sales Rep]]='For Manage'!$E$7,1,0)</f>
        <v>1</v>
      </c>
      <c r="J17" s="113" t="str">
        <f>IF(OR(Table_5[[#This Row],[Customer Name]]="ABC Manufacturing",Table_5[[#This Row],[Customer Name]]="123 Industries"), "Yes", "No")</f>
        <v>Yes</v>
      </c>
      <c r="K17" s="113" t="str">
        <f>IF(COUNTIFS(Table_5[Customer Name],B17, Table_5[Order Date], "&gt;="&amp;DATE(2021,1,1), Table_5[Order Date], "&lt;="&amp;DATE(2022,12,31))&gt;0, "Existing Customer", "New Customer")</f>
        <v>Existing Customer</v>
      </c>
      <c r="L17" s="113">
        <f>IF(Table_5[[#This Row],[Country]]='For Manage'!$E$11,1,0)</f>
        <v>1</v>
      </c>
      <c r="M17" s="113"/>
      <c r="N17" s="81">
        <v>45206</v>
      </c>
      <c r="O17" s="73" t="str">
        <v>Reed Ltd.</v>
      </c>
      <c r="P17" s="74" t="str">
        <v>USA</v>
      </c>
      <c r="Q17" s="74" t="str">
        <v>NA</v>
      </c>
      <c r="R17" s="74">
        <v>350.7</v>
      </c>
      <c r="S17" s="75" t="str">
        <v>Machine Order</v>
      </c>
      <c r="T17" s="74" t="str">
        <v>Sarah Brown</v>
      </c>
      <c r="U17" s="74" t="str">
        <v>USD</v>
      </c>
      <c r="V17">
        <v>1</v>
      </c>
      <c r="W17" t="str">
        <v>No</v>
      </c>
      <c r="X17" t="str">
        <v>New Customer</v>
      </c>
      <c r="Y17">
        <v>1</v>
      </c>
      <c r="AB17" s="81"/>
      <c r="AC17" s="72"/>
      <c r="AD17" s="72"/>
      <c r="AE17" s="72"/>
      <c r="AK17" s="129"/>
      <c r="AL17" s="72"/>
      <c r="AM17" s="130"/>
    </row>
    <row r="18" spans="1:39" ht="15.6" x14ac:dyDescent="0.3">
      <c r="A18" s="80">
        <v>44693</v>
      </c>
      <c r="B18" s="2" t="s">
        <v>53</v>
      </c>
      <c r="C18" s="2" t="s">
        <v>49</v>
      </c>
      <c r="D18" s="2" t="s">
        <v>50</v>
      </c>
      <c r="E18" s="203">
        <v>150000</v>
      </c>
      <c r="F18" s="2" t="s">
        <v>54</v>
      </c>
      <c r="G18" s="2" t="s">
        <v>3</v>
      </c>
      <c r="H18" s="2" t="s">
        <v>52</v>
      </c>
      <c r="I18" s="113">
        <f>IF(Table_5[[#This Row],[Sales Rep]]='For Manage'!$E$7,1,0)</f>
        <v>1</v>
      </c>
      <c r="J18" s="113" t="str">
        <f>IF(OR(Table_5[[#This Row],[Customer Name]]="ABC Manufacturing",Table_5[[#This Row],[Customer Name]]="123 Industries"), "Yes", "No")</f>
        <v>No</v>
      </c>
      <c r="K18" s="113" t="str">
        <f>IF(COUNTIFS(Table_5[Customer Name],B18, Table_5[Order Date], "&gt;="&amp;DATE(2021,1,1), Table_5[Order Date], "&lt;="&amp;DATE(2022,12,31))&gt;0, "Existing Customer", "New Customer")</f>
        <v>Existing Customer</v>
      </c>
      <c r="L18" s="113">
        <f>IF(Table_5[[#This Row],[Country]]='For Manage'!$E$11,1,0)</f>
        <v>1</v>
      </c>
      <c r="M18" s="113"/>
      <c r="N18" s="81">
        <v>45206</v>
      </c>
      <c r="O18" s="73" t="str">
        <v>Smith Enterprises</v>
      </c>
      <c r="P18" s="74" t="str">
        <v>USA</v>
      </c>
      <c r="Q18" s="74" t="str">
        <v>NA</v>
      </c>
      <c r="R18" s="74">
        <v>13500.25</v>
      </c>
      <c r="S18" s="75" t="str">
        <v>Machine Order</v>
      </c>
      <c r="T18" s="74" t="str">
        <v>Sarah Brown</v>
      </c>
      <c r="U18" s="74" t="str">
        <v>USD</v>
      </c>
      <c r="V18">
        <v>1</v>
      </c>
      <c r="W18" t="str">
        <v>No</v>
      </c>
      <c r="X18" t="str">
        <v>Existing Customer</v>
      </c>
      <c r="Y18">
        <v>1</v>
      </c>
      <c r="AB18" s="81"/>
      <c r="AC18" s="72"/>
      <c r="AD18" s="72"/>
      <c r="AE18" s="72"/>
      <c r="AK18" s="129"/>
      <c r="AL18" s="72"/>
      <c r="AM18" s="130"/>
    </row>
    <row r="19" spans="1:39" ht="15.6" x14ac:dyDescent="0.3">
      <c r="A19" s="80">
        <v>44729</v>
      </c>
      <c r="B19" s="2" t="s">
        <v>55</v>
      </c>
      <c r="C19" s="2" t="s">
        <v>49</v>
      </c>
      <c r="D19" s="2" t="s">
        <v>50</v>
      </c>
      <c r="E19" s="203">
        <v>650000</v>
      </c>
      <c r="F19" s="2" t="s">
        <v>56</v>
      </c>
      <c r="G19" s="2" t="s">
        <v>3</v>
      </c>
      <c r="H19" s="2" t="s">
        <v>52</v>
      </c>
      <c r="I19" s="113">
        <f>IF(Table_5[[#This Row],[Sales Rep]]='For Manage'!$E$7,1,0)</f>
        <v>1</v>
      </c>
      <c r="J19" s="113" t="str">
        <f>IF(OR(Table_5[[#This Row],[Customer Name]]="ABC Manufacturing",Table_5[[#This Row],[Customer Name]]="123 Industries"), "Yes", "No")</f>
        <v>No</v>
      </c>
      <c r="K19" s="113" t="str">
        <f>IF(COUNTIFS(Table_5[Customer Name],B19, Table_5[Order Date], "&gt;="&amp;DATE(2021,1,1), Table_5[Order Date], "&lt;="&amp;DATE(2022,12,31))&gt;0, "Existing Customer", "New Customer")</f>
        <v>Existing Customer</v>
      </c>
      <c r="L19" s="113">
        <f>IF(Table_5[[#This Row],[Country]]='For Manage'!$E$11,1,0)</f>
        <v>1</v>
      </c>
      <c r="M19" s="113"/>
      <c r="N19" s="81">
        <v>45206</v>
      </c>
      <c r="O19" s="73" t="str">
        <v>Watson &amp; Co.</v>
      </c>
      <c r="P19" s="74" t="str">
        <v>USA</v>
      </c>
      <c r="Q19" s="74" t="str">
        <v>NA</v>
      </c>
      <c r="R19" s="74">
        <v>350.9</v>
      </c>
      <c r="S19" s="75" t="str">
        <v>Machine Order</v>
      </c>
      <c r="T19" s="74" t="str">
        <v>Sarah Brown</v>
      </c>
      <c r="U19" s="74" t="str">
        <v>USD</v>
      </c>
      <c r="V19">
        <v>1</v>
      </c>
      <c r="W19" t="str">
        <v>No</v>
      </c>
      <c r="X19" t="str">
        <v>New Customer</v>
      </c>
      <c r="Y19">
        <v>1</v>
      </c>
      <c r="AB19" s="81"/>
      <c r="AC19" s="72"/>
      <c r="AD19" s="72"/>
      <c r="AE19" s="72"/>
      <c r="AK19" s="129"/>
      <c r="AL19" s="72"/>
      <c r="AM19" s="130"/>
    </row>
    <row r="20" spans="1:39" ht="15.6" x14ac:dyDescent="0.3">
      <c r="A20" s="80">
        <v>44764</v>
      </c>
      <c r="B20" s="2" t="s">
        <v>57</v>
      </c>
      <c r="C20" s="2" t="s">
        <v>49</v>
      </c>
      <c r="D20" s="2" t="s">
        <v>50</v>
      </c>
      <c r="E20" s="203">
        <v>450000</v>
      </c>
      <c r="F20" s="2" t="s">
        <v>51</v>
      </c>
      <c r="G20" s="2" t="s">
        <v>3</v>
      </c>
      <c r="H20" s="2" t="s">
        <v>52</v>
      </c>
      <c r="I20" s="113">
        <f>IF(Table_5[[#This Row],[Sales Rep]]='For Manage'!$E$7,1,0)</f>
        <v>1</v>
      </c>
      <c r="J20" s="113" t="str">
        <f>IF(OR(Table_5[[#This Row],[Customer Name]]="ABC Manufacturing",Table_5[[#This Row],[Customer Name]]="123 Industries"), "Yes", "No")</f>
        <v>Yes</v>
      </c>
      <c r="K20" s="113" t="str">
        <f>IF(COUNTIFS(Table_5[Customer Name],B20, Table_5[Order Date], "&gt;="&amp;DATE(2021,1,1), Table_5[Order Date], "&lt;="&amp;DATE(2022,12,31))&gt;0, "Existing Customer", "New Customer")</f>
        <v>Existing Customer</v>
      </c>
      <c r="L20" s="113">
        <f>IF(Table_5[[#This Row],[Country]]='For Manage'!$E$11,1,0)</f>
        <v>1</v>
      </c>
      <c r="M20" s="113"/>
      <c r="N20" s="81">
        <v>45206</v>
      </c>
      <c r="O20" s="73" t="str">
        <v>Watson &amp; Co.</v>
      </c>
      <c r="P20" s="74" t="str">
        <v>USA</v>
      </c>
      <c r="Q20" s="74" t="str">
        <v>NA</v>
      </c>
      <c r="R20" s="74">
        <v>24000.9</v>
      </c>
      <c r="S20" s="75" t="str">
        <v>Machine Order</v>
      </c>
      <c r="T20" s="74" t="str">
        <v>Sarah Brown</v>
      </c>
      <c r="U20" s="74" t="str">
        <v>USD</v>
      </c>
      <c r="V20">
        <v>1</v>
      </c>
      <c r="W20" t="str">
        <v>No</v>
      </c>
      <c r="X20" t="str">
        <v>New Customer</v>
      </c>
      <c r="Y20">
        <v>1</v>
      </c>
      <c r="AB20" s="81"/>
      <c r="AC20" s="72"/>
      <c r="AD20" s="72"/>
      <c r="AE20" s="72"/>
      <c r="AK20" s="129"/>
      <c r="AL20" s="72"/>
      <c r="AM20" s="130"/>
    </row>
    <row r="21" spans="1:39" ht="15.6" x14ac:dyDescent="0.3">
      <c r="A21" s="80">
        <v>44800</v>
      </c>
      <c r="B21" s="2" t="s">
        <v>58</v>
      </c>
      <c r="C21" s="2" t="s">
        <v>49</v>
      </c>
      <c r="D21" s="2" t="s">
        <v>50</v>
      </c>
      <c r="E21" s="203">
        <v>550000</v>
      </c>
      <c r="F21" s="2" t="s">
        <v>54</v>
      </c>
      <c r="G21" s="2" t="s">
        <v>3</v>
      </c>
      <c r="H21" s="2" t="s">
        <v>52</v>
      </c>
      <c r="I21" s="113">
        <f>IF(Table_5[[#This Row],[Sales Rep]]='For Manage'!$E$7,1,0)</f>
        <v>1</v>
      </c>
      <c r="J21" s="113" t="str">
        <f>IF(OR(Table_5[[#This Row],[Customer Name]]="ABC Manufacturing",Table_5[[#This Row],[Customer Name]]="123 Industries"), "Yes", "No")</f>
        <v>No</v>
      </c>
      <c r="K21" s="113" t="str">
        <f>IF(COUNTIFS(Table_5[Customer Name],B21, Table_5[Order Date], "&gt;="&amp;DATE(2021,1,1), Table_5[Order Date], "&lt;="&amp;DATE(2022,12,31))&gt;0, "Existing Customer", "New Customer")</f>
        <v>Existing Customer</v>
      </c>
      <c r="L21" s="113">
        <f>IF(Table_5[[#This Row],[Country]]='For Manage'!$E$11,1,0)</f>
        <v>1</v>
      </c>
      <c r="M21" s="113"/>
      <c r="N21" s="81">
        <v>45206</v>
      </c>
      <c r="O21" s="73" t="str">
        <v>RST Corporation</v>
      </c>
      <c r="P21" s="74" t="str">
        <v>USA</v>
      </c>
      <c r="Q21" s="74" t="str">
        <v>NA</v>
      </c>
      <c r="R21" s="74">
        <v>350.25</v>
      </c>
      <c r="S21" s="75" t="str">
        <v>Machine Order</v>
      </c>
      <c r="T21" s="74" t="str">
        <v>Sarah Brown</v>
      </c>
      <c r="U21" s="74" t="str">
        <v>USD</v>
      </c>
      <c r="V21">
        <v>1</v>
      </c>
      <c r="W21" t="str">
        <v>No</v>
      </c>
      <c r="X21" t="str">
        <v>Existing Customer</v>
      </c>
      <c r="Y21">
        <v>1</v>
      </c>
      <c r="AB21" s="81"/>
      <c r="AC21" s="72"/>
      <c r="AD21" s="72"/>
      <c r="AE21" s="72"/>
      <c r="AK21" s="129"/>
      <c r="AL21" s="72"/>
      <c r="AM21" s="130"/>
    </row>
    <row r="22" spans="1:39" ht="15.6" x14ac:dyDescent="0.3">
      <c r="A22" s="80">
        <v>44805</v>
      </c>
      <c r="B22" s="2" t="s">
        <v>48</v>
      </c>
      <c r="C22" s="2" t="s">
        <v>49</v>
      </c>
      <c r="D22" s="2" t="s">
        <v>50</v>
      </c>
      <c r="E22" s="203">
        <v>950000</v>
      </c>
      <c r="F22" s="2" t="s">
        <v>56</v>
      </c>
      <c r="G22" s="2" t="s">
        <v>3</v>
      </c>
      <c r="H22" s="2" t="s">
        <v>52</v>
      </c>
      <c r="I22" s="113">
        <f>IF(Table_5[[#This Row],[Sales Rep]]='For Manage'!$E$7,1,0)</f>
        <v>1</v>
      </c>
      <c r="J22" s="113" t="str">
        <f>IF(OR(Table_5[[#This Row],[Customer Name]]="ABC Manufacturing",Table_5[[#This Row],[Customer Name]]="123 Industries"), "Yes", "No")</f>
        <v>Yes</v>
      </c>
      <c r="K22" s="113" t="str">
        <f>IF(COUNTIFS(Table_5[Customer Name],B22, Table_5[Order Date], "&gt;="&amp;DATE(2021,1,1), Table_5[Order Date], "&lt;="&amp;DATE(2022,12,31))&gt;0, "Existing Customer", "New Customer")</f>
        <v>Existing Customer</v>
      </c>
      <c r="L22" s="113">
        <f>IF(Table_5[[#This Row],[Country]]='For Manage'!$E$11,1,0)</f>
        <v>1</v>
      </c>
      <c r="M22" s="113"/>
      <c r="N22" s="81">
        <v>45171</v>
      </c>
      <c r="O22" s="73" t="str">
        <v>LMN Enterprises</v>
      </c>
      <c r="P22" s="74" t="str">
        <v>USA</v>
      </c>
      <c r="Q22" s="74" t="str">
        <v>NA</v>
      </c>
      <c r="R22" s="74">
        <v>650000</v>
      </c>
      <c r="S22" s="75" t="str">
        <v>Service</v>
      </c>
      <c r="T22" s="74" t="str">
        <v>Sarah Brown</v>
      </c>
      <c r="U22" s="74" t="str">
        <v>USD</v>
      </c>
      <c r="V22">
        <v>1</v>
      </c>
      <c r="W22" t="str">
        <v>No</v>
      </c>
      <c r="X22" t="str">
        <v>Existing Customer</v>
      </c>
      <c r="Y22">
        <v>1</v>
      </c>
      <c r="AB22" s="81"/>
      <c r="AC22" s="72"/>
      <c r="AD22" s="72"/>
      <c r="AE22" s="72"/>
      <c r="AK22" s="129"/>
      <c r="AL22" s="72"/>
      <c r="AM22" s="130"/>
    </row>
    <row r="23" spans="1:39" ht="15.6" x14ac:dyDescent="0.3">
      <c r="A23" s="80">
        <v>44840</v>
      </c>
      <c r="B23" s="2" t="s">
        <v>53</v>
      </c>
      <c r="C23" s="2" t="s">
        <v>49</v>
      </c>
      <c r="D23" s="2" t="s">
        <v>50</v>
      </c>
      <c r="E23" s="203">
        <v>250000</v>
      </c>
      <c r="F23" s="2" t="s">
        <v>51</v>
      </c>
      <c r="G23" s="2" t="s">
        <v>3</v>
      </c>
      <c r="H23" s="2" t="s">
        <v>52</v>
      </c>
      <c r="I23" s="113">
        <f>IF(Table_5[[#This Row],[Sales Rep]]='For Manage'!$E$7,1,0)</f>
        <v>1</v>
      </c>
      <c r="J23" s="113" t="str">
        <f>IF(OR(Table_5[[#This Row],[Customer Name]]="ABC Manufacturing",Table_5[[#This Row],[Customer Name]]="123 Industries"), "Yes", "No")</f>
        <v>No</v>
      </c>
      <c r="K23" s="113" t="str">
        <f>IF(COUNTIFS(Table_5[Customer Name],B23, Table_5[Order Date], "&gt;="&amp;DATE(2021,1,1), Table_5[Order Date], "&lt;="&amp;DATE(2022,12,31))&gt;0, "Existing Customer", "New Customer")</f>
        <v>Existing Customer</v>
      </c>
      <c r="L23" s="113">
        <f>IF(Table_5[[#This Row],[Country]]='For Manage'!$E$11,1,0)</f>
        <v>1</v>
      </c>
      <c r="M23" s="113"/>
      <c r="N23" s="81">
        <v>45171</v>
      </c>
      <c r="O23" s="73" t="str">
        <v>Cole Co.</v>
      </c>
      <c r="P23" s="74" t="str">
        <v>USA</v>
      </c>
      <c r="Q23" s="74" t="str">
        <v>NA</v>
      </c>
      <c r="R23" s="74">
        <v>650.25</v>
      </c>
      <c r="S23" s="75" t="str">
        <v>Service</v>
      </c>
      <c r="T23" s="74" t="str">
        <v>Sarah Brown</v>
      </c>
      <c r="U23" s="74" t="str">
        <v>USD</v>
      </c>
      <c r="V23">
        <v>1</v>
      </c>
      <c r="W23" t="str">
        <v>No</v>
      </c>
      <c r="X23" t="str">
        <v>New Customer</v>
      </c>
      <c r="Y23">
        <v>1</v>
      </c>
      <c r="AB23" s="81"/>
      <c r="AC23" s="72"/>
      <c r="AD23" s="72"/>
      <c r="AE23" s="72"/>
      <c r="AK23" s="129"/>
      <c r="AL23" s="72"/>
      <c r="AM23" s="130"/>
    </row>
    <row r="24" spans="1:39" ht="15.6" x14ac:dyDescent="0.3">
      <c r="A24" s="80">
        <v>44876</v>
      </c>
      <c r="B24" s="2" t="s">
        <v>55</v>
      </c>
      <c r="C24" s="2" t="s">
        <v>49</v>
      </c>
      <c r="D24" s="2" t="s">
        <v>50</v>
      </c>
      <c r="E24" s="203">
        <v>750000</v>
      </c>
      <c r="F24" s="2" t="s">
        <v>54</v>
      </c>
      <c r="G24" s="2" t="s">
        <v>3</v>
      </c>
      <c r="H24" s="2" t="s">
        <v>52</v>
      </c>
      <c r="I24" s="113">
        <f>IF(Table_5[[#This Row],[Sales Rep]]='For Manage'!$E$7,1,0)</f>
        <v>1</v>
      </c>
      <c r="J24" s="113" t="str">
        <f>IF(OR(Table_5[[#This Row],[Customer Name]]="ABC Manufacturing",Table_5[[#This Row],[Customer Name]]="123 Industries"), "Yes", "No")</f>
        <v>No</v>
      </c>
      <c r="K24" s="113" t="str">
        <f>IF(COUNTIFS(Table_5[Customer Name],B24, Table_5[Order Date], "&gt;="&amp;DATE(2021,1,1), Table_5[Order Date], "&lt;="&amp;DATE(2022,12,31))&gt;0, "Existing Customer", "New Customer")</f>
        <v>Existing Customer</v>
      </c>
      <c r="L24" s="113">
        <f>IF(Table_5[[#This Row],[Country]]='For Manage'!$E$11,1,0)</f>
        <v>1</v>
      </c>
      <c r="M24" s="113"/>
      <c r="N24" s="81">
        <v>45171</v>
      </c>
      <c r="O24" s="73" t="str">
        <v>Davis &amp; Sons</v>
      </c>
      <c r="P24" s="74" t="str">
        <v>USA</v>
      </c>
      <c r="Q24" s="74" t="str">
        <v>NA</v>
      </c>
      <c r="R24" s="74">
        <v>16500.5</v>
      </c>
      <c r="S24" s="75" t="str">
        <v>Service</v>
      </c>
      <c r="T24" s="74" t="str">
        <v>Sarah Brown</v>
      </c>
      <c r="U24" s="74" t="str">
        <v>USD</v>
      </c>
      <c r="V24">
        <v>1</v>
      </c>
      <c r="W24" t="str">
        <v>No</v>
      </c>
      <c r="X24" t="str">
        <v>New Customer</v>
      </c>
      <c r="Y24">
        <v>1</v>
      </c>
      <c r="AB24" s="81"/>
      <c r="AC24" s="72"/>
      <c r="AD24" s="72"/>
      <c r="AE24" s="72"/>
      <c r="AK24" s="129"/>
      <c r="AL24" s="72"/>
      <c r="AM24" s="130"/>
    </row>
    <row r="25" spans="1:39" ht="15.6" x14ac:dyDescent="0.3">
      <c r="A25" s="80">
        <v>44911</v>
      </c>
      <c r="B25" s="2" t="s">
        <v>57</v>
      </c>
      <c r="C25" s="2" t="s">
        <v>49</v>
      </c>
      <c r="D25" s="2" t="s">
        <v>50</v>
      </c>
      <c r="E25" s="203">
        <v>650000</v>
      </c>
      <c r="F25" s="2" t="s">
        <v>56</v>
      </c>
      <c r="G25" s="2" t="s">
        <v>3</v>
      </c>
      <c r="H25" s="2" t="s">
        <v>52</v>
      </c>
      <c r="I25" s="113">
        <f>IF(Table_5[[#This Row],[Sales Rep]]='For Manage'!$E$7,1,0)</f>
        <v>1</v>
      </c>
      <c r="J25" s="113" t="str">
        <f>IF(OR(Table_5[[#This Row],[Customer Name]]="ABC Manufacturing",Table_5[[#This Row],[Customer Name]]="123 Industries"), "Yes", "No")</f>
        <v>Yes</v>
      </c>
      <c r="K25" s="113" t="str">
        <f>IF(COUNTIFS(Table_5[Customer Name],B25, Table_5[Order Date], "&gt;="&amp;DATE(2021,1,1), Table_5[Order Date], "&lt;="&amp;DATE(2022,12,31))&gt;0, "Existing Customer", "New Customer")</f>
        <v>Existing Customer</v>
      </c>
      <c r="L25" s="113">
        <f>IF(Table_5[[#This Row],[Country]]='For Manage'!$E$11,1,0)</f>
        <v>1</v>
      </c>
      <c r="M25" s="113"/>
      <c r="N25" s="81">
        <v>45171</v>
      </c>
      <c r="O25" s="73" t="str">
        <v>Hill Group</v>
      </c>
      <c r="P25" s="74" t="str">
        <v>USA</v>
      </c>
      <c r="Q25" s="74" t="str">
        <v>NA</v>
      </c>
      <c r="R25" s="74">
        <v>650.45000000000005</v>
      </c>
      <c r="S25" s="75" t="str">
        <v>Service</v>
      </c>
      <c r="T25" s="74" t="str">
        <v>Sarah Brown</v>
      </c>
      <c r="U25" s="74" t="str">
        <v>USD</v>
      </c>
      <c r="V25">
        <v>1</v>
      </c>
      <c r="W25" t="str">
        <v>No</v>
      </c>
      <c r="X25" t="str">
        <v>Existing Customer</v>
      </c>
      <c r="Y25">
        <v>1</v>
      </c>
      <c r="AB25" s="81"/>
      <c r="AC25" s="72"/>
      <c r="AD25" s="72"/>
      <c r="AE25" s="72"/>
      <c r="AK25" s="129"/>
      <c r="AL25" s="72"/>
      <c r="AM25" s="130"/>
    </row>
    <row r="26" spans="1:39" ht="15.6" x14ac:dyDescent="0.3">
      <c r="A26" s="80">
        <v>44947</v>
      </c>
      <c r="B26" s="2" t="s">
        <v>58</v>
      </c>
      <c r="C26" s="2" t="s">
        <v>49</v>
      </c>
      <c r="D26" s="2" t="s">
        <v>50</v>
      </c>
      <c r="E26" s="203">
        <v>350000</v>
      </c>
      <c r="F26" s="2" t="s">
        <v>51</v>
      </c>
      <c r="G26" s="2" t="s">
        <v>3</v>
      </c>
      <c r="H26" s="2" t="s">
        <v>52</v>
      </c>
      <c r="I26" s="113">
        <f>IF(Table_5[[#This Row],[Sales Rep]]='For Manage'!$E$7,1,0)</f>
        <v>1</v>
      </c>
      <c r="J26" s="113" t="str">
        <f>IF(OR(Table_5[[#This Row],[Customer Name]]="ABC Manufacturing",Table_5[[#This Row],[Customer Name]]="123 Industries"), "Yes", "No")</f>
        <v>No</v>
      </c>
      <c r="K26" s="113" t="str">
        <f>IF(COUNTIFS(Table_5[Customer Name],B26, Table_5[Order Date], "&gt;="&amp;DATE(2021,1,1), Table_5[Order Date], "&lt;="&amp;DATE(2022,12,31))&gt;0, "Existing Customer", "New Customer")</f>
        <v>Existing Customer</v>
      </c>
      <c r="L26" s="113">
        <f>IF(Table_5[[#This Row],[Country]]='For Manage'!$E$11,1,0)</f>
        <v>1</v>
      </c>
      <c r="M26" s="113"/>
      <c r="N26" s="81">
        <v>45171</v>
      </c>
      <c r="O26" s="73" t="str">
        <v>Hill Group</v>
      </c>
      <c r="P26" s="74" t="str">
        <v>USA</v>
      </c>
      <c r="Q26" s="74" t="str">
        <v>NA</v>
      </c>
      <c r="R26" s="74">
        <v>29000.45</v>
      </c>
      <c r="S26" s="75" t="str">
        <v>Service</v>
      </c>
      <c r="T26" s="74" t="str">
        <v>Sarah Brown</v>
      </c>
      <c r="U26" s="74" t="str">
        <v>USD</v>
      </c>
      <c r="V26">
        <v>1</v>
      </c>
      <c r="W26" t="str">
        <v>No</v>
      </c>
      <c r="X26" t="str">
        <v>Existing Customer</v>
      </c>
      <c r="Y26">
        <v>1</v>
      </c>
      <c r="AB26" s="81"/>
      <c r="AC26" s="72"/>
      <c r="AD26" s="72"/>
      <c r="AE26" s="72"/>
      <c r="AK26" s="129"/>
      <c r="AL26" s="72"/>
      <c r="AM26" s="130"/>
    </row>
    <row r="27" spans="1:39" ht="15.6" x14ac:dyDescent="0.3">
      <c r="A27" s="80">
        <v>44983</v>
      </c>
      <c r="B27" s="2" t="s">
        <v>48</v>
      </c>
      <c r="C27" s="2" t="s">
        <v>49</v>
      </c>
      <c r="D27" s="2" t="s">
        <v>50</v>
      </c>
      <c r="E27" s="203">
        <v>150000</v>
      </c>
      <c r="F27" s="2" t="s">
        <v>54</v>
      </c>
      <c r="G27" s="2" t="s">
        <v>3</v>
      </c>
      <c r="H27" s="2" t="s">
        <v>52</v>
      </c>
      <c r="I27" s="113">
        <f>IF(Table_5[[#This Row],[Sales Rep]]='For Manage'!$E$7,1,0)</f>
        <v>1</v>
      </c>
      <c r="J27" s="113" t="str">
        <f>IF(OR(Table_5[[#This Row],[Customer Name]]="ABC Manufacturing",Table_5[[#This Row],[Customer Name]]="123 Industries"), "Yes", "No")</f>
        <v>Yes</v>
      </c>
      <c r="K27" s="113" t="str">
        <f>IF(COUNTIFS(Table_5[Customer Name],B27, Table_5[Order Date], "&gt;="&amp;DATE(2021,1,1), Table_5[Order Date], "&lt;="&amp;DATE(2022,12,31))&gt;0, "Existing Customer", "New Customer")</f>
        <v>Existing Customer</v>
      </c>
      <c r="L27" s="113">
        <f>IF(Table_5[[#This Row],[Country]]='For Manage'!$E$11,1,0)</f>
        <v>1</v>
      </c>
      <c r="M27" s="113"/>
      <c r="N27" s="81">
        <v>45171</v>
      </c>
      <c r="O27" s="73" t="str">
        <v>PQR Inc.</v>
      </c>
      <c r="P27" s="74" t="str">
        <v>USA</v>
      </c>
      <c r="Q27" s="74" t="str">
        <v>NA</v>
      </c>
      <c r="R27" s="74">
        <v>650.95000000000005</v>
      </c>
      <c r="S27" s="75" t="str">
        <v>Service</v>
      </c>
      <c r="T27" s="74" t="str">
        <v>Sarah Brown</v>
      </c>
      <c r="U27" s="74" t="str">
        <v>USD</v>
      </c>
      <c r="V27">
        <v>1</v>
      </c>
      <c r="W27" t="str">
        <v>No</v>
      </c>
      <c r="X27" t="str">
        <v>Existing Customer</v>
      </c>
      <c r="Y27">
        <v>1</v>
      </c>
      <c r="AB27" s="81"/>
      <c r="AC27" s="72"/>
      <c r="AD27" s="72"/>
      <c r="AE27" s="72"/>
      <c r="AK27" s="129"/>
      <c r="AL27" s="72"/>
      <c r="AM27" s="130"/>
    </row>
    <row r="28" spans="1:39" ht="15.6" x14ac:dyDescent="0.3">
      <c r="A28" s="80">
        <v>44988</v>
      </c>
      <c r="B28" s="2" t="s">
        <v>53</v>
      </c>
      <c r="C28" s="2" t="s">
        <v>49</v>
      </c>
      <c r="D28" s="2" t="s">
        <v>50</v>
      </c>
      <c r="E28" s="203">
        <v>850000</v>
      </c>
      <c r="F28" s="2" t="s">
        <v>56</v>
      </c>
      <c r="G28" s="2" t="s">
        <v>3</v>
      </c>
      <c r="H28" s="2" t="s">
        <v>52</v>
      </c>
      <c r="I28" s="113">
        <f>IF(Table_5[[#This Row],[Sales Rep]]='For Manage'!$E$7,1,0)</f>
        <v>1</v>
      </c>
      <c r="J28" s="113" t="str">
        <f>IF(OR(Table_5[[#This Row],[Customer Name]]="ABC Manufacturing",Table_5[[#This Row],[Customer Name]]="123 Industries"), "Yes", "No")</f>
        <v>No</v>
      </c>
      <c r="K28" s="113" t="str">
        <f>IF(COUNTIFS(Table_5[Customer Name],B28, Table_5[Order Date], "&gt;="&amp;DATE(2021,1,1), Table_5[Order Date], "&lt;="&amp;DATE(2022,12,31))&gt;0, "Existing Customer", "New Customer")</f>
        <v>Existing Customer</v>
      </c>
      <c r="L28" s="113">
        <f>IF(Table_5[[#This Row],[Country]]='For Manage'!$E$11,1,0)</f>
        <v>1</v>
      </c>
      <c r="M28" s="113"/>
      <c r="N28" s="81">
        <v>45166</v>
      </c>
      <c r="O28" s="73" t="str">
        <v>XYZ Corporation</v>
      </c>
      <c r="P28" s="74" t="str">
        <v>USA</v>
      </c>
      <c r="Q28" s="74" t="str">
        <v>NA</v>
      </c>
      <c r="R28" s="74">
        <v>750000</v>
      </c>
      <c r="S28" s="75" t="str">
        <v>Normal Order</v>
      </c>
      <c r="T28" s="74" t="str">
        <v>Sarah Brown</v>
      </c>
      <c r="U28" s="74" t="str">
        <v>USD</v>
      </c>
      <c r="V28">
        <v>1</v>
      </c>
      <c r="W28" t="str">
        <v>No</v>
      </c>
      <c r="X28" t="str">
        <v>Existing Customer</v>
      </c>
      <c r="Y28">
        <v>1</v>
      </c>
      <c r="AB28" s="81"/>
      <c r="AC28" s="72"/>
      <c r="AD28" s="72"/>
      <c r="AE28" s="72"/>
      <c r="AK28" s="129"/>
      <c r="AL28" s="72"/>
      <c r="AM28" s="130"/>
    </row>
    <row r="29" spans="1:39" ht="15.6" x14ac:dyDescent="0.3">
      <c r="A29" s="80">
        <v>45024</v>
      </c>
      <c r="B29" s="2" t="s">
        <v>55</v>
      </c>
      <c r="C29" s="2" t="s">
        <v>49</v>
      </c>
      <c r="D29" s="2" t="s">
        <v>50</v>
      </c>
      <c r="E29" s="203">
        <v>450000</v>
      </c>
      <c r="F29" s="2" t="s">
        <v>51</v>
      </c>
      <c r="G29" s="2" t="s">
        <v>3</v>
      </c>
      <c r="H29" s="2" t="s">
        <v>52</v>
      </c>
      <c r="I29" s="113">
        <f>IF(Table_5[[#This Row],[Sales Rep]]='For Manage'!$E$7,1,0)</f>
        <v>1</v>
      </c>
      <c r="J29" s="113" t="str">
        <f>IF(OR(Table_5[[#This Row],[Customer Name]]="ABC Manufacturing",Table_5[[#This Row],[Customer Name]]="123 Industries"), "Yes", "No")</f>
        <v>No</v>
      </c>
      <c r="K29" s="113" t="str">
        <f>IF(COUNTIFS(Table_5[Customer Name],B29, Table_5[Order Date], "&gt;="&amp;DATE(2021,1,1), Table_5[Order Date], "&lt;="&amp;DATE(2022,12,31))&gt;0, "Existing Customer", "New Customer")</f>
        <v>Existing Customer</v>
      </c>
      <c r="L29" s="113">
        <f>IF(Table_5[[#This Row],[Country]]='For Manage'!$E$11,1,0)</f>
        <v>1</v>
      </c>
      <c r="M29" s="113"/>
      <c r="N29" s="81">
        <v>45166</v>
      </c>
      <c r="O29" s="73" t="str">
        <v>Hill Group</v>
      </c>
      <c r="P29" s="74" t="str">
        <v>USA</v>
      </c>
      <c r="Q29" s="74" t="str">
        <v>NA</v>
      </c>
      <c r="R29" s="74">
        <v>750.6</v>
      </c>
      <c r="S29" s="75" t="str">
        <v>Normal Order</v>
      </c>
      <c r="T29" s="74" t="str">
        <v>Sarah Brown</v>
      </c>
      <c r="U29" s="74" t="str">
        <v>USD</v>
      </c>
      <c r="V29">
        <v>1</v>
      </c>
      <c r="W29" t="str">
        <v>No</v>
      </c>
      <c r="X29" t="str">
        <v>Existing Customer</v>
      </c>
      <c r="Y29">
        <v>1</v>
      </c>
      <c r="AB29" s="81"/>
      <c r="AC29" s="72"/>
      <c r="AD29" s="72"/>
      <c r="AE29" s="72"/>
      <c r="AK29" s="129"/>
      <c r="AL29" s="72"/>
      <c r="AM29" s="130"/>
    </row>
    <row r="30" spans="1:39" ht="15.6" x14ac:dyDescent="0.3">
      <c r="A30" s="80">
        <v>45059</v>
      </c>
      <c r="B30" s="2" t="s">
        <v>57</v>
      </c>
      <c r="C30" s="2" t="s">
        <v>49</v>
      </c>
      <c r="D30" s="2" t="s">
        <v>50</v>
      </c>
      <c r="E30" s="203">
        <v>550000</v>
      </c>
      <c r="F30" s="2" t="s">
        <v>54</v>
      </c>
      <c r="G30" s="2" t="s">
        <v>3</v>
      </c>
      <c r="H30" s="2" t="s">
        <v>52</v>
      </c>
      <c r="I30" s="113">
        <f>IF(Table_5[[#This Row],[Sales Rep]]='For Manage'!$E$7,1,0)</f>
        <v>1</v>
      </c>
      <c r="J30" s="113" t="str">
        <f>IF(OR(Table_5[[#This Row],[Customer Name]]="ABC Manufacturing",Table_5[[#This Row],[Customer Name]]="123 Industries"), "Yes", "No")</f>
        <v>Yes</v>
      </c>
      <c r="K30" s="113" t="str">
        <f>IF(COUNTIFS(Table_5[Customer Name],B30, Table_5[Order Date], "&gt;="&amp;DATE(2021,1,1), Table_5[Order Date], "&lt;="&amp;DATE(2022,12,31))&gt;0, "Existing Customer", "New Customer")</f>
        <v>Existing Customer</v>
      </c>
      <c r="L30" s="113">
        <f>IF(Table_5[[#This Row],[Country]]='For Manage'!$E$11,1,0)</f>
        <v>1</v>
      </c>
      <c r="M30" s="113"/>
      <c r="N30" s="81">
        <v>45166</v>
      </c>
      <c r="O30" s="73" t="str">
        <v>Miller Incorporated</v>
      </c>
      <c r="P30" s="74" t="str">
        <v>USA</v>
      </c>
      <c r="Q30" s="74" t="str">
        <v>NA</v>
      </c>
      <c r="R30" s="74">
        <v>17500.75</v>
      </c>
      <c r="S30" s="75" t="str">
        <v>Normal Order</v>
      </c>
      <c r="T30" s="74" t="str">
        <v>Sarah Brown</v>
      </c>
      <c r="U30" s="74" t="str">
        <v>USD</v>
      </c>
      <c r="V30">
        <v>1</v>
      </c>
      <c r="W30" t="str">
        <v>No</v>
      </c>
      <c r="X30" t="str">
        <v>New Customer</v>
      </c>
      <c r="Y30">
        <v>1</v>
      </c>
      <c r="AB30" s="81"/>
      <c r="AC30" s="72"/>
      <c r="AD30" s="72"/>
      <c r="AE30" s="72"/>
      <c r="AK30" s="129"/>
      <c r="AL30" s="72"/>
      <c r="AM30" s="130"/>
    </row>
    <row r="31" spans="1:39" ht="15.6" x14ac:dyDescent="0.3">
      <c r="A31" s="80">
        <v>45095</v>
      </c>
      <c r="B31" s="2" t="s">
        <v>58</v>
      </c>
      <c r="C31" s="2" t="s">
        <v>49</v>
      </c>
      <c r="D31" s="2" t="s">
        <v>50</v>
      </c>
      <c r="E31" s="203">
        <v>950000</v>
      </c>
      <c r="F31" s="2" t="s">
        <v>56</v>
      </c>
      <c r="G31" s="2" t="s">
        <v>3</v>
      </c>
      <c r="H31" s="2" t="s">
        <v>52</v>
      </c>
      <c r="I31" s="113">
        <f>IF(Table_5[[#This Row],[Sales Rep]]='For Manage'!$E$7,1,0)</f>
        <v>1</v>
      </c>
      <c r="J31" s="113" t="str">
        <f>IF(OR(Table_5[[#This Row],[Customer Name]]="ABC Manufacturing",Table_5[[#This Row],[Customer Name]]="123 Industries"), "Yes", "No")</f>
        <v>No</v>
      </c>
      <c r="K31" s="113" t="str">
        <f>IF(COUNTIFS(Table_5[Customer Name],B31, Table_5[Order Date], "&gt;="&amp;DATE(2021,1,1), Table_5[Order Date], "&lt;="&amp;DATE(2022,12,31))&gt;0, "Existing Customer", "New Customer")</f>
        <v>Existing Customer</v>
      </c>
      <c r="L31" s="113">
        <f>IF(Table_5[[#This Row],[Country]]='For Manage'!$E$11,1,0)</f>
        <v>1</v>
      </c>
      <c r="M31" s="113"/>
      <c r="N31" s="81">
        <v>45166</v>
      </c>
      <c r="O31" s="73" t="str">
        <v>Price Group</v>
      </c>
      <c r="P31" s="74" t="str">
        <v>USA</v>
      </c>
      <c r="Q31" s="74" t="str">
        <v>NA</v>
      </c>
      <c r="R31" s="74">
        <v>750.2</v>
      </c>
      <c r="S31" s="75" t="str">
        <v>Normal Order</v>
      </c>
      <c r="T31" s="74" t="str">
        <v>Sarah Brown</v>
      </c>
      <c r="U31" s="74" t="str">
        <v>USD</v>
      </c>
      <c r="V31">
        <v>1</v>
      </c>
      <c r="W31" t="str">
        <v>No</v>
      </c>
      <c r="X31" t="str">
        <v>New Customer</v>
      </c>
      <c r="Y31">
        <v>1</v>
      </c>
      <c r="AB31" s="81"/>
      <c r="AC31" s="72"/>
      <c r="AD31" s="72"/>
      <c r="AE31" s="72"/>
      <c r="AK31" s="129"/>
      <c r="AL31" s="72"/>
      <c r="AM31" s="130"/>
    </row>
    <row r="32" spans="1:39" ht="15.6" x14ac:dyDescent="0.3">
      <c r="A32" s="80">
        <v>45130</v>
      </c>
      <c r="B32" s="2" t="s">
        <v>48</v>
      </c>
      <c r="C32" s="2" t="s">
        <v>49</v>
      </c>
      <c r="D32" s="2" t="s">
        <v>50</v>
      </c>
      <c r="E32" s="203">
        <v>250000</v>
      </c>
      <c r="F32" s="2" t="s">
        <v>51</v>
      </c>
      <c r="G32" s="2" t="s">
        <v>3</v>
      </c>
      <c r="H32" s="2" t="s">
        <v>52</v>
      </c>
      <c r="I32" s="113">
        <f>IF(Table_5[[#This Row],[Sales Rep]]='For Manage'!$E$7,1,0)</f>
        <v>1</v>
      </c>
      <c r="J32" s="113" t="str">
        <f>IF(OR(Table_5[[#This Row],[Customer Name]]="ABC Manufacturing",Table_5[[#This Row],[Customer Name]]="123 Industries"), "Yes", "No")</f>
        <v>Yes</v>
      </c>
      <c r="K32" s="113" t="str">
        <f>IF(COUNTIFS(Table_5[Customer Name],B32, Table_5[Order Date], "&gt;="&amp;DATE(2021,1,1), Table_5[Order Date], "&lt;="&amp;DATE(2022,12,31))&gt;0, "Existing Customer", "New Customer")</f>
        <v>Existing Customer</v>
      </c>
      <c r="L32" s="113">
        <f>IF(Table_5[[#This Row],[Country]]='For Manage'!$E$11,1,0)</f>
        <v>1</v>
      </c>
      <c r="M32" s="113"/>
      <c r="N32" s="81">
        <v>45166</v>
      </c>
      <c r="O32" s="73" t="str">
        <v>Price Group</v>
      </c>
      <c r="P32" s="74" t="str">
        <v>USA</v>
      </c>
      <c r="Q32" s="74" t="str">
        <v>NA</v>
      </c>
      <c r="R32" s="74">
        <v>27000.2</v>
      </c>
      <c r="S32" s="75" t="str">
        <v>Normal Order</v>
      </c>
      <c r="T32" s="74" t="str">
        <v>Sarah Brown</v>
      </c>
      <c r="U32" s="74" t="str">
        <v>USD</v>
      </c>
      <c r="V32">
        <v>1</v>
      </c>
      <c r="W32" t="str">
        <v>No</v>
      </c>
      <c r="X32" t="str">
        <v>New Customer</v>
      </c>
      <c r="Y32">
        <v>1</v>
      </c>
      <c r="AB32" s="81"/>
      <c r="AC32" s="72"/>
      <c r="AD32" s="72"/>
      <c r="AE32" s="72"/>
      <c r="AK32" s="129"/>
      <c r="AL32" s="72"/>
      <c r="AM32" s="130"/>
    </row>
    <row r="33" spans="1:39" ht="15.6" x14ac:dyDescent="0.3">
      <c r="A33" s="80">
        <v>45166</v>
      </c>
      <c r="B33" s="2" t="s">
        <v>53</v>
      </c>
      <c r="C33" s="2" t="s">
        <v>49</v>
      </c>
      <c r="D33" s="2" t="s">
        <v>50</v>
      </c>
      <c r="E33" s="203">
        <v>750000</v>
      </c>
      <c r="F33" s="2" t="s">
        <v>54</v>
      </c>
      <c r="G33" s="2" t="s">
        <v>3</v>
      </c>
      <c r="H33" s="2" t="s">
        <v>52</v>
      </c>
      <c r="I33" s="113">
        <f>IF(Table_5[[#This Row],[Sales Rep]]='For Manage'!$E$7,1,0)</f>
        <v>1</v>
      </c>
      <c r="J33" s="113" t="str">
        <f>IF(OR(Table_5[[#This Row],[Customer Name]]="ABC Manufacturing",Table_5[[#This Row],[Customer Name]]="123 Industries"), "Yes", "No")</f>
        <v>No</v>
      </c>
      <c r="K33" s="113" t="str">
        <f>IF(COUNTIFS(Table_5[Customer Name],B33, Table_5[Order Date], "&gt;="&amp;DATE(2021,1,1), Table_5[Order Date], "&lt;="&amp;DATE(2022,12,31))&gt;0, "Existing Customer", "New Customer")</f>
        <v>Existing Customer</v>
      </c>
      <c r="L33" s="113">
        <f>IF(Table_5[[#This Row],[Country]]='For Manage'!$E$11,1,0)</f>
        <v>1</v>
      </c>
      <c r="M33" s="113"/>
      <c r="N33" s="81">
        <v>45166</v>
      </c>
      <c r="O33" s="73" t="str">
        <v>LMN Enterprises</v>
      </c>
      <c r="P33" s="74" t="str">
        <v>USA</v>
      </c>
      <c r="Q33" s="74" t="str">
        <v>NA</v>
      </c>
      <c r="R33" s="74">
        <v>750.9</v>
      </c>
      <c r="S33" s="75" t="str">
        <v>Normal Order</v>
      </c>
      <c r="T33" s="74" t="str">
        <v>Sarah Brown</v>
      </c>
      <c r="U33" s="74" t="str">
        <v>USD</v>
      </c>
      <c r="V33">
        <v>1</v>
      </c>
      <c r="W33" t="str">
        <v>No</v>
      </c>
      <c r="X33" t="str">
        <v>Existing Customer</v>
      </c>
      <c r="Y33">
        <v>1</v>
      </c>
      <c r="AB33" s="81"/>
      <c r="AC33" s="72"/>
      <c r="AD33" s="72"/>
      <c r="AE33" s="72"/>
      <c r="AK33" s="129"/>
      <c r="AL33" s="72"/>
      <c r="AM33" s="130"/>
    </row>
    <row r="34" spans="1:39" ht="15.6" x14ac:dyDescent="0.3">
      <c r="A34" s="80">
        <v>45171</v>
      </c>
      <c r="B34" s="2" t="s">
        <v>55</v>
      </c>
      <c r="C34" s="2" t="s">
        <v>49</v>
      </c>
      <c r="D34" s="2" t="s">
        <v>50</v>
      </c>
      <c r="E34" s="203">
        <v>650000</v>
      </c>
      <c r="F34" s="2" t="s">
        <v>56</v>
      </c>
      <c r="G34" s="2" t="s">
        <v>3</v>
      </c>
      <c r="H34" s="2" t="s">
        <v>52</v>
      </c>
      <c r="I34" s="113">
        <f>IF(Table_5[[#This Row],[Sales Rep]]='For Manage'!$E$7,1,0)</f>
        <v>1</v>
      </c>
      <c r="J34" s="113" t="str">
        <f>IF(OR(Table_5[[#This Row],[Customer Name]]="ABC Manufacturing",Table_5[[#This Row],[Customer Name]]="123 Industries"), "Yes", "No")</f>
        <v>No</v>
      </c>
      <c r="K34" s="113" t="str">
        <f>IF(COUNTIFS(Table_5[Customer Name],B34, Table_5[Order Date], "&gt;="&amp;DATE(2021,1,1), Table_5[Order Date], "&lt;="&amp;DATE(2022,12,31))&gt;0, "Existing Customer", "New Customer")</f>
        <v>Existing Customer</v>
      </c>
      <c r="L34" s="113">
        <f>IF(Table_5[[#This Row],[Country]]='For Manage'!$E$11,1,0)</f>
        <v>1</v>
      </c>
      <c r="M34" s="113"/>
      <c r="N34" s="81">
        <v>45130</v>
      </c>
      <c r="O34" s="73" t="str">
        <v>ABC Manufacturing</v>
      </c>
      <c r="P34" s="74" t="str">
        <v>USA</v>
      </c>
      <c r="Q34" s="74" t="str">
        <v>NA</v>
      </c>
      <c r="R34" s="74">
        <v>250000</v>
      </c>
      <c r="S34" s="75" t="str">
        <v>Machine Order</v>
      </c>
      <c r="T34" s="74" t="str">
        <v>Sarah Brown</v>
      </c>
      <c r="U34" s="74" t="str">
        <v>USD</v>
      </c>
      <c r="V34">
        <v>1</v>
      </c>
      <c r="W34" t="str">
        <v>Yes</v>
      </c>
      <c r="X34" t="str">
        <v>Existing Customer</v>
      </c>
      <c r="Y34">
        <v>1</v>
      </c>
      <c r="AB34" s="81"/>
      <c r="AC34" s="72"/>
      <c r="AD34" s="72"/>
      <c r="AE34" s="72"/>
      <c r="AK34" s="129"/>
      <c r="AL34" s="72"/>
      <c r="AM34" s="130"/>
    </row>
    <row r="35" spans="1:39" ht="15.6" x14ac:dyDescent="0.3">
      <c r="A35" s="80">
        <v>45206</v>
      </c>
      <c r="B35" s="2" t="s">
        <v>57</v>
      </c>
      <c r="C35" s="2" t="s">
        <v>49</v>
      </c>
      <c r="D35" s="2" t="s">
        <v>50</v>
      </c>
      <c r="E35" s="203">
        <v>350000</v>
      </c>
      <c r="F35" s="2" t="s">
        <v>51</v>
      </c>
      <c r="G35" s="2" t="s">
        <v>3</v>
      </c>
      <c r="H35" s="2" t="s">
        <v>52</v>
      </c>
      <c r="I35" s="113">
        <f>IF(Table_5[[#This Row],[Sales Rep]]='For Manage'!$E$7,1,0)</f>
        <v>1</v>
      </c>
      <c r="J35" s="113" t="str">
        <f>IF(OR(Table_5[[#This Row],[Customer Name]]="ABC Manufacturing",Table_5[[#This Row],[Customer Name]]="123 Industries"), "Yes", "No")</f>
        <v>Yes</v>
      </c>
      <c r="K35" s="113" t="str">
        <f>IF(COUNTIFS(Table_5[Customer Name],B35, Table_5[Order Date], "&gt;="&amp;DATE(2021,1,1), Table_5[Order Date], "&lt;="&amp;DATE(2022,12,31))&gt;0, "Existing Customer", "New Customer")</f>
        <v>Existing Customer</v>
      </c>
      <c r="L35" s="113">
        <f>IF(Table_5[[#This Row],[Country]]='For Manage'!$E$11,1,0)</f>
        <v>1</v>
      </c>
      <c r="M35" s="113"/>
      <c r="N35" s="81">
        <v>45130</v>
      </c>
      <c r="O35" s="73" t="str">
        <v>Long Enterprises</v>
      </c>
      <c r="P35" s="74" t="str">
        <v>USA</v>
      </c>
      <c r="Q35" s="74" t="str">
        <v>NA</v>
      </c>
      <c r="R35" s="74">
        <v>250.5</v>
      </c>
      <c r="S35" s="75" t="str">
        <v>Machine Order</v>
      </c>
      <c r="T35" s="74" t="str">
        <v>Sarah Brown</v>
      </c>
      <c r="U35" s="74" t="str">
        <v>USD</v>
      </c>
      <c r="V35">
        <v>1</v>
      </c>
      <c r="W35" t="str">
        <v>No</v>
      </c>
      <c r="X35" t="str">
        <v>New Customer</v>
      </c>
      <c r="Y35">
        <v>1</v>
      </c>
      <c r="AB35" s="81"/>
      <c r="AC35" s="72"/>
      <c r="AD35" s="72"/>
      <c r="AE35" s="72"/>
      <c r="AK35" s="129"/>
      <c r="AL35" s="72"/>
      <c r="AM35" s="130"/>
    </row>
    <row r="36" spans="1:39" ht="15.6" x14ac:dyDescent="0.3">
      <c r="A36" s="80">
        <v>45242</v>
      </c>
      <c r="B36" s="2" t="s">
        <v>58</v>
      </c>
      <c r="C36" s="2" t="s">
        <v>49</v>
      </c>
      <c r="D36" s="2" t="s">
        <v>50</v>
      </c>
      <c r="E36" s="203">
        <v>150000</v>
      </c>
      <c r="F36" s="2" t="s">
        <v>54</v>
      </c>
      <c r="G36" s="2" t="s">
        <v>3</v>
      </c>
      <c r="H36" s="2" t="s">
        <v>52</v>
      </c>
      <c r="I36" s="113">
        <f>IF(Table_5[[#This Row],[Sales Rep]]='For Manage'!$E$7,1,0)</f>
        <v>1</v>
      </c>
      <c r="J36" s="113" t="str">
        <f>IF(OR(Table_5[[#This Row],[Customer Name]]="ABC Manufacturing",Table_5[[#This Row],[Customer Name]]="123 Industries"), "Yes", "No")</f>
        <v>No</v>
      </c>
      <c r="K36" s="113" t="str">
        <f>IF(COUNTIFS(Table_5[Customer Name],B36, Table_5[Order Date], "&gt;="&amp;DATE(2021,1,1), Table_5[Order Date], "&lt;="&amp;DATE(2022,12,31))&gt;0, "Existing Customer", "New Customer")</f>
        <v>Existing Customer</v>
      </c>
      <c r="L36" s="113">
        <f>IF(Table_5[[#This Row],[Country]]='For Manage'!$E$11,1,0)</f>
        <v>1</v>
      </c>
      <c r="M36" s="113"/>
      <c r="N36" s="81">
        <v>45130</v>
      </c>
      <c r="O36" s="73" t="str">
        <v>Brown &amp; Co.</v>
      </c>
      <c r="P36" s="74" t="str">
        <v>USA</v>
      </c>
      <c r="Q36" s="74" t="str">
        <v>NA</v>
      </c>
      <c r="R36" s="74">
        <v>2500.5</v>
      </c>
      <c r="S36" s="75" t="str">
        <v>Machine Order</v>
      </c>
      <c r="T36" s="74" t="str">
        <v>Sarah Brown</v>
      </c>
      <c r="U36" s="74" t="str">
        <v>USD</v>
      </c>
      <c r="V36">
        <v>1</v>
      </c>
      <c r="W36" t="str">
        <v>No</v>
      </c>
      <c r="X36" t="str">
        <v>New Customer</v>
      </c>
      <c r="Y36">
        <v>1</v>
      </c>
      <c r="AB36" s="81"/>
      <c r="AC36" s="72"/>
      <c r="AD36" s="72"/>
      <c r="AE36" s="72"/>
      <c r="AK36" s="129"/>
      <c r="AL36" s="72"/>
      <c r="AM36" s="130"/>
    </row>
    <row r="37" spans="1:39" ht="15.6" x14ac:dyDescent="0.3">
      <c r="A37" s="80">
        <v>45277</v>
      </c>
      <c r="B37" s="2" t="s">
        <v>48</v>
      </c>
      <c r="C37" s="2" t="s">
        <v>49</v>
      </c>
      <c r="D37" s="2" t="s">
        <v>50</v>
      </c>
      <c r="E37" s="203">
        <v>850000</v>
      </c>
      <c r="F37" s="2" t="s">
        <v>56</v>
      </c>
      <c r="G37" s="2" t="s">
        <v>3</v>
      </c>
      <c r="H37" s="2" t="s">
        <v>52</v>
      </c>
      <c r="I37" s="113">
        <f>IF(Table_5[[#This Row],[Sales Rep]]='For Manage'!$E$7,1,0)</f>
        <v>1</v>
      </c>
      <c r="J37" s="113" t="str">
        <f>IF(OR(Table_5[[#This Row],[Customer Name]]="ABC Manufacturing",Table_5[[#This Row],[Customer Name]]="123 Industries"), "Yes", "No")</f>
        <v>Yes</v>
      </c>
      <c r="K37" s="113" t="str">
        <f>IF(COUNTIFS(Table_5[Customer Name],B37, Table_5[Order Date], "&gt;="&amp;DATE(2021,1,1), Table_5[Order Date], "&lt;="&amp;DATE(2022,12,31))&gt;0, "Existing Customer", "New Customer")</f>
        <v>Existing Customer</v>
      </c>
      <c r="L37" s="113">
        <f>IF(Table_5[[#This Row],[Country]]='For Manage'!$E$11,1,0)</f>
        <v>1</v>
      </c>
      <c r="M37" s="113"/>
      <c r="N37" s="81">
        <v>45130</v>
      </c>
      <c r="O37" s="73" t="str">
        <v>Hughes Inc.</v>
      </c>
      <c r="P37" s="74" t="str">
        <v>USA</v>
      </c>
      <c r="Q37" s="74" t="str">
        <v>NA</v>
      </c>
      <c r="R37" s="74">
        <v>250.75</v>
      </c>
      <c r="S37" s="75" t="str">
        <v>Machine Order</v>
      </c>
      <c r="T37" s="74" t="str">
        <v>Sarah Brown</v>
      </c>
      <c r="U37" s="74" t="str">
        <v>USD</v>
      </c>
      <c r="V37">
        <v>1</v>
      </c>
      <c r="W37" t="str">
        <v>No</v>
      </c>
      <c r="X37" t="str">
        <v>New Customer</v>
      </c>
      <c r="Y37">
        <v>1</v>
      </c>
      <c r="AB37" s="81"/>
      <c r="AC37" s="72"/>
      <c r="AD37" s="72"/>
      <c r="AE37" s="72"/>
      <c r="AK37" s="129"/>
      <c r="AL37" s="72"/>
      <c r="AM37" s="130"/>
    </row>
    <row r="38" spans="1:39" ht="15.6" x14ac:dyDescent="0.3">
      <c r="A38" s="80">
        <v>44206</v>
      </c>
      <c r="B38" s="2" t="s">
        <v>48</v>
      </c>
      <c r="C38" s="2" t="s">
        <v>49</v>
      </c>
      <c r="D38" s="2" t="s">
        <v>50</v>
      </c>
      <c r="E38" s="203">
        <v>500500</v>
      </c>
      <c r="F38" s="2" t="s">
        <v>51</v>
      </c>
      <c r="G38" s="2" t="s">
        <v>3</v>
      </c>
      <c r="H38" s="2" t="s">
        <v>52</v>
      </c>
      <c r="I38" s="113">
        <f>IF(Table_5[[#This Row],[Sales Rep]]='For Manage'!$E$7,1,0)</f>
        <v>1</v>
      </c>
      <c r="J38" s="113" t="str">
        <f>IF(OR(Table_5[[#This Row],[Customer Name]]="ABC Manufacturing",Table_5[[#This Row],[Customer Name]]="123 Industries"), "Yes", "No")</f>
        <v>Yes</v>
      </c>
      <c r="K38" s="113" t="str">
        <f>IF(COUNTIFS(Table_5[Customer Name],B38, Table_5[Order Date], "&gt;="&amp;DATE(2021,1,1), Table_5[Order Date], "&lt;="&amp;DATE(2022,12,31))&gt;0, "Existing Customer", "New Customer")</f>
        <v>Existing Customer</v>
      </c>
      <c r="L38" s="113">
        <f>IF(Table_5[[#This Row],[Country]]='For Manage'!$E$11,1,0)</f>
        <v>1</v>
      </c>
      <c r="M38" s="113"/>
      <c r="N38" s="81">
        <v>45130</v>
      </c>
      <c r="O38" s="73" t="str">
        <v>Hughes Inc.</v>
      </c>
      <c r="P38" s="74" t="str">
        <v>USA</v>
      </c>
      <c r="Q38" s="74" t="str">
        <v>NA</v>
      </c>
      <c r="R38" s="74">
        <v>26000.75</v>
      </c>
      <c r="S38" s="75" t="str">
        <v>Machine Order</v>
      </c>
      <c r="T38" s="74" t="str">
        <v>Sarah Brown</v>
      </c>
      <c r="U38" s="74" t="str">
        <v>USD</v>
      </c>
      <c r="V38">
        <v>1</v>
      </c>
      <c r="W38" t="str">
        <v>No</v>
      </c>
      <c r="X38" t="str">
        <v>New Customer</v>
      </c>
      <c r="Y38">
        <v>1</v>
      </c>
      <c r="AB38" s="81"/>
      <c r="AC38" s="72"/>
      <c r="AD38" s="72"/>
      <c r="AE38" s="72"/>
      <c r="AK38" s="129"/>
      <c r="AL38" s="72"/>
      <c r="AM38" s="130"/>
    </row>
    <row r="39" spans="1:39" ht="15.6" x14ac:dyDescent="0.3">
      <c r="A39" s="80">
        <v>44242</v>
      </c>
      <c r="B39" s="2" t="s">
        <v>53</v>
      </c>
      <c r="C39" s="2" t="s">
        <v>49</v>
      </c>
      <c r="D39" s="2" t="s">
        <v>50</v>
      </c>
      <c r="E39" s="204">
        <v>700.75</v>
      </c>
      <c r="F39" s="2" t="s">
        <v>54</v>
      </c>
      <c r="G39" s="2" t="s">
        <v>3</v>
      </c>
      <c r="H39" s="2" t="s">
        <v>52</v>
      </c>
      <c r="I39" s="113">
        <f>IF(Table_5[[#This Row],[Sales Rep]]='For Manage'!$E$7,1,0)</f>
        <v>1</v>
      </c>
      <c r="J39" s="113" t="str">
        <f>IF(OR(Table_5[[#This Row],[Customer Name]]="ABC Manufacturing",Table_5[[#This Row],[Customer Name]]="123 Industries"), "Yes", "No")</f>
        <v>No</v>
      </c>
      <c r="K39" s="113" t="str">
        <f>IF(COUNTIFS(Table_5[Customer Name],B39, Table_5[Order Date], "&gt;="&amp;DATE(2021,1,1), Table_5[Order Date], "&lt;="&amp;DATE(2022,12,31))&gt;0, "Existing Customer", "New Customer")</f>
        <v>Existing Customer</v>
      </c>
      <c r="L39" s="113">
        <f>IF(Table_5[[#This Row],[Country]]='For Manage'!$E$11,1,0)</f>
        <v>1</v>
      </c>
      <c r="M39" s="113"/>
      <c r="N39" s="81">
        <v>45130</v>
      </c>
      <c r="O39" s="73" t="str">
        <v>DEF Industries</v>
      </c>
      <c r="P39" s="74" t="str">
        <v>USA</v>
      </c>
      <c r="Q39" s="74" t="str">
        <v>NA</v>
      </c>
      <c r="R39" s="74">
        <v>250.8</v>
      </c>
      <c r="S39" s="75" t="str">
        <v>Machine Order</v>
      </c>
      <c r="T39" s="74" t="str">
        <v>Sarah Brown</v>
      </c>
      <c r="U39" s="74" t="str">
        <v>USD</v>
      </c>
      <c r="V39">
        <v>1</v>
      </c>
      <c r="W39" t="str">
        <v>No</v>
      </c>
      <c r="X39" t="str">
        <v>Existing Customer</v>
      </c>
      <c r="Y39">
        <v>1</v>
      </c>
      <c r="AB39" s="81"/>
      <c r="AC39" s="72"/>
      <c r="AD39" s="72"/>
      <c r="AE39" s="72"/>
      <c r="AK39" s="129"/>
      <c r="AL39" s="72"/>
      <c r="AM39" s="130"/>
    </row>
    <row r="40" spans="1:39" ht="15.6" x14ac:dyDescent="0.3">
      <c r="A40" s="80">
        <v>44275</v>
      </c>
      <c r="B40" s="2" t="s">
        <v>59</v>
      </c>
      <c r="C40" s="2" t="s">
        <v>49</v>
      </c>
      <c r="D40" s="2" t="s">
        <v>50</v>
      </c>
      <c r="E40" s="204">
        <v>300.25</v>
      </c>
      <c r="F40" s="2" t="s">
        <v>56</v>
      </c>
      <c r="G40" s="2" t="s">
        <v>3</v>
      </c>
      <c r="H40" s="2" t="s">
        <v>52</v>
      </c>
      <c r="I40" s="113">
        <f>IF(Table_5[[#This Row],[Sales Rep]]='For Manage'!$E$7,1,0)</f>
        <v>1</v>
      </c>
      <c r="J40" s="113" t="str">
        <f>IF(OR(Table_5[[#This Row],[Customer Name]]="ABC Manufacturing",Table_5[[#This Row],[Customer Name]]="123 Industries"), "Yes", "No")</f>
        <v>No</v>
      </c>
      <c r="K40" s="113" t="str">
        <f>IF(COUNTIFS(Table_5[Customer Name],B40, Table_5[Order Date], "&gt;="&amp;DATE(2021,1,1), Table_5[Order Date], "&lt;="&amp;DATE(2022,12,31))&gt;0, "Existing Customer", "New Customer")</f>
        <v>Existing Customer</v>
      </c>
      <c r="L40" s="113">
        <f>IF(Table_5[[#This Row],[Country]]='For Manage'!$E$11,1,0)</f>
        <v>1</v>
      </c>
      <c r="M40" s="113"/>
      <c r="N40" s="81">
        <v>45095</v>
      </c>
      <c r="O40" s="73" t="str">
        <v>PQR Incorporated</v>
      </c>
      <c r="P40" s="74" t="str">
        <v>USA</v>
      </c>
      <c r="Q40" s="74" t="str">
        <v>NA</v>
      </c>
      <c r="R40" s="74">
        <v>950000</v>
      </c>
      <c r="S40" s="75" t="str">
        <v>Service</v>
      </c>
      <c r="T40" s="74" t="str">
        <v>Sarah Brown</v>
      </c>
      <c r="U40" s="74" t="str">
        <v>USD</v>
      </c>
      <c r="V40">
        <v>1</v>
      </c>
      <c r="W40" t="str">
        <v>No</v>
      </c>
      <c r="X40" t="str">
        <v>Existing Customer</v>
      </c>
      <c r="Y40">
        <v>1</v>
      </c>
      <c r="AB40" s="81"/>
      <c r="AC40" s="72"/>
      <c r="AD40" s="72"/>
      <c r="AE40" s="72"/>
      <c r="AK40" s="129"/>
      <c r="AL40" s="72"/>
      <c r="AM40" s="130"/>
    </row>
    <row r="41" spans="1:39" ht="15.6" x14ac:dyDescent="0.3">
      <c r="A41" s="80">
        <v>44291</v>
      </c>
      <c r="B41" s="2" t="s">
        <v>60</v>
      </c>
      <c r="C41" s="2" t="s">
        <v>49</v>
      </c>
      <c r="D41" s="2" t="s">
        <v>50</v>
      </c>
      <c r="E41" s="204">
        <v>900.8</v>
      </c>
      <c r="F41" s="2" t="s">
        <v>51</v>
      </c>
      <c r="G41" s="2" t="s">
        <v>3</v>
      </c>
      <c r="H41" s="2" t="s">
        <v>52</v>
      </c>
      <c r="I41" s="113">
        <f>IF(Table_5[[#This Row],[Sales Rep]]='For Manage'!$E$7,1,0)</f>
        <v>1</v>
      </c>
      <c r="J41" s="113" t="str">
        <f>IF(OR(Table_5[[#This Row],[Customer Name]]="ABC Manufacturing",Table_5[[#This Row],[Customer Name]]="123 Industries"), "Yes", "No")</f>
        <v>No</v>
      </c>
      <c r="K41" s="113" t="str">
        <f>IF(COUNTIFS(Table_5[Customer Name],B41, Table_5[Order Date], "&gt;="&amp;DATE(2021,1,1), Table_5[Order Date], "&lt;="&amp;DATE(2022,12,31))&gt;0, "Existing Customer", "New Customer")</f>
        <v>Existing Customer</v>
      </c>
      <c r="L41" s="113">
        <f>IF(Table_5[[#This Row],[Country]]='For Manage'!$E$11,1,0)</f>
        <v>1</v>
      </c>
      <c r="M41" s="113"/>
      <c r="N41" s="81">
        <v>45095</v>
      </c>
      <c r="O41" s="73" t="str">
        <v>Bell Corporation</v>
      </c>
      <c r="P41" s="74" t="str">
        <v>USA</v>
      </c>
      <c r="Q41" s="74" t="str">
        <v>NA</v>
      </c>
      <c r="R41" s="74">
        <v>950.25</v>
      </c>
      <c r="S41" s="75" t="str">
        <v>Service</v>
      </c>
      <c r="T41" s="74" t="str">
        <v>Sarah Brown</v>
      </c>
      <c r="U41" s="74" t="str">
        <v>USD</v>
      </c>
      <c r="V41">
        <v>1</v>
      </c>
      <c r="W41" t="str">
        <v>No</v>
      </c>
      <c r="X41" t="str">
        <v>New Customer</v>
      </c>
      <c r="Y41">
        <v>1</v>
      </c>
      <c r="AB41" s="81"/>
      <c r="AC41" s="72"/>
      <c r="AD41" s="72"/>
      <c r="AE41" s="72"/>
      <c r="AK41" s="129"/>
      <c r="AL41" s="72"/>
      <c r="AM41" s="130"/>
    </row>
    <row r="42" spans="1:39" ht="15.6" x14ac:dyDescent="0.3">
      <c r="A42" s="80">
        <v>44326</v>
      </c>
      <c r="B42" s="2" t="s">
        <v>61</v>
      </c>
      <c r="C42" s="2" t="s">
        <v>49</v>
      </c>
      <c r="D42" s="2" t="s">
        <v>50</v>
      </c>
      <c r="E42" s="204">
        <v>400.6</v>
      </c>
      <c r="F42" s="2" t="s">
        <v>54</v>
      </c>
      <c r="G42" s="2" t="s">
        <v>3</v>
      </c>
      <c r="H42" s="2" t="s">
        <v>52</v>
      </c>
      <c r="I42" s="113">
        <f>IF(Table_5[[#This Row],[Sales Rep]]='For Manage'!$E$7,1,0)</f>
        <v>1</v>
      </c>
      <c r="J42" s="113" t="str">
        <f>IF(OR(Table_5[[#This Row],[Customer Name]]="ABC Manufacturing",Table_5[[#This Row],[Customer Name]]="123 Industries"), "Yes", "No")</f>
        <v>No</v>
      </c>
      <c r="K42" s="113" t="str">
        <f>IF(COUNTIFS(Table_5[Customer Name],B42, Table_5[Order Date], "&gt;="&amp;DATE(2021,1,1), Table_5[Order Date], "&lt;="&amp;DATE(2022,12,31))&gt;0, "Existing Customer", "New Customer")</f>
        <v>Existing Customer</v>
      </c>
      <c r="L42" s="113">
        <f>IF(Table_5[[#This Row],[Country]]='For Manage'!$E$11,1,0)</f>
        <v>1</v>
      </c>
      <c r="M42" s="113"/>
      <c r="N42" s="81">
        <v>45095</v>
      </c>
      <c r="O42" s="73" t="str">
        <v>Taylor Co.</v>
      </c>
      <c r="P42" s="74" t="str">
        <v>USA</v>
      </c>
      <c r="Q42" s="74" t="str">
        <v>NA</v>
      </c>
      <c r="R42" s="74">
        <v>19500.25</v>
      </c>
      <c r="S42" s="75" t="str">
        <v>Service</v>
      </c>
      <c r="T42" s="74" t="str">
        <v>Sarah Brown</v>
      </c>
      <c r="U42" s="74" t="str">
        <v>USD</v>
      </c>
      <c r="V42">
        <v>1</v>
      </c>
      <c r="W42" t="str">
        <v>No</v>
      </c>
      <c r="X42" t="str">
        <v>New Customer</v>
      </c>
      <c r="Y42">
        <v>1</v>
      </c>
      <c r="AB42" s="81"/>
      <c r="AC42" s="72"/>
      <c r="AD42" s="72"/>
      <c r="AE42" s="72"/>
      <c r="AK42" s="129"/>
      <c r="AL42" s="72"/>
      <c r="AM42" s="130"/>
    </row>
    <row r="43" spans="1:39" ht="15.6" x14ac:dyDescent="0.3">
      <c r="A43" s="80">
        <v>44362</v>
      </c>
      <c r="B43" s="2" t="s">
        <v>62</v>
      </c>
      <c r="C43" s="2" t="s">
        <v>49</v>
      </c>
      <c r="D43" s="2" t="s">
        <v>50</v>
      </c>
      <c r="E43" s="204">
        <v>600.35</v>
      </c>
      <c r="F43" s="2" t="s">
        <v>56</v>
      </c>
      <c r="G43" s="2" t="s">
        <v>3</v>
      </c>
      <c r="H43" s="2" t="s">
        <v>52</v>
      </c>
      <c r="I43" s="113">
        <f>IF(Table_5[[#This Row],[Sales Rep]]='For Manage'!$E$7,1,0)</f>
        <v>1</v>
      </c>
      <c r="J43" s="113" t="str">
        <f>IF(OR(Table_5[[#This Row],[Customer Name]]="ABC Manufacturing",Table_5[[#This Row],[Customer Name]]="123 Industries"), "Yes", "No")</f>
        <v>No</v>
      </c>
      <c r="K43" s="113" t="str">
        <f>IF(COUNTIFS(Table_5[Customer Name],B43, Table_5[Order Date], "&gt;="&amp;DATE(2021,1,1), Table_5[Order Date], "&lt;="&amp;DATE(2022,12,31))&gt;0, "Existing Customer", "New Customer")</f>
        <v>Existing Customer</v>
      </c>
      <c r="L43" s="113">
        <f>IF(Table_5[[#This Row],[Country]]='For Manage'!$E$11,1,0)</f>
        <v>1</v>
      </c>
      <c r="M43" s="113"/>
      <c r="N43" s="81">
        <v>45095</v>
      </c>
      <c r="O43" s="73" t="str">
        <v>Ross Enterprises</v>
      </c>
      <c r="P43" s="74" t="str">
        <v>USA</v>
      </c>
      <c r="Q43" s="74" t="str">
        <v>NA</v>
      </c>
      <c r="R43" s="74">
        <v>950.5</v>
      </c>
      <c r="S43" s="75" t="str">
        <v>Service</v>
      </c>
      <c r="T43" s="74" t="str">
        <v>Sarah Brown</v>
      </c>
      <c r="U43" s="74" t="str">
        <v>USD</v>
      </c>
      <c r="V43">
        <v>1</v>
      </c>
      <c r="W43" t="str">
        <v>No</v>
      </c>
      <c r="X43" t="str">
        <v>New Customer</v>
      </c>
      <c r="Y43">
        <v>1</v>
      </c>
      <c r="AB43" s="81"/>
      <c r="AC43" s="72"/>
      <c r="AD43" s="72"/>
      <c r="AE43" s="72"/>
      <c r="AK43" s="129"/>
      <c r="AL43" s="72"/>
      <c r="AM43" s="130"/>
    </row>
    <row r="44" spans="1:39" ht="15.6" x14ac:dyDescent="0.3">
      <c r="A44" s="80">
        <v>44397</v>
      </c>
      <c r="B44" s="2" t="s">
        <v>63</v>
      </c>
      <c r="C44" s="2" t="s">
        <v>49</v>
      </c>
      <c r="D44" s="2" t="s">
        <v>50</v>
      </c>
      <c r="E44" s="204">
        <v>800.9</v>
      </c>
      <c r="F44" s="2" t="s">
        <v>51</v>
      </c>
      <c r="G44" s="2" t="s">
        <v>3</v>
      </c>
      <c r="H44" s="2" t="s">
        <v>52</v>
      </c>
      <c r="I44" s="113">
        <f>IF(Table_5[[#This Row],[Sales Rep]]='For Manage'!$E$7,1,0)</f>
        <v>1</v>
      </c>
      <c r="J44" s="113" t="str">
        <f>IF(OR(Table_5[[#This Row],[Customer Name]]="ABC Manufacturing",Table_5[[#This Row],[Customer Name]]="123 Industries"), "Yes", "No")</f>
        <v>No</v>
      </c>
      <c r="K44" s="113" t="str">
        <f>IF(COUNTIFS(Table_5[Customer Name],B44, Table_5[Order Date], "&gt;="&amp;DATE(2021,1,1), Table_5[Order Date], "&lt;="&amp;DATE(2022,12,31))&gt;0, "Existing Customer", "New Customer")</f>
        <v>Existing Customer</v>
      </c>
      <c r="L44" s="113">
        <f>IF(Table_5[[#This Row],[Country]]='For Manage'!$E$11,1,0)</f>
        <v>1</v>
      </c>
      <c r="M44" s="113"/>
      <c r="N44" s="81">
        <v>45095</v>
      </c>
      <c r="O44" s="73" t="str">
        <v>Ross Enterprises</v>
      </c>
      <c r="P44" s="74" t="str">
        <v>USA</v>
      </c>
      <c r="Q44" s="74" t="str">
        <v>NA</v>
      </c>
      <c r="R44" s="74">
        <v>28000.5</v>
      </c>
      <c r="S44" s="74" t="str">
        <v>Service</v>
      </c>
      <c r="T44" s="74" t="str">
        <v>Sarah Brown</v>
      </c>
      <c r="U44" s="74" t="str">
        <v>USD</v>
      </c>
      <c r="V44">
        <v>1</v>
      </c>
      <c r="W44" t="str">
        <v>No</v>
      </c>
      <c r="X44" t="str">
        <v>New Customer</v>
      </c>
      <c r="Y44">
        <v>1</v>
      </c>
      <c r="AB44" s="81"/>
      <c r="AC44" s="72"/>
      <c r="AD44" s="72"/>
      <c r="AE44" s="72"/>
      <c r="AK44" s="129"/>
      <c r="AL44" s="72"/>
      <c r="AM44" s="130"/>
    </row>
    <row r="45" spans="1:39" ht="15.6" x14ac:dyDescent="0.3">
      <c r="A45" s="80">
        <v>44433</v>
      </c>
      <c r="B45" s="2" t="s">
        <v>64</v>
      </c>
      <c r="C45" s="2" t="s">
        <v>49</v>
      </c>
      <c r="D45" s="2" t="s">
        <v>50</v>
      </c>
      <c r="E45" s="204">
        <v>200.75</v>
      </c>
      <c r="F45" s="2" t="s">
        <v>54</v>
      </c>
      <c r="G45" s="2" t="s">
        <v>3</v>
      </c>
      <c r="H45" s="2" t="s">
        <v>52</v>
      </c>
      <c r="I45" s="113">
        <f>IF(Table_5[[#This Row],[Sales Rep]]='For Manage'!$E$7,1,0)</f>
        <v>1</v>
      </c>
      <c r="J45" s="113" t="str">
        <f>IF(OR(Table_5[[#This Row],[Customer Name]]="ABC Manufacturing",Table_5[[#This Row],[Customer Name]]="123 Industries"), "Yes", "No")</f>
        <v>No</v>
      </c>
      <c r="K45" s="113" t="str">
        <f>IF(COUNTIFS(Table_5[Customer Name],B45, Table_5[Order Date], "&gt;="&amp;DATE(2021,1,1), Table_5[Order Date], "&lt;="&amp;DATE(2022,12,31))&gt;0, "Existing Customer", "New Customer")</f>
        <v>Existing Customer</v>
      </c>
      <c r="L45" s="113">
        <f>IF(Table_5[[#This Row],[Country]]='For Manage'!$E$11,1,0)</f>
        <v>1</v>
      </c>
      <c r="M45" s="113"/>
      <c r="N45" s="81">
        <v>45095</v>
      </c>
      <c r="O45" s="73" t="str">
        <v>XYZ Corporation</v>
      </c>
      <c r="P45" s="74" t="str">
        <v>USA</v>
      </c>
      <c r="Q45" s="74" t="str">
        <v>NA</v>
      </c>
      <c r="R45" s="74">
        <v>950.7</v>
      </c>
      <c r="S45" s="74" t="str">
        <v>Service</v>
      </c>
      <c r="T45" s="74" t="str">
        <v>Sarah Brown</v>
      </c>
      <c r="U45" s="74" t="str">
        <v>USD</v>
      </c>
      <c r="V45">
        <v>1</v>
      </c>
      <c r="W45" t="str">
        <v>No</v>
      </c>
      <c r="X45" t="str">
        <v>Existing Customer</v>
      </c>
      <c r="Y45">
        <v>1</v>
      </c>
      <c r="AB45" s="81"/>
      <c r="AC45" s="72"/>
      <c r="AD45" s="72"/>
      <c r="AE45" s="72"/>
      <c r="AK45" s="129"/>
      <c r="AL45" s="72"/>
      <c r="AM45" s="130"/>
    </row>
    <row r="46" spans="1:39" ht="15.6" x14ac:dyDescent="0.3">
      <c r="A46" s="80">
        <v>44469</v>
      </c>
      <c r="B46" s="2" t="s">
        <v>65</v>
      </c>
      <c r="C46" s="2" t="s">
        <v>49</v>
      </c>
      <c r="D46" s="2" t="s">
        <v>50</v>
      </c>
      <c r="E46" s="204">
        <v>1000.45</v>
      </c>
      <c r="F46" s="2" t="s">
        <v>56</v>
      </c>
      <c r="G46" s="2" t="s">
        <v>3</v>
      </c>
      <c r="H46" s="2" t="s">
        <v>52</v>
      </c>
      <c r="I46" s="113">
        <f>IF(Table_5[[#This Row],[Sales Rep]]='For Manage'!$E$7,1,0)</f>
        <v>1</v>
      </c>
      <c r="J46" s="113" t="str">
        <f>IF(OR(Table_5[[#This Row],[Customer Name]]="ABC Manufacturing",Table_5[[#This Row],[Customer Name]]="123 Industries"), "Yes", "No")</f>
        <v>No</v>
      </c>
      <c r="K46" s="113" t="str">
        <f>IF(COUNTIFS(Table_5[Customer Name],B46, Table_5[Order Date], "&gt;="&amp;DATE(2021,1,1), Table_5[Order Date], "&lt;="&amp;DATE(2022,12,31))&gt;0, "Existing Customer", "New Customer")</f>
        <v>Existing Customer</v>
      </c>
      <c r="L46" s="113">
        <f>IF(Table_5[[#This Row],[Country]]='For Manage'!$E$11,1,0)</f>
        <v>1</v>
      </c>
      <c r="M46" s="113"/>
      <c r="N46" s="81">
        <v>45059</v>
      </c>
      <c r="O46" s="73" t="str">
        <v>123 Industries</v>
      </c>
      <c r="P46" s="74" t="str">
        <v>USA</v>
      </c>
      <c r="Q46" s="74" t="str">
        <v>NA</v>
      </c>
      <c r="R46" s="74">
        <v>550000</v>
      </c>
      <c r="S46" s="74" t="str">
        <v>Normal Order</v>
      </c>
      <c r="T46" s="74" t="str">
        <v>Sarah Brown</v>
      </c>
      <c r="U46" s="74" t="str">
        <v>USD</v>
      </c>
      <c r="V46">
        <v>1</v>
      </c>
      <c r="W46" t="str">
        <v>Yes</v>
      </c>
      <c r="X46" t="str">
        <v>Existing Customer</v>
      </c>
      <c r="Y46">
        <v>1</v>
      </c>
      <c r="AB46" s="81"/>
      <c r="AC46" s="72"/>
      <c r="AD46" s="72"/>
      <c r="AE46" s="72"/>
      <c r="AK46" s="129"/>
      <c r="AL46" s="72"/>
      <c r="AM46" s="130"/>
    </row>
    <row r="47" spans="1:39" ht="15.6" x14ac:dyDescent="0.3">
      <c r="A47" s="80">
        <v>44474</v>
      </c>
      <c r="B47" s="2" t="s">
        <v>66</v>
      </c>
      <c r="C47" s="2" t="s">
        <v>49</v>
      </c>
      <c r="D47" s="2" t="s">
        <v>50</v>
      </c>
      <c r="E47" s="204">
        <v>550.25</v>
      </c>
      <c r="F47" s="2" t="s">
        <v>51</v>
      </c>
      <c r="G47" s="2" t="s">
        <v>3</v>
      </c>
      <c r="H47" s="2" t="s">
        <v>52</v>
      </c>
      <c r="I47" s="113">
        <f>IF(Table_5[[#This Row],[Sales Rep]]='For Manage'!$E$7,1,0)</f>
        <v>1</v>
      </c>
      <c r="J47" s="113" t="str">
        <f>IF(OR(Table_5[[#This Row],[Customer Name]]="ABC Manufacturing",Table_5[[#This Row],[Customer Name]]="123 Industries"), "Yes", "No")</f>
        <v>No</v>
      </c>
      <c r="K47" s="113" t="str">
        <f>IF(COUNTIFS(Table_5[Customer Name],B47, Table_5[Order Date], "&gt;="&amp;DATE(2021,1,1), Table_5[Order Date], "&lt;="&amp;DATE(2022,12,31))&gt;0, "Existing Customer", "New Customer")</f>
        <v>Existing Customer</v>
      </c>
      <c r="L47" s="113">
        <f>IF(Table_5[[#This Row],[Country]]='For Manage'!$E$11,1,0)</f>
        <v>1</v>
      </c>
      <c r="M47" s="113"/>
      <c r="N47" s="81">
        <v>45059</v>
      </c>
      <c r="O47" s="73" t="str">
        <v>Carter Co.</v>
      </c>
      <c r="P47" s="74" t="str">
        <v>USA</v>
      </c>
      <c r="Q47" s="74" t="str">
        <v>NA</v>
      </c>
      <c r="R47" s="74">
        <v>550.9</v>
      </c>
      <c r="S47" s="74" t="str">
        <v>Normal Order</v>
      </c>
      <c r="T47" s="74" t="str">
        <v>Sarah Brown</v>
      </c>
      <c r="U47" s="74" t="str">
        <v>USD</v>
      </c>
      <c r="V47">
        <v>1</v>
      </c>
      <c r="W47" t="str">
        <v>No</v>
      </c>
      <c r="X47" t="str">
        <v>New Customer</v>
      </c>
      <c r="Y47">
        <v>1</v>
      </c>
      <c r="AB47" s="81"/>
      <c r="AC47" s="72"/>
      <c r="AD47" s="72"/>
      <c r="AE47" s="72"/>
      <c r="AK47" s="129"/>
      <c r="AL47" s="72"/>
      <c r="AM47" s="130"/>
    </row>
    <row r="48" spans="1:39" ht="15.6" x14ac:dyDescent="0.3">
      <c r="A48" s="80">
        <v>44510</v>
      </c>
      <c r="B48" s="2" t="s">
        <v>67</v>
      </c>
      <c r="C48" s="2" t="s">
        <v>49</v>
      </c>
      <c r="D48" s="2" t="s">
        <v>50</v>
      </c>
      <c r="E48" s="204">
        <v>450.7</v>
      </c>
      <c r="F48" s="2" t="s">
        <v>54</v>
      </c>
      <c r="G48" s="2" t="s">
        <v>3</v>
      </c>
      <c r="H48" s="2" t="s">
        <v>52</v>
      </c>
      <c r="I48" s="113">
        <f>IF(Table_5[[#This Row],[Sales Rep]]='For Manage'!$E$7,1,0)</f>
        <v>1</v>
      </c>
      <c r="J48" s="113" t="str">
        <f>IF(OR(Table_5[[#This Row],[Customer Name]]="ABC Manufacturing",Table_5[[#This Row],[Customer Name]]="123 Industries"), "Yes", "No")</f>
        <v>No</v>
      </c>
      <c r="K48" s="113" t="str">
        <f>IF(COUNTIFS(Table_5[Customer Name],B48, Table_5[Order Date], "&gt;="&amp;DATE(2021,1,1), Table_5[Order Date], "&lt;="&amp;DATE(2022,12,31))&gt;0, "Existing Customer", "New Customer")</f>
        <v>Existing Customer</v>
      </c>
      <c r="L48" s="113">
        <f>IF(Table_5[[#This Row],[Country]]='For Manage'!$E$11,1,0)</f>
        <v>1</v>
      </c>
      <c r="M48" s="113"/>
      <c r="N48" s="81">
        <v>45059</v>
      </c>
      <c r="O48" s="73" t="str">
        <v>Johnson &amp; Sons</v>
      </c>
      <c r="P48" s="74" t="str">
        <v>USA</v>
      </c>
      <c r="Q48" s="74" t="str">
        <v>NA</v>
      </c>
      <c r="R48" s="74">
        <v>5500.75</v>
      </c>
      <c r="S48" s="74" t="str">
        <v>Normal Order</v>
      </c>
      <c r="T48" s="74" t="str">
        <v>Sarah Brown</v>
      </c>
      <c r="U48" s="74" t="str">
        <v>USD</v>
      </c>
      <c r="V48">
        <v>1</v>
      </c>
      <c r="W48" t="str">
        <v>No</v>
      </c>
      <c r="X48" t="str">
        <v>Existing Customer</v>
      </c>
      <c r="Y48">
        <v>1</v>
      </c>
      <c r="AB48" s="81"/>
      <c r="AC48" s="72"/>
      <c r="AD48" s="72"/>
      <c r="AE48" s="72"/>
      <c r="AK48" s="129"/>
      <c r="AL48" s="72"/>
      <c r="AM48" s="130"/>
    </row>
    <row r="49" spans="1:39" ht="15.6" x14ac:dyDescent="0.3">
      <c r="A49" s="80">
        <v>44545</v>
      </c>
      <c r="B49" s="2" t="s">
        <v>68</v>
      </c>
      <c r="C49" s="2" t="s">
        <v>49</v>
      </c>
      <c r="D49" s="2" t="s">
        <v>50</v>
      </c>
      <c r="E49" s="204">
        <v>350.8</v>
      </c>
      <c r="F49" s="2" t="s">
        <v>56</v>
      </c>
      <c r="G49" s="2" t="s">
        <v>3</v>
      </c>
      <c r="H49" s="2" t="s">
        <v>52</v>
      </c>
      <c r="I49" s="113">
        <f>IF(Table_5[[#This Row],[Sales Rep]]='For Manage'!$E$7,1,0)</f>
        <v>1</v>
      </c>
      <c r="J49" s="113" t="str">
        <f>IF(OR(Table_5[[#This Row],[Customer Name]]="ABC Manufacturing",Table_5[[#This Row],[Customer Name]]="123 Industries"), "Yes", "No")</f>
        <v>No</v>
      </c>
      <c r="K49" s="113" t="str">
        <f>IF(COUNTIFS(Table_5[Customer Name],B49, Table_5[Order Date], "&gt;="&amp;DATE(2021,1,1), Table_5[Order Date], "&lt;="&amp;DATE(2022,12,31))&gt;0, "Existing Customer", "New Customer")</f>
        <v>Existing Customer</v>
      </c>
      <c r="L49" s="113">
        <f>IF(Table_5[[#This Row],[Country]]='For Manage'!$E$11,1,0)</f>
        <v>1</v>
      </c>
      <c r="M49" s="113"/>
      <c r="N49" s="81">
        <v>45059</v>
      </c>
      <c r="O49" s="73" t="str">
        <v>Gray &amp; Co.</v>
      </c>
      <c r="P49" s="74" t="str">
        <v>USA</v>
      </c>
      <c r="Q49" s="74" t="str">
        <v>NA</v>
      </c>
      <c r="R49" s="74">
        <v>550.25</v>
      </c>
      <c r="S49" s="74" t="str">
        <v>Normal Order</v>
      </c>
      <c r="T49" s="74" t="str">
        <v>Sarah Brown</v>
      </c>
      <c r="U49" s="74" t="str">
        <v>USD</v>
      </c>
      <c r="V49">
        <v>1</v>
      </c>
      <c r="W49" t="str">
        <v>No</v>
      </c>
      <c r="X49" t="str">
        <v>New Customer</v>
      </c>
      <c r="Y49">
        <v>1</v>
      </c>
      <c r="AB49" s="81"/>
      <c r="AC49" s="72"/>
      <c r="AD49" s="72"/>
      <c r="AE49" s="72"/>
      <c r="AK49" s="129"/>
      <c r="AL49" s="72"/>
      <c r="AM49" s="130"/>
    </row>
    <row r="50" spans="1:39" ht="15.6" x14ac:dyDescent="0.3">
      <c r="A50" s="80">
        <v>44581</v>
      </c>
      <c r="B50" s="2" t="s">
        <v>69</v>
      </c>
      <c r="C50" s="2" t="s">
        <v>49</v>
      </c>
      <c r="D50" s="2" t="s">
        <v>50</v>
      </c>
      <c r="E50" s="204">
        <v>950.6</v>
      </c>
      <c r="F50" s="2" t="s">
        <v>51</v>
      </c>
      <c r="G50" s="2" t="s">
        <v>3</v>
      </c>
      <c r="H50" s="2" t="s">
        <v>52</v>
      </c>
      <c r="I50" s="113">
        <f>IF(Table_5[[#This Row],[Sales Rep]]='For Manage'!$E$7,1,0)</f>
        <v>1</v>
      </c>
      <c r="J50" s="113" t="str">
        <f>IF(OR(Table_5[[#This Row],[Customer Name]]="ABC Manufacturing",Table_5[[#This Row],[Customer Name]]="123 Industries"), "Yes", "No")</f>
        <v>No</v>
      </c>
      <c r="K50" s="113" t="str">
        <f>IF(COUNTIFS(Table_5[Customer Name],B50, Table_5[Order Date], "&gt;="&amp;DATE(2021,1,1), Table_5[Order Date], "&lt;="&amp;DATE(2022,12,31))&gt;0, "Existing Customer", "New Customer")</f>
        <v>Existing Customer</v>
      </c>
      <c r="L50" s="113">
        <f>IF(Table_5[[#This Row],[Country]]='For Manage'!$E$11,1,0)</f>
        <v>1</v>
      </c>
      <c r="M50" s="113"/>
      <c r="N50" s="81">
        <v>45059</v>
      </c>
      <c r="O50" s="73" t="str">
        <v>Gray &amp; Co.</v>
      </c>
      <c r="P50" s="74" t="str">
        <v>USA</v>
      </c>
      <c r="Q50" s="74" t="str">
        <v>NA</v>
      </c>
      <c r="R50" s="74">
        <v>210000.25</v>
      </c>
      <c r="S50" s="74" t="str">
        <v>Normal Order</v>
      </c>
      <c r="T50" s="74" t="str">
        <v>Sarah Brown</v>
      </c>
      <c r="U50" s="74" t="str">
        <v>USD</v>
      </c>
      <c r="V50">
        <v>1</v>
      </c>
      <c r="W50" t="str">
        <v>No</v>
      </c>
      <c r="X50" t="str">
        <v>New Customer</v>
      </c>
      <c r="Y50">
        <v>1</v>
      </c>
      <c r="AB50" s="81"/>
      <c r="AC50" s="72"/>
      <c r="AD50" s="72"/>
      <c r="AE50" s="72"/>
      <c r="AK50" s="129"/>
      <c r="AL50" s="72"/>
      <c r="AM50" s="130"/>
    </row>
    <row r="51" spans="1:39" ht="15.6" x14ac:dyDescent="0.3">
      <c r="A51" s="80">
        <v>44617</v>
      </c>
      <c r="B51" s="2" t="s">
        <v>70</v>
      </c>
      <c r="C51" s="2" t="s">
        <v>49</v>
      </c>
      <c r="D51" s="2" t="s">
        <v>50</v>
      </c>
      <c r="E51" s="204">
        <v>250.9</v>
      </c>
      <c r="F51" s="2" t="s">
        <v>54</v>
      </c>
      <c r="G51" s="2" t="s">
        <v>3</v>
      </c>
      <c r="H51" s="2" t="s">
        <v>52</v>
      </c>
      <c r="I51" s="113">
        <f>IF(Table_5[[#This Row],[Sales Rep]]='For Manage'!$E$7,1,0)</f>
        <v>1</v>
      </c>
      <c r="J51" s="113" t="str">
        <f>IF(OR(Table_5[[#This Row],[Customer Name]]="ABC Manufacturing",Table_5[[#This Row],[Customer Name]]="123 Industries"), "Yes", "No")</f>
        <v>No</v>
      </c>
      <c r="K51" s="113" t="str">
        <f>IF(COUNTIFS(Table_5[Customer Name],B51, Table_5[Order Date], "&gt;="&amp;DATE(2021,1,1), Table_5[Order Date], "&lt;="&amp;DATE(2022,12,31))&gt;0, "Existing Customer", "New Customer")</f>
        <v>Existing Customer</v>
      </c>
      <c r="L51" s="113">
        <f>IF(Table_5[[#This Row],[Country]]='For Manage'!$E$11,1,0)</f>
        <v>1</v>
      </c>
      <c r="M51" s="113"/>
      <c r="N51" s="81">
        <v>45059</v>
      </c>
      <c r="O51" s="73" t="str">
        <v>ABC Manufacturing</v>
      </c>
      <c r="P51" s="74" t="str">
        <v>USA</v>
      </c>
      <c r="Q51" s="74" t="str">
        <v>NA</v>
      </c>
      <c r="R51" s="74">
        <v>550.85</v>
      </c>
      <c r="S51" s="74" t="str">
        <v>Normal Order</v>
      </c>
      <c r="T51" s="74" t="str">
        <v>Sarah Brown</v>
      </c>
      <c r="U51" s="74" t="str">
        <v>USD</v>
      </c>
      <c r="V51">
        <v>1</v>
      </c>
      <c r="W51" t="str">
        <v>Yes</v>
      </c>
      <c r="X51" t="str">
        <v>Existing Customer</v>
      </c>
      <c r="Y51">
        <v>1</v>
      </c>
      <c r="AB51" s="81"/>
      <c r="AC51" s="72"/>
      <c r="AD51" s="72"/>
      <c r="AE51" s="72"/>
      <c r="AK51" s="129"/>
      <c r="AL51" s="72"/>
      <c r="AM51" s="72"/>
    </row>
    <row r="52" spans="1:39" ht="15.6" x14ac:dyDescent="0.3">
      <c r="A52" s="80">
        <v>44622</v>
      </c>
      <c r="B52" s="2" t="s">
        <v>71</v>
      </c>
      <c r="C52" s="2" t="s">
        <v>49</v>
      </c>
      <c r="D52" s="2" t="s">
        <v>50</v>
      </c>
      <c r="E52" s="204">
        <v>750.25</v>
      </c>
      <c r="F52" s="2" t="s">
        <v>56</v>
      </c>
      <c r="G52" s="2" t="s">
        <v>3</v>
      </c>
      <c r="H52" s="2" t="s">
        <v>52</v>
      </c>
      <c r="I52" s="113">
        <f>IF(Table_5[[#This Row],[Sales Rep]]='For Manage'!$E$7,1,0)</f>
        <v>1</v>
      </c>
      <c r="J52" s="113" t="str">
        <f>IF(OR(Table_5[[#This Row],[Customer Name]]="ABC Manufacturing",Table_5[[#This Row],[Customer Name]]="123 Industries"), "Yes", "No")</f>
        <v>No</v>
      </c>
      <c r="K52" s="113" t="str">
        <f>IF(COUNTIFS(Table_5[Customer Name],B52, Table_5[Order Date], "&gt;="&amp;DATE(2021,1,1), Table_5[Order Date], "&lt;="&amp;DATE(2022,12,31))&gt;0, "Existing Customer", "New Customer")</f>
        <v>Existing Customer</v>
      </c>
      <c r="L52" s="113">
        <f>IF(Table_5[[#This Row],[Country]]='For Manage'!$E$11,1,0)</f>
        <v>1</v>
      </c>
      <c r="M52" s="113"/>
      <c r="N52" s="81">
        <v>45024</v>
      </c>
      <c r="O52" s="73" t="str">
        <v>LMN Enterprises</v>
      </c>
      <c r="P52" s="74" t="str">
        <v>USA</v>
      </c>
      <c r="Q52" s="74" t="str">
        <v>NA</v>
      </c>
      <c r="R52" s="74">
        <v>450000</v>
      </c>
      <c r="S52" s="74" t="str">
        <v>Machine Order</v>
      </c>
      <c r="T52" s="74" t="str">
        <v>Sarah Brown</v>
      </c>
      <c r="U52" s="74" t="str">
        <v>USD</v>
      </c>
      <c r="V52">
        <v>1</v>
      </c>
      <c r="W52" t="str">
        <v>No</v>
      </c>
      <c r="X52" t="str">
        <v>Existing Customer</v>
      </c>
      <c r="Y52">
        <v>1</v>
      </c>
      <c r="AB52" s="81"/>
      <c r="AC52" s="72"/>
      <c r="AD52" s="72"/>
      <c r="AE52" s="72"/>
      <c r="AK52" s="129"/>
      <c r="AL52" s="72"/>
      <c r="AM52" s="72"/>
    </row>
    <row r="53" spans="1:39" ht="15.6" x14ac:dyDescent="0.3">
      <c r="A53" s="80">
        <v>44658</v>
      </c>
      <c r="B53" s="2" t="s">
        <v>72</v>
      </c>
      <c r="C53" s="2" t="s">
        <v>49</v>
      </c>
      <c r="D53" s="2" t="s">
        <v>50</v>
      </c>
      <c r="E53" s="204">
        <v>850.35</v>
      </c>
      <c r="F53" s="2" t="s">
        <v>51</v>
      </c>
      <c r="G53" s="2" t="s">
        <v>3</v>
      </c>
      <c r="H53" s="2" t="s">
        <v>52</v>
      </c>
      <c r="I53" s="113">
        <f>IF(Table_5[[#This Row],[Sales Rep]]='For Manage'!$E$7,1,0)</f>
        <v>1</v>
      </c>
      <c r="J53" s="113" t="str">
        <f>IF(OR(Table_5[[#This Row],[Customer Name]]="ABC Manufacturing",Table_5[[#This Row],[Customer Name]]="123 Industries"), "Yes", "No")</f>
        <v>No</v>
      </c>
      <c r="K53" s="113" t="str">
        <f>IF(COUNTIFS(Table_5[Customer Name],B53, Table_5[Order Date], "&gt;="&amp;DATE(2021,1,1), Table_5[Order Date], "&lt;="&amp;DATE(2022,12,31))&gt;0, "Existing Customer", "New Customer")</f>
        <v>Existing Customer</v>
      </c>
      <c r="L53" s="113">
        <f>IF(Table_5[[#This Row],[Country]]='For Manage'!$E$11,1,0)</f>
        <v>1</v>
      </c>
      <c r="M53" s="113"/>
      <c r="N53" s="81">
        <v>45024</v>
      </c>
      <c r="O53" s="73" t="str">
        <v>Price Enterprises</v>
      </c>
      <c r="P53" s="74" t="str">
        <v>USA</v>
      </c>
      <c r="Q53" s="74" t="str">
        <v>NA</v>
      </c>
      <c r="R53" s="74">
        <v>450.8</v>
      </c>
      <c r="S53" s="74" t="str">
        <v>Machine Order</v>
      </c>
      <c r="T53" s="74" t="str">
        <v>Sarah Brown</v>
      </c>
      <c r="U53" s="74" t="str">
        <v>USD</v>
      </c>
      <c r="V53">
        <v>1</v>
      </c>
      <c r="W53" t="str">
        <v>No</v>
      </c>
      <c r="X53" t="str">
        <v>New Customer</v>
      </c>
      <c r="Y53">
        <v>1</v>
      </c>
      <c r="AB53" s="81"/>
      <c r="AC53" s="72"/>
      <c r="AD53" s="72"/>
      <c r="AE53" s="72"/>
      <c r="AK53" s="129"/>
      <c r="AL53" s="72"/>
      <c r="AM53" s="72"/>
    </row>
    <row r="54" spans="1:39" ht="15.6" x14ac:dyDescent="0.3">
      <c r="A54" s="80">
        <v>44693</v>
      </c>
      <c r="B54" s="2" t="s">
        <v>73</v>
      </c>
      <c r="C54" s="2" t="s">
        <v>49</v>
      </c>
      <c r="D54" s="2" t="s">
        <v>50</v>
      </c>
      <c r="E54" s="204">
        <v>150.4</v>
      </c>
      <c r="F54" s="2" t="s">
        <v>54</v>
      </c>
      <c r="G54" s="2" t="s">
        <v>3</v>
      </c>
      <c r="H54" s="2" t="s">
        <v>52</v>
      </c>
      <c r="I54" s="113">
        <f>IF(Table_5[[#This Row],[Sales Rep]]='For Manage'!$E$7,1,0)</f>
        <v>1</v>
      </c>
      <c r="J54" s="113" t="str">
        <f>IF(OR(Table_5[[#This Row],[Customer Name]]="ABC Manufacturing",Table_5[[#This Row],[Customer Name]]="123 Industries"), "Yes", "No")</f>
        <v>No</v>
      </c>
      <c r="K54" s="113" t="str">
        <f>IF(COUNTIFS(Table_5[Customer Name],B54, Table_5[Order Date], "&gt;="&amp;DATE(2021,1,1), Table_5[Order Date], "&lt;="&amp;DATE(2022,12,31))&gt;0, "Existing Customer", "New Customer")</f>
        <v>Existing Customer</v>
      </c>
      <c r="L54" s="113">
        <f>IF(Table_5[[#This Row],[Country]]='For Manage'!$E$11,1,0)</f>
        <v>1</v>
      </c>
      <c r="M54" s="113"/>
      <c r="N54" s="81">
        <v>45024</v>
      </c>
      <c r="O54" s="73" t="str">
        <v>Smith Solutions</v>
      </c>
      <c r="P54" s="74" t="str">
        <v>USA</v>
      </c>
      <c r="Q54" s="74" t="str">
        <v>NA</v>
      </c>
      <c r="R54" s="74">
        <v>4500.5</v>
      </c>
      <c r="S54" s="74" t="str">
        <v>Machine Order</v>
      </c>
      <c r="T54" s="74" t="str">
        <v>Sarah Brown</v>
      </c>
      <c r="U54" s="74" t="str">
        <v>USD</v>
      </c>
      <c r="V54">
        <v>1</v>
      </c>
      <c r="W54" t="str">
        <v>No</v>
      </c>
      <c r="X54" t="str">
        <v>New Customer</v>
      </c>
      <c r="Y54">
        <v>1</v>
      </c>
      <c r="AB54" s="81"/>
      <c r="AC54" s="72"/>
      <c r="AD54" s="72"/>
      <c r="AE54" s="72"/>
      <c r="AK54" s="129"/>
      <c r="AL54" s="72"/>
      <c r="AM54" s="72"/>
    </row>
    <row r="55" spans="1:39" ht="15.6" x14ac:dyDescent="0.3">
      <c r="A55" s="80">
        <v>44729</v>
      </c>
      <c r="B55" s="2" t="s">
        <v>74</v>
      </c>
      <c r="C55" s="2" t="s">
        <v>49</v>
      </c>
      <c r="D55" s="2" t="s">
        <v>50</v>
      </c>
      <c r="E55" s="204">
        <v>650.75</v>
      </c>
      <c r="F55" s="2" t="s">
        <v>56</v>
      </c>
      <c r="G55" s="2" t="s">
        <v>3</v>
      </c>
      <c r="H55" s="2" t="s">
        <v>52</v>
      </c>
      <c r="I55" s="113">
        <f>IF(Table_5[[#This Row],[Sales Rep]]='For Manage'!$E$7,1,0)</f>
        <v>1</v>
      </c>
      <c r="J55" s="113" t="str">
        <f>IF(OR(Table_5[[#This Row],[Customer Name]]="ABC Manufacturing",Table_5[[#This Row],[Customer Name]]="123 Industries"), "Yes", "No")</f>
        <v>No</v>
      </c>
      <c r="K55" s="113" t="str">
        <f>IF(COUNTIFS(Table_5[Customer Name],B55, Table_5[Order Date], "&gt;="&amp;DATE(2021,1,1), Table_5[Order Date], "&lt;="&amp;DATE(2022,12,31))&gt;0, "Existing Customer", "New Customer")</f>
        <v>Existing Customer</v>
      </c>
      <c r="L55" s="113">
        <f>IF(Table_5[[#This Row],[Country]]='For Manage'!$E$11,1,0)</f>
        <v>1</v>
      </c>
      <c r="M55" s="113"/>
      <c r="N55" s="81">
        <v>45024</v>
      </c>
      <c r="O55" s="73" t="str">
        <v>Cooper Group</v>
      </c>
      <c r="P55" s="74" t="str">
        <v>USA</v>
      </c>
      <c r="Q55" s="74" t="str">
        <v>NA</v>
      </c>
      <c r="R55" s="74">
        <v>450.95</v>
      </c>
      <c r="S55" s="74" t="str">
        <v>Machine Order</v>
      </c>
      <c r="T55" s="74" t="str">
        <v>Sarah Brown</v>
      </c>
      <c r="U55" s="74" t="str">
        <v>USD</v>
      </c>
      <c r="V55">
        <v>1</v>
      </c>
      <c r="W55" t="str">
        <v>No</v>
      </c>
      <c r="X55" t="str">
        <v>New Customer</v>
      </c>
      <c r="Y55">
        <v>1</v>
      </c>
      <c r="AB55" s="81"/>
      <c r="AC55" s="72"/>
      <c r="AD55" s="72"/>
      <c r="AE55" s="72"/>
      <c r="AK55" s="129"/>
      <c r="AL55" s="72"/>
      <c r="AM55" s="72"/>
    </row>
    <row r="56" spans="1:39" ht="15.6" x14ac:dyDescent="0.3">
      <c r="A56" s="80">
        <v>44764</v>
      </c>
      <c r="B56" s="2" t="s">
        <v>75</v>
      </c>
      <c r="C56" s="2" t="s">
        <v>49</v>
      </c>
      <c r="D56" s="2" t="s">
        <v>50</v>
      </c>
      <c r="E56" s="204">
        <v>450.65</v>
      </c>
      <c r="F56" s="2" t="s">
        <v>51</v>
      </c>
      <c r="G56" s="2" t="s">
        <v>3</v>
      </c>
      <c r="H56" s="2" t="s">
        <v>52</v>
      </c>
      <c r="I56" s="113">
        <f>IF(Table_5[[#This Row],[Sales Rep]]='For Manage'!$E$7,1,0)</f>
        <v>1</v>
      </c>
      <c r="J56" s="113" t="str">
        <f>IF(OR(Table_5[[#This Row],[Customer Name]]="ABC Manufacturing",Table_5[[#This Row],[Customer Name]]="123 Industries"), "Yes", "No")</f>
        <v>No</v>
      </c>
      <c r="K56" s="113" t="str">
        <f>IF(COUNTIFS(Table_5[Customer Name],B56, Table_5[Order Date], "&gt;="&amp;DATE(2021,1,1), Table_5[Order Date], "&lt;="&amp;DATE(2022,12,31))&gt;0, "Existing Customer", "New Customer")</f>
        <v>Existing Customer</v>
      </c>
      <c r="L56" s="113">
        <f>IF(Table_5[[#This Row],[Country]]='For Manage'!$E$11,1,0)</f>
        <v>1</v>
      </c>
      <c r="M56" s="113"/>
      <c r="N56" s="81">
        <v>45024</v>
      </c>
      <c r="O56" s="73" t="str">
        <v>Cooper Group</v>
      </c>
      <c r="P56" s="74" t="str">
        <v>USA</v>
      </c>
      <c r="Q56" s="74" t="str">
        <v>NA</v>
      </c>
      <c r="R56" s="74">
        <v>220050.95</v>
      </c>
      <c r="S56" s="74" t="str">
        <v>Machine Order</v>
      </c>
      <c r="T56" s="74" t="str">
        <v>Sarah Brown</v>
      </c>
      <c r="U56" s="74" t="str">
        <v>USD</v>
      </c>
      <c r="V56">
        <v>1</v>
      </c>
      <c r="W56" t="str">
        <v>No</v>
      </c>
      <c r="X56" t="str">
        <v>New Customer</v>
      </c>
      <c r="Y56">
        <v>1</v>
      </c>
      <c r="AB56" s="81"/>
      <c r="AC56" s="72"/>
      <c r="AD56" s="72"/>
      <c r="AE56" s="72"/>
      <c r="AK56" s="129"/>
      <c r="AL56" s="72"/>
      <c r="AM56" s="72"/>
    </row>
    <row r="57" spans="1:39" ht="15.6" x14ac:dyDescent="0.3">
      <c r="A57" s="80">
        <v>44800</v>
      </c>
      <c r="B57" s="2" t="s">
        <v>76</v>
      </c>
      <c r="C57" s="2" t="s">
        <v>49</v>
      </c>
      <c r="D57" s="2" t="s">
        <v>50</v>
      </c>
      <c r="E57" s="204">
        <v>550.79999999999995</v>
      </c>
      <c r="F57" s="2" t="s">
        <v>54</v>
      </c>
      <c r="G57" s="2" t="s">
        <v>3</v>
      </c>
      <c r="H57" s="2" t="s">
        <v>52</v>
      </c>
      <c r="I57" s="113">
        <f>IF(Table_5[[#This Row],[Sales Rep]]='For Manage'!$E$7,1,0)</f>
        <v>1</v>
      </c>
      <c r="J57" s="113" t="str">
        <f>IF(OR(Table_5[[#This Row],[Customer Name]]="ABC Manufacturing",Table_5[[#This Row],[Customer Name]]="123 Industries"), "Yes", "No")</f>
        <v>No</v>
      </c>
      <c r="K57" s="113" t="str">
        <f>IF(COUNTIFS(Table_5[Customer Name],B57, Table_5[Order Date], "&gt;="&amp;DATE(2021,1,1), Table_5[Order Date], "&lt;="&amp;DATE(2022,12,31))&gt;0, "Existing Customer", "New Customer")</f>
        <v>Existing Customer</v>
      </c>
      <c r="L57" s="113">
        <f>IF(Table_5[[#This Row],[Country]]='For Manage'!$E$11,1,0)</f>
        <v>1</v>
      </c>
      <c r="M57" s="113"/>
      <c r="N57" s="81">
        <v>45024</v>
      </c>
      <c r="O57" s="73" t="str">
        <v>EFG Inc.</v>
      </c>
      <c r="P57" s="74" t="str">
        <v>USA</v>
      </c>
      <c r="Q57" s="74" t="str">
        <v>NA</v>
      </c>
      <c r="R57" s="74">
        <v>450.6</v>
      </c>
      <c r="S57" s="74" t="str">
        <v>Machine Order</v>
      </c>
      <c r="T57" s="74" t="str">
        <v>Sarah Brown</v>
      </c>
      <c r="U57" s="74" t="str">
        <v>USD</v>
      </c>
      <c r="V57">
        <v>1</v>
      </c>
      <c r="W57" t="str">
        <v>No</v>
      </c>
      <c r="X57" t="str">
        <v>Existing Customer</v>
      </c>
      <c r="Y57">
        <v>1</v>
      </c>
      <c r="AB57" s="81"/>
      <c r="AC57" s="72"/>
      <c r="AD57" s="72"/>
      <c r="AE57" s="72"/>
      <c r="AK57" s="129"/>
      <c r="AL57" s="72"/>
      <c r="AM57" s="72"/>
    </row>
    <row r="58" spans="1:39" ht="15.6" x14ac:dyDescent="0.3">
      <c r="A58" s="80">
        <v>44805</v>
      </c>
      <c r="B58" s="2" t="s">
        <v>77</v>
      </c>
      <c r="C58" s="2" t="s">
        <v>49</v>
      </c>
      <c r="D58" s="2" t="s">
        <v>50</v>
      </c>
      <c r="E58" s="204">
        <v>950.7</v>
      </c>
      <c r="F58" s="2" t="s">
        <v>56</v>
      </c>
      <c r="G58" s="2" t="s">
        <v>3</v>
      </c>
      <c r="H58" s="2" t="s">
        <v>52</v>
      </c>
      <c r="I58" s="113">
        <f>IF(Table_5[[#This Row],[Sales Rep]]='For Manage'!$E$7,1,0)</f>
        <v>1</v>
      </c>
      <c r="J58" s="113" t="str">
        <f>IF(OR(Table_5[[#This Row],[Customer Name]]="ABC Manufacturing",Table_5[[#This Row],[Customer Name]]="123 Industries"), "Yes", "No")</f>
        <v>No</v>
      </c>
      <c r="K58" s="113" t="str">
        <f>IF(COUNTIFS(Table_5[Customer Name],B58, Table_5[Order Date], "&gt;="&amp;DATE(2021,1,1), Table_5[Order Date], "&lt;="&amp;DATE(2022,12,31))&gt;0, "Existing Customer", "New Customer")</f>
        <v>Existing Customer</v>
      </c>
      <c r="L58" s="113">
        <f>IF(Table_5[[#This Row],[Country]]='For Manage'!$E$11,1,0)</f>
        <v>1</v>
      </c>
      <c r="M58" s="113"/>
      <c r="N58" s="81">
        <v>44988</v>
      </c>
      <c r="O58" s="73" t="str">
        <v>XYZ Corporation</v>
      </c>
      <c r="P58" s="74" t="str">
        <v>USA</v>
      </c>
      <c r="Q58" s="74" t="str">
        <v>NA</v>
      </c>
      <c r="R58" s="74">
        <v>850000</v>
      </c>
      <c r="S58" s="74" t="str">
        <v>Service</v>
      </c>
      <c r="T58" s="74" t="str">
        <v>Sarah Brown</v>
      </c>
      <c r="U58" s="74" t="str">
        <v>USD</v>
      </c>
      <c r="V58">
        <v>1</v>
      </c>
      <c r="W58" t="str">
        <v>No</v>
      </c>
      <c r="X58" t="str">
        <v>Existing Customer</v>
      </c>
      <c r="Y58">
        <v>1</v>
      </c>
      <c r="AB58" s="81"/>
      <c r="AC58" s="72"/>
      <c r="AD58" s="72"/>
      <c r="AE58" s="72"/>
      <c r="AK58" s="129"/>
      <c r="AL58" s="72"/>
      <c r="AM58" s="72"/>
    </row>
    <row r="59" spans="1:39" ht="15.6" x14ac:dyDescent="0.3">
      <c r="A59" s="80">
        <v>44840</v>
      </c>
      <c r="B59" s="2" t="s">
        <v>78</v>
      </c>
      <c r="C59" s="2" t="s">
        <v>49</v>
      </c>
      <c r="D59" s="2" t="s">
        <v>50</v>
      </c>
      <c r="E59" s="204">
        <v>250.9</v>
      </c>
      <c r="F59" s="2" t="s">
        <v>51</v>
      </c>
      <c r="G59" s="2" t="s">
        <v>3</v>
      </c>
      <c r="H59" s="2" t="s">
        <v>52</v>
      </c>
      <c r="I59" s="113">
        <f>IF(Table_5[[#This Row],[Sales Rep]]='For Manage'!$E$7,1,0)</f>
        <v>1</v>
      </c>
      <c r="J59" s="113" t="str">
        <f>IF(OR(Table_5[[#This Row],[Customer Name]]="ABC Manufacturing",Table_5[[#This Row],[Customer Name]]="123 Industries"), "Yes", "No")</f>
        <v>No</v>
      </c>
      <c r="K59" s="113" t="str">
        <f>IF(COUNTIFS(Table_5[Customer Name],B59, Table_5[Order Date], "&gt;="&amp;DATE(2021,1,1), Table_5[Order Date], "&lt;="&amp;DATE(2022,12,31))&gt;0, "Existing Customer", "New Customer")</f>
        <v>Existing Customer</v>
      </c>
      <c r="L59" s="113">
        <f>IF(Table_5[[#This Row],[Country]]='For Manage'!$E$11,1,0)</f>
        <v>1</v>
      </c>
      <c r="M59" s="113"/>
      <c r="N59" s="81">
        <v>44988</v>
      </c>
      <c r="O59" s="73" t="str">
        <v>Hughes Inc.</v>
      </c>
      <c r="P59" s="74" t="str">
        <v>USA</v>
      </c>
      <c r="Q59" s="74" t="str">
        <v>NA</v>
      </c>
      <c r="R59" s="74">
        <v>850.45</v>
      </c>
      <c r="S59" s="74" t="str">
        <v>Service</v>
      </c>
      <c r="T59" s="74" t="str">
        <v>Sarah Brown</v>
      </c>
      <c r="U59" s="74" t="str">
        <v>USD</v>
      </c>
      <c r="V59">
        <v>1</v>
      </c>
      <c r="W59" t="str">
        <v>No</v>
      </c>
      <c r="X59" t="str">
        <v>New Customer</v>
      </c>
      <c r="Y59">
        <v>1</v>
      </c>
      <c r="AB59" s="81"/>
      <c r="AC59" s="72"/>
      <c r="AD59" s="72"/>
      <c r="AE59" s="72"/>
      <c r="AK59" s="129"/>
      <c r="AL59" s="72"/>
      <c r="AM59" s="72"/>
    </row>
    <row r="60" spans="1:39" ht="15.6" x14ac:dyDescent="0.3">
      <c r="A60" s="80">
        <v>44876</v>
      </c>
      <c r="B60" s="2" t="s">
        <v>79</v>
      </c>
      <c r="C60" s="2" t="s">
        <v>49</v>
      </c>
      <c r="D60" s="2" t="s">
        <v>50</v>
      </c>
      <c r="E60" s="204">
        <v>750.5</v>
      </c>
      <c r="F60" s="2" t="s">
        <v>54</v>
      </c>
      <c r="G60" s="2" t="s">
        <v>3</v>
      </c>
      <c r="H60" s="2" t="s">
        <v>52</v>
      </c>
      <c r="I60" s="113">
        <f>IF(Table_5[[#This Row],[Sales Rep]]='For Manage'!$E$7,1,0)</f>
        <v>1</v>
      </c>
      <c r="J60" s="113" t="str">
        <f>IF(OR(Table_5[[#This Row],[Customer Name]]="ABC Manufacturing",Table_5[[#This Row],[Customer Name]]="123 Industries"), "Yes", "No")</f>
        <v>No</v>
      </c>
      <c r="K60" s="113" t="str">
        <f>IF(COUNTIFS(Table_5[Customer Name],B60, Table_5[Order Date], "&gt;="&amp;DATE(2021,1,1), Table_5[Order Date], "&lt;="&amp;DATE(2022,12,31))&gt;0, "Existing Customer", "New Customer")</f>
        <v>Existing Customer</v>
      </c>
      <c r="L60" s="113">
        <f>IF(Table_5[[#This Row],[Country]]='For Manage'!$E$11,1,0)</f>
        <v>1</v>
      </c>
      <c r="M60" s="113"/>
      <c r="N60" s="81">
        <v>44988</v>
      </c>
      <c r="O60" s="73" t="str">
        <v>Martinez Enterprises</v>
      </c>
      <c r="P60" s="74" t="str">
        <v>USA</v>
      </c>
      <c r="Q60" s="74" t="str">
        <v>NA</v>
      </c>
      <c r="R60" s="74">
        <v>8500.25</v>
      </c>
      <c r="S60" s="74" t="str">
        <v>Service</v>
      </c>
      <c r="T60" s="74" t="str">
        <v>Sarah Brown</v>
      </c>
      <c r="U60" s="74" t="str">
        <v>USD</v>
      </c>
      <c r="V60">
        <v>1</v>
      </c>
      <c r="W60" t="str">
        <v>No</v>
      </c>
      <c r="X60" t="str">
        <v>New Customer</v>
      </c>
      <c r="Y60">
        <v>1</v>
      </c>
      <c r="AB60" s="81"/>
      <c r="AC60" s="72"/>
      <c r="AD60" s="72"/>
      <c r="AE60" s="72"/>
      <c r="AK60" s="129"/>
      <c r="AL60" s="72"/>
      <c r="AM60" s="72"/>
    </row>
    <row r="61" spans="1:39" ht="15.6" x14ac:dyDescent="0.3">
      <c r="A61" s="80">
        <v>44911</v>
      </c>
      <c r="B61" s="2" t="s">
        <v>80</v>
      </c>
      <c r="C61" s="2" t="s">
        <v>49</v>
      </c>
      <c r="D61" s="2" t="s">
        <v>50</v>
      </c>
      <c r="E61" s="204">
        <v>650.6</v>
      </c>
      <c r="F61" s="2" t="s">
        <v>56</v>
      </c>
      <c r="G61" s="2" t="s">
        <v>3</v>
      </c>
      <c r="H61" s="2" t="s">
        <v>52</v>
      </c>
      <c r="I61" s="113">
        <f>IF(Table_5[[#This Row],[Sales Rep]]='For Manage'!$E$7,1,0)</f>
        <v>1</v>
      </c>
      <c r="J61" s="113" t="str">
        <f>IF(OR(Table_5[[#This Row],[Customer Name]]="ABC Manufacturing",Table_5[[#This Row],[Customer Name]]="123 Industries"), "Yes", "No")</f>
        <v>No</v>
      </c>
      <c r="K61" s="113" t="str">
        <f>IF(COUNTIFS(Table_5[Customer Name],B61, Table_5[Order Date], "&gt;="&amp;DATE(2021,1,1), Table_5[Order Date], "&lt;="&amp;DATE(2022,12,31))&gt;0, "Existing Customer", "New Customer")</f>
        <v>Existing Customer</v>
      </c>
      <c r="L61" s="113">
        <f>IF(Table_5[[#This Row],[Country]]='For Manage'!$E$11,1,0)</f>
        <v>1</v>
      </c>
      <c r="M61" s="113"/>
      <c r="N61" s="81">
        <v>44988</v>
      </c>
      <c r="O61" s="73" t="str">
        <v>Baker &amp; Sons</v>
      </c>
      <c r="P61" s="74" t="str">
        <v>USA</v>
      </c>
      <c r="Q61" s="74" t="str">
        <v>NA</v>
      </c>
      <c r="R61" s="74">
        <v>850.8</v>
      </c>
      <c r="S61" s="74" t="str">
        <v>Service</v>
      </c>
      <c r="T61" s="74" t="str">
        <v>Sarah Brown</v>
      </c>
      <c r="U61" s="74" t="str">
        <v>USD</v>
      </c>
      <c r="V61">
        <v>1</v>
      </c>
      <c r="W61" t="str">
        <v>No</v>
      </c>
      <c r="X61" t="str">
        <v>New Customer</v>
      </c>
      <c r="Y61">
        <v>1</v>
      </c>
      <c r="AB61" s="81"/>
      <c r="AC61" s="72"/>
      <c r="AD61" s="72"/>
      <c r="AE61" s="72"/>
      <c r="AK61" s="129"/>
      <c r="AL61" s="72"/>
      <c r="AM61" s="72"/>
    </row>
    <row r="62" spans="1:39" ht="15.6" x14ac:dyDescent="0.3">
      <c r="A62" s="80">
        <v>44947</v>
      </c>
      <c r="B62" s="2" t="s">
        <v>81</v>
      </c>
      <c r="C62" s="2" t="s">
        <v>49</v>
      </c>
      <c r="D62" s="2" t="s">
        <v>50</v>
      </c>
      <c r="E62" s="204">
        <v>350.75</v>
      </c>
      <c r="F62" s="2" t="s">
        <v>51</v>
      </c>
      <c r="G62" s="2" t="s">
        <v>3</v>
      </c>
      <c r="H62" s="2" t="s">
        <v>52</v>
      </c>
      <c r="I62" s="113">
        <f>IF(Table_5[[#This Row],[Sales Rep]]='For Manage'!$E$7,1,0)</f>
        <v>1</v>
      </c>
      <c r="J62" s="113" t="str">
        <f>IF(OR(Table_5[[#This Row],[Customer Name]]="ABC Manufacturing",Table_5[[#This Row],[Customer Name]]="123 Industries"), "Yes", "No")</f>
        <v>No</v>
      </c>
      <c r="K62" s="113" t="str">
        <f>IF(COUNTIFS(Table_5[Customer Name],B62, Table_5[Order Date], "&gt;="&amp;DATE(2021,1,1), Table_5[Order Date], "&lt;="&amp;DATE(2022,12,31))&gt;0, "Existing Customer", "New Customer")</f>
        <v>New Customer</v>
      </c>
      <c r="L62" s="113">
        <f>IF(Table_5[[#This Row],[Country]]='For Manage'!$E$11,1,0)</f>
        <v>1</v>
      </c>
      <c r="M62" s="113"/>
      <c r="N62" s="81">
        <v>44988</v>
      </c>
      <c r="O62" s="73" t="str">
        <v>Baker &amp; Sons</v>
      </c>
      <c r="P62" s="74" t="str">
        <v>USA</v>
      </c>
      <c r="Q62" s="74" t="str">
        <v>NA</v>
      </c>
      <c r="R62" s="74">
        <v>300020.8</v>
      </c>
      <c r="S62" s="74" t="str">
        <v>Service</v>
      </c>
      <c r="T62" s="74" t="str">
        <v>Sarah Brown</v>
      </c>
      <c r="U62" s="74" t="str">
        <v>USD</v>
      </c>
      <c r="V62">
        <v>1</v>
      </c>
      <c r="W62" t="str">
        <v>No</v>
      </c>
      <c r="X62" t="str">
        <v>New Customer</v>
      </c>
      <c r="Y62">
        <v>1</v>
      </c>
      <c r="AB62" s="81"/>
      <c r="AC62" s="72"/>
      <c r="AD62" s="72"/>
      <c r="AE62" s="72"/>
      <c r="AK62" s="129"/>
      <c r="AL62" s="72"/>
      <c r="AM62" s="72"/>
    </row>
    <row r="63" spans="1:39" ht="15.6" x14ac:dyDescent="0.3">
      <c r="A63" s="80">
        <v>44983</v>
      </c>
      <c r="B63" s="2" t="s">
        <v>82</v>
      </c>
      <c r="C63" s="2" t="s">
        <v>49</v>
      </c>
      <c r="D63" s="2" t="s">
        <v>50</v>
      </c>
      <c r="E63" s="204">
        <v>150.9</v>
      </c>
      <c r="F63" s="2" t="s">
        <v>54</v>
      </c>
      <c r="G63" s="2" t="s">
        <v>3</v>
      </c>
      <c r="H63" s="2" t="s">
        <v>52</v>
      </c>
      <c r="I63" s="113">
        <f>IF(Table_5[[#This Row],[Sales Rep]]='For Manage'!$E$7,1,0)</f>
        <v>1</v>
      </c>
      <c r="J63" s="113" t="str">
        <f>IF(OR(Table_5[[#This Row],[Customer Name]]="ABC Manufacturing",Table_5[[#This Row],[Customer Name]]="123 Industries"), "Yes", "No")</f>
        <v>No</v>
      </c>
      <c r="K63" s="113" t="str">
        <f>IF(COUNTIFS(Table_5[Customer Name],B63, Table_5[Order Date], "&gt;="&amp;DATE(2021,1,1), Table_5[Order Date], "&lt;="&amp;DATE(2022,12,31))&gt;0, "Existing Customer", "New Customer")</f>
        <v>New Customer</v>
      </c>
      <c r="L63" s="113">
        <f>IF(Table_5[[#This Row],[Country]]='For Manage'!$E$11,1,0)</f>
        <v>1</v>
      </c>
      <c r="M63" s="113"/>
      <c r="N63" s="81">
        <v>44988</v>
      </c>
      <c r="O63" s="73" t="str">
        <v>OPQ Manufacturing</v>
      </c>
      <c r="P63" s="74" t="str">
        <v>USA</v>
      </c>
      <c r="Q63" s="74" t="str">
        <v>NA</v>
      </c>
      <c r="R63" s="74">
        <v>850.25</v>
      </c>
      <c r="S63" s="74" t="str">
        <v>Service</v>
      </c>
      <c r="T63" s="74" t="str">
        <v>Sarah Brown</v>
      </c>
      <c r="U63" s="74" t="str">
        <v>USD</v>
      </c>
      <c r="V63">
        <v>1</v>
      </c>
      <c r="W63" t="str">
        <v>No</v>
      </c>
      <c r="X63" t="str">
        <v>Existing Customer</v>
      </c>
      <c r="Y63">
        <v>1</v>
      </c>
      <c r="AB63" s="81"/>
      <c r="AC63" s="72"/>
      <c r="AD63" s="72"/>
      <c r="AE63" s="72"/>
      <c r="AK63" s="129"/>
      <c r="AL63" s="72"/>
      <c r="AM63" s="72"/>
    </row>
    <row r="64" spans="1:39" ht="15.6" x14ac:dyDescent="0.3">
      <c r="A64" s="80">
        <v>44988</v>
      </c>
      <c r="B64" s="2" t="s">
        <v>83</v>
      </c>
      <c r="C64" s="2" t="s">
        <v>49</v>
      </c>
      <c r="D64" s="2" t="s">
        <v>50</v>
      </c>
      <c r="E64" s="204">
        <v>850.45</v>
      </c>
      <c r="F64" s="2" t="s">
        <v>56</v>
      </c>
      <c r="G64" s="2" t="s">
        <v>3</v>
      </c>
      <c r="H64" s="2" t="s">
        <v>52</v>
      </c>
      <c r="I64" s="113">
        <f>IF(Table_5[[#This Row],[Sales Rep]]='For Manage'!$E$7,1,0)</f>
        <v>1</v>
      </c>
      <c r="J64" s="113" t="str">
        <f>IF(OR(Table_5[[#This Row],[Customer Name]]="ABC Manufacturing",Table_5[[#This Row],[Customer Name]]="123 Industries"), "Yes", "No")</f>
        <v>No</v>
      </c>
      <c r="K64" s="113" t="str">
        <f>IF(COUNTIFS(Table_5[Customer Name],B64, Table_5[Order Date], "&gt;="&amp;DATE(2021,1,1), Table_5[Order Date], "&lt;="&amp;DATE(2022,12,31))&gt;0, "Existing Customer", "New Customer")</f>
        <v>New Customer</v>
      </c>
      <c r="L64" s="113">
        <f>IF(Table_5[[#This Row],[Country]]='For Manage'!$E$11,1,0)</f>
        <v>1</v>
      </c>
      <c r="M64" s="113"/>
      <c r="N64" s="81">
        <v>44983</v>
      </c>
      <c r="O64" s="73" t="str">
        <v>ABC Manufacturing</v>
      </c>
      <c r="P64" s="74" t="str">
        <v>USA</v>
      </c>
      <c r="Q64" s="74" t="str">
        <v>NA</v>
      </c>
      <c r="R64" s="74">
        <v>150000</v>
      </c>
      <c r="S64" s="74" t="str">
        <v>Normal Order</v>
      </c>
      <c r="T64" s="74" t="str">
        <v>Sarah Brown</v>
      </c>
      <c r="U64" s="74" t="str">
        <v>USD</v>
      </c>
      <c r="V64">
        <v>1</v>
      </c>
      <c r="W64" t="str">
        <v>Yes</v>
      </c>
      <c r="X64" t="str">
        <v>Existing Customer</v>
      </c>
      <c r="Y64">
        <v>1</v>
      </c>
      <c r="AB64" s="81"/>
      <c r="AC64" s="72"/>
      <c r="AD64" s="72"/>
      <c r="AE64" s="72"/>
      <c r="AK64" s="129"/>
      <c r="AL64" s="72"/>
      <c r="AM64" s="72"/>
    </row>
    <row r="65" spans="1:39" ht="15.6" x14ac:dyDescent="0.3">
      <c r="A65" s="80">
        <v>45024</v>
      </c>
      <c r="B65" s="2" t="s">
        <v>84</v>
      </c>
      <c r="C65" s="2" t="s">
        <v>49</v>
      </c>
      <c r="D65" s="2" t="s">
        <v>50</v>
      </c>
      <c r="E65" s="204">
        <v>450.8</v>
      </c>
      <c r="F65" s="2" t="s">
        <v>51</v>
      </c>
      <c r="G65" s="2" t="s">
        <v>3</v>
      </c>
      <c r="H65" s="2" t="s">
        <v>52</v>
      </c>
      <c r="I65" s="113">
        <f>IF(Table_5[[#This Row],[Sales Rep]]='For Manage'!$E$7,1,0)</f>
        <v>1</v>
      </c>
      <c r="J65" s="113" t="str">
        <f>IF(OR(Table_5[[#This Row],[Customer Name]]="ABC Manufacturing",Table_5[[#This Row],[Customer Name]]="123 Industries"), "Yes", "No")</f>
        <v>No</v>
      </c>
      <c r="K65" s="113" t="str">
        <f>IF(COUNTIFS(Table_5[Customer Name],B65, Table_5[Order Date], "&gt;="&amp;DATE(2021,1,1), Table_5[Order Date], "&lt;="&amp;DATE(2022,12,31))&gt;0, "Existing Customer", "New Customer")</f>
        <v>New Customer</v>
      </c>
      <c r="L65" s="113">
        <f>IF(Table_5[[#This Row],[Country]]='For Manage'!$E$11,1,0)</f>
        <v>1</v>
      </c>
      <c r="M65" s="113"/>
      <c r="N65" s="81">
        <v>44983</v>
      </c>
      <c r="O65" s="73" t="str">
        <v>Stewart Group</v>
      </c>
      <c r="P65" s="74" t="str">
        <v>USA</v>
      </c>
      <c r="Q65" s="74" t="str">
        <v>NA</v>
      </c>
      <c r="R65" s="74">
        <v>150.9</v>
      </c>
      <c r="S65" s="74" t="str">
        <v>Normal Order</v>
      </c>
      <c r="T65" s="74" t="str">
        <v>Sarah Brown</v>
      </c>
      <c r="U65" s="74" t="str">
        <v>USD</v>
      </c>
      <c r="V65">
        <v>1</v>
      </c>
      <c r="W65" t="str">
        <v>No</v>
      </c>
      <c r="X65" t="str">
        <v>New Customer</v>
      </c>
      <c r="Y65">
        <v>1</v>
      </c>
      <c r="AB65" s="81"/>
      <c r="AC65" s="72"/>
      <c r="AD65" s="72"/>
      <c r="AE65" s="72"/>
      <c r="AK65" s="129"/>
      <c r="AL65" s="72"/>
      <c r="AM65" s="72"/>
    </row>
    <row r="66" spans="1:39" ht="15.6" x14ac:dyDescent="0.3">
      <c r="A66" s="80">
        <v>45059</v>
      </c>
      <c r="B66" s="2" t="s">
        <v>85</v>
      </c>
      <c r="C66" s="2" t="s">
        <v>49</v>
      </c>
      <c r="D66" s="2" t="s">
        <v>50</v>
      </c>
      <c r="E66" s="204">
        <v>550.9</v>
      </c>
      <c r="F66" s="2" t="s">
        <v>54</v>
      </c>
      <c r="G66" s="2" t="s">
        <v>3</v>
      </c>
      <c r="H66" s="2" t="s">
        <v>52</v>
      </c>
      <c r="I66" s="113">
        <f>IF(Table_5[[#This Row],[Sales Rep]]='For Manage'!$E$7,1,0)</f>
        <v>1</v>
      </c>
      <c r="J66" s="113" t="str">
        <f>IF(OR(Table_5[[#This Row],[Customer Name]]="ABC Manufacturing",Table_5[[#This Row],[Customer Name]]="123 Industries"), "Yes", "No")</f>
        <v>No</v>
      </c>
      <c r="K66" s="113" t="str">
        <f>IF(COUNTIFS(Table_5[Customer Name],B66, Table_5[Order Date], "&gt;="&amp;DATE(2021,1,1), Table_5[Order Date], "&lt;="&amp;DATE(2022,12,31))&gt;0, "Existing Customer", "New Customer")</f>
        <v>New Customer</v>
      </c>
      <c r="L66" s="113">
        <f>IF(Table_5[[#This Row],[Country]]='For Manage'!$E$11,1,0)</f>
        <v>1</v>
      </c>
      <c r="M66" s="113"/>
      <c r="N66" s="81">
        <v>44983</v>
      </c>
      <c r="O66" s="73" t="str">
        <v>Taylor &amp; Co.</v>
      </c>
      <c r="P66" s="74" t="str">
        <v>USA</v>
      </c>
      <c r="Q66" s="74" t="str">
        <v>NA</v>
      </c>
      <c r="R66" s="74">
        <v>1500.75</v>
      </c>
      <c r="S66" s="74" t="str">
        <v>Normal Order</v>
      </c>
      <c r="T66" s="74" t="str">
        <v>Sarah Brown</v>
      </c>
      <c r="U66" s="74" t="str">
        <v>USD</v>
      </c>
      <c r="V66">
        <v>1</v>
      </c>
      <c r="W66" t="str">
        <v>No</v>
      </c>
      <c r="X66" t="str">
        <v>Existing Customer</v>
      </c>
      <c r="Y66">
        <v>1</v>
      </c>
      <c r="AB66" s="81"/>
      <c r="AC66" s="72"/>
      <c r="AD66" s="72"/>
      <c r="AE66" s="72"/>
      <c r="AK66" s="129"/>
      <c r="AL66" s="72"/>
      <c r="AM66" s="72"/>
    </row>
    <row r="67" spans="1:39" ht="15.6" x14ac:dyDescent="0.3">
      <c r="A67" s="80">
        <v>45095</v>
      </c>
      <c r="B67" s="2" t="s">
        <v>86</v>
      </c>
      <c r="C67" s="2" t="s">
        <v>49</v>
      </c>
      <c r="D67" s="2" t="s">
        <v>50</v>
      </c>
      <c r="E67" s="204">
        <v>950.25</v>
      </c>
      <c r="F67" s="2" t="s">
        <v>56</v>
      </c>
      <c r="G67" s="2" t="s">
        <v>3</v>
      </c>
      <c r="H67" s="2" t="s">
        <v>52</v>
      </c>
      <c r="I67" s="113">
        <f>IF(Table_5[[#This Row],[Sales Rep]]='For Manage'!$E$7,1,0)</f>
        <v>1</v>
      </c>
      <c r="J67" s="113" t="str">
        <f>IF(OR(Table_5[[#This Row],[Customer Name]]="ABC Manufacturing",Table_5[[#This Row],[Customer Name]]="123 Industries"), "Yes", "No")</f>
        <v>No</v>
      </c>
      <c r="K67" s="113" t="str">
        <f>IF(COUNTIFS(Table_5[Customer Name],B67, Table_5[Order Date], "&gt;="&amp;DATE(2021,1,1), Table_5[Order Date], "&lt;="&amp;DATE(2022,12,31))&gt;0, "Existing Customer", "New Customer")</f>
        <v>New Customer</v>
      </c>
      <c r="L67" s="113">
        <f>IF(Table_5[[#This Row],[Country]]='For Manage'!$E$11,1,0)</f>
        <v>1</v>
      </c>
      <c r="M67" s="113"/>
      <c r="N67" s="81">
        <v>44983</v>
      </c>
      <c r="O67" s="73" t="str">
        <v>Evans Corporation</v>
      </c>
      <c r="P67" s="74" t="str">
        <v>USA</v>
      </c>
      <c r="Q67" s="74" t="str">
        <v>NA</v>
      </c>
      <c r="R67" s="74">
        <v>150.55000000000001</v>
      </c>
      <c r="S67" s="74" t="str">
        <v>Normal Order</v>
      </c>
      <c r="T67" s="74" t="str">
        <v>Sarah Brown</v>
      </c>
      <c r="U67" s="74" t="str">
        <v>USD</v>
      </c>
      <c r="V67">
        <v>1</v>
      </c>
      <c r="W67" t="str">
        <v>No</v>
      </c>
      <c r="X67" t="str">
        <v>New Customer</v>
      </c>
      <c r="Y67">
        <v>1</v>
      </c>
      <c r="AB67" s="81"/>
      <c r="AC67" s="72"/>
      <c r="AD67" s="72"/>
      <c r="AE67" s="72"/>
      <c r="AK67" s="129"/>
      <c r="AL67" s="72"/>
      <c r="AM67" s="72"/>
    </row>
    <row r="68" spans="1:39" ht="15.6" x14ac:dyDescent="0.3">
      <c r="A68" s="80">
        <v>45130</v>
      </c>
      <c r="B68" s="2" t="s">
        <v>87</v>
      </c>
      <c r="C68" s="2" t="s">
        <v>49</v>
      </c>
      <c r="D68" s="2" t="s">
        <v>50</v>
      </c>
      <c r="E68" s="204">
        <v>250.5</v>
      </c>
      <c r="F68" s="2" t="s">
        <v>51</v>
      </c>
      <c r="G68" s="2" t="s">
        <v>3</v>
      </c>
      <c r="H68" s="2" t="s">
        <v>52</v>
      </c>
      <c r="I68" s="113">
        <f>IF(Table_5[[#This Row],[Sales Rep]]='For Manage'!$E$7,1,0)</f>
        <v>1</v>
      </c>
      <c r="J68" s="113" t="str">
        <f>IF(OR(Table_5[[#This Row],[Customer Name]]="ABC Manufacturing",Table_5[[#This Row],[Customer Name]]="123 Industries"), "Yes", "No")</f>
        <v>No</v>
      </c>
      <c r="K68" s="113" t="str">
        <f>IF(COUNTIFS(Table_5[Customer Name],B68, Table_5[Order Date], "&gt;="&amp;DATE(2021,1,1), Table_5[Order Date], "&lt;="&amp;DATE(2022,12,31))&gt;0, "Existing Customer", "New Customer")</f>
        <v>New Customer</v>
      </c>
      <c r="L68" s="113">
        <f>IF(Table_5[[#This Row],[Country]]='For Manage'!$E$11,1,0)</f>
        <v>1</v>
      </c>
      <c r="M68" s="113"/>
      <c r="N68" s="81">
        <v>44983</v>
      </c>
      <c r="O68" s="73" t="str">
        <v>STU Corporation</v>
      </c>
      <c r="P68" s="74" t="str">
        <v>USA</v>
      </c>
      <c r="Q68" s="74" t="str">
        <v>NA</v>
      </c>
      <c r="R68" s="74">
        <v>150.55000000000001</v>
      </c>
      <c r="S68" s="74" t="str">
        <v>Normal Order</v>
      </c>
      <c r="T68" s="74" t="str">
        <v>Sarah Brown</v>
      </c>
      <c r="U68" s="74" t="str">
        <v>USD</v>
      </c>
      <c r="V68">
        <v>1</v>
      </c>
      <c r="W68" t="str">
        <v>No</v>
      </c>
      <c r="X68" t="str">
        <v>Existing Customer</v>
      </c>
      <c r="Y68">
        <v>1</v>
      </c>
      <c r="AB68" s="81"/>
      <c r="AC68" s="72"/>
      <c r="AD68" s="72"/>
      <c r="AE68" s="72"/>
      <c r="AK68" s="129"/>
      <c r="AL68" s="72"/>
      <c r="AM68" s="72"/>
    </row>
    <row r="69" spans="1:39" ht="15.6" x14ac:dyDescent="0.3">
      <c r="A69" s="80">
        <v>45166</v>
      </c>
      <c r="B69" s="2" t="s">
        <v>88</v>
      </c>
      <c r="C69" s="2" t="s">
        <v>49</v>
      </c>
      <c r="D69" s="2" t="s">
        <v>50</v>
      </c>
      <c r="E69" s="204">
        <v>750.6</v>
      </c>
      <c r="F69" s="2" t="s">
        <v>54</v>
      </c>
      <c r="G69" s="2" t="s">
        <v>3</v>
      </c>
      <c r="H69" s="2" t="s">
        <v>52</v>
      </c>
      <c r="I69" s="113">
        <f>IF(Table_5[[#This Row],[Sales Rep]]='For Manage'!$E$7,1,0)</f>
        <v>1</v>
      </c>
      <c r="J69" s="113" t="str">
        <f>IF(OR(Table_5[[#This Row],[Customer Name]]="ABC Manufacturing",Table_5[[#This Row],[Customer Name]]="123 Industries"), "Yes", "No")</f>
        <v>No</v>
      </c>
      <c r="K69" s="113" t="str">
        <f>IF(COUNTIFS(Table_5[Customer Name],B69, Table_5[Order Date], "&gt;="&amp;DATE(2021,1,1), Table_5[Order Date], "&lt;="&amp;DATE(2022,12,31))&gt;0, "Existing Customer", "New Customer")</f>
        <v>Existing Customer</v>
      </c>
      <c r="L69" s="113">
        <f>IF(Table_5[[#This Row],[Country]]='For Manage'!$E$11,1,0)</f>
        <v>1</v>
      </c>
      <c r="M69" s="113"/>
      <c r="N69" s="81">
        <v>44982</v>
      </c>
      <c r="O69" s="73" t="str">
        <v>Evans Corporation</v>
      </c>
      <c r="P69" s="74" t="str">
        <v>USA</v>
      </c>
      <c r="Q69" s="74" t="str">
        <v>NA</v>
      </c>
      <c r="R69" s="74">
        <v>200050.55</v>
      </c>
      <c r="S69" s="74" t="str">
        <v>Normal Order</v>
      </c>
      <c r="T69" s="74" t="str">
        <v>Sarah Brown</v>
      </c>
      <c r="U69" s="74" t="str">
        <v>USD</v>
      </c>
      <c r="V69">
        <v>1</v>
      </c>
      <c r="W69" t="str">
        <v>No</v>
      </c>
      <c r="X69" t="str">
        <v>New Customer</v>
      </c>
      <c r="Y69">
        <v>1</v>
      </c>
      <c r="AB69" s="81"/>
      <c r="AC69" s="72"/>
      <c r="AD69" s="72"/>
      <c r="AE69" s="72"/>
      <c r="AK69" s="129"/>
      <c r="AL69" s="72"/>
      <c r="AM69" s="72"/>
    </row>
    <row r="70" spans="1:39" ht="15.6" x14ac:dyDescent="0.3">
      <c r="A70" s="80">
        <v>45171</v>
      </c>
      <c r="B70" s="2" t="s">
        <v>89</v>
      </c>
      <c r="C70" s="2" t="s">
        <v>49</v>
      </c>
      <c r="D70" s="2" t="s">
        <v>50</v>
      </c>
      <c r="E70" s="204">
        <v>650.25</v>
      </c>
      <c r="F70" s="2" t="s">
        <v>56</v>
      </c>
      <c r="G70" s="2" t="s">
        <v>3</v>
      </c>
      <c r="H70" s="2" t="s">
        <v>52</v>
      </c>
      <c r="I70" s="113">
        <f>IF(Table_5[[#This Row],[Sales Rep]]='For Manage'!$E$7,1,0)</f>
        <v>1</v>
      </c>
      <c r="J70" s="113" t="str">
        <f>IF(OR(Table_5[[#This Row],[Customer Name]]="ABC Manufacturing",Table_5[[#This Row],[Customer Name]]="123 Industries"), "Yes", "No")</f>
        <v>No</v>
      </c>
      <c r="K70" s="113" t="str">
        <f>IF(COUNTIFS(Table_5[Customer Name],B70, Table_5[Order Date], "&gt;="&amp;DATE(2021,1,1), Table_5[Order Date], "&lt;="&amp;DATE(2022,12,31))&gt;0, "Existing Customer", "New Customer")</f>
        <v>New Customer</v>
      </c>
      <c r="L70" s="113">
        <f>IF(Table_5[[#This Row],[Country]]='For Manage'!$E$11,1,0)</f>
        <v>1</v>
      </c>
      <c r="M70" s="113"/>
      <c r="N70" s="81">
        <v>44947</v>
      </c>
      <c r="O70" s="73" t="str">
        <v>PQR Incorporated</v>
      </c>
      <c r="P70" s="74" t="str">
        <v>USA</v>
      </c>
      <c r="Q70" s="74" t="str">
        <v>NA</v>
      </c>
      <c r="R70" s="74">
        <v>350000</v>
      </c>
      <c r="S70" s="74" t="str">
        <v>Machine Order</v>
      </c>
      <c r="T70" s="74" t="str">
        <v>Sarah Brown</v>
      </c>
      <c r="U70" s="74" t="str">
        <v>USD</v>
      </c>
      <c r="V70">
        <v>1</v>
      </c>
      <c r="W70" t="str">
        <v>No</v>
      </c>
      <c r="X70" t="str">
        <v>Existing Customer</v>
      </c>
      <c r="Y70">
        <v>1</v>
      </c>
      <c r="AB70" s="81"/>
      <c r="AC70" s="72"/>
      <c r="AD70" s="72"/>
      <c r="AE70" s="72"/>
      <c r="AK70" s="129"/>
      <c r="AL70" s="72"/>
      <c r="AM70" s="72"/>
    </row>
    <row r="71" spans="1:39" ht="15.6" x14ac:dyDescent="0.3">
      <c r="A71" s="80">
        <v>45206</v>
      </c>
      <c r="B71" s="2" t="s">
        <v>90</v>
      </c>
      <c r="C71" s="2" t="s">
        <v>49</v>
      </c>
      <c r="D71" s="2" t="s">
        <v>50</v>
      </c>
      <c r="E71" s="204">
        <v>350.7</v>
      </c>
      <c r="F71" s="2" t="s">
        <v>51</v>
      </c>
      <c r="G71" s="2" t="s">
        <v>3</v>
      </c>
      <c r="H71" s="2" t="s">
        <v>52</v>
      </c>
      <c r="I71" s="113">
        <f>IF(Table_5[[#This Row],[Sales Rep]]='For Manage'!$E$7,1,0)</f>
        <v>1</v>
      </c>
      <c r="J71" s="113" t="str">
        <f>IF(OR(Table_5[[#This Row],[Customer Name]]="ABC Manufacturing",Table_5[[#This Row],[Customer Name]]="123 Industries"), "Yes", "No")</f>
        <v>No</v>
      </c>
      <c r="K71" s="113" t="str">
        <f>IF(COUNTIFS(Table_5[Customer Name],B71, Table_5[Order Date], "&gt;="&amp;DATE(2021,1,1), Table_5[Order Date], "&lt;="&amp;DATE(2022,12,31))&gt;0, "Existing Customer", "New Customer")</f>
        <v>New Customer</v>
      </c>
      <c r="L71" s="113">
        <f>IF(Table_5[[#This Row],[Country]]='For Manage'!$E$11,1,0)</f>
        <v>1</v>
      </c>
      <c r="M71" s="113"/>
      <c r="N71" s="81">
        <v>44947</v>
      </c>
      <c r="O71" s="73" t="str">
        <v>Adams Ltd.</v>
      </c>
      <c r="P71" s="74" t="str">
        <v>USA</v>
      </c>
      <c r="Q71" s="74" t="str">
        <v>NA</v>
      </c>
      <c r="R71" s="74">
        <v>350.75</v>
      </c>
      <c r="S71" s="74" t="str">
        <v>Machine Order</v>
      </c>
      <c r="T71" s="74" t="str">
        <v>Sarah Brown</v>
      </c>
      <c r="U71" s="74" t="str">
        <v>USD</v>
      </c>
      <c r="V71">
        <v>1</v>
      </c>
      <c r="W71" t="str">
        <v>No</v>
      </c>
      <c r="X71" t="str">
        <v>New Customer</v>
      </c>
      <c r="Y71">
        <v>1</v>
      </c>
      <c r="AB71" s="81"/>
      <c r="AC71" s="72"/>
      <c r="AD71" s="72"/>
      <c r="AE71" s="72"/>
      <c r="AK71" s="129"/>
      <c r="AL71" s="72"/>
      <c r="AM71" s="72"/>
    </row>
    <row r="72" spans="1:39" ht="15.6" x14ac:dyDescent="0.3">
      <c r="A72" s="80">
        <v>45242</v>
      </c>
      <c r="B72" s="2" t="s">
        <v>91</v>
      </c>
      <c r="C72" s="2" t="s">
        <v>49</v>
      </c>
      <c r="D72" s="2" t="s">
        <v>50</v>
      </c>
      <c r="E72" s="204">
        <v>150.80000000000001</v>
      </c>
      <c r="F72" s="2" t="s">
        <v>54</v>
      </c>
      <c r="G72" s="2" t="s">
        <v>3</v>
      </c>
      <c r="H72" s="2" t="s">
        <v>52</v>
      </c>
      <c r="I72" s="113">
        <f>IF(Table_5[[#This Row],[Sales Rep]]='For Manage'!$E$7,1,0)</f>
        <v>1</v>
      </c>
      <c r="J72" s="113" t="str">
        <f>IF(OR(Table_5[[#This Row],[Customer Name]]="ABC Manufacturing",Table_5[[#This Row],[Customer Name]]="123 Industries"), "Yes", "No")</f>
        <v>No</v>
      </c>
      <c r="K72" s="113" t="str">
        <f>IF(COUNTIFS(Table_5[Customer Name],B72, Table_5[Order Date], "&gt;="&amp;DATE(2021,1,1), Table_5[Order Date], "&lt;="&amp;DATE(2022,12,31))&gt;0, "Existing Customer", "New Customer")</f>
        <v>New Customer</v>
      </c>
      <c r="L72" s="113">
        <f>IF(Table_5[[#This Row],[Country]]='For Manage'!$E$11,1,0)</f>
        <v>1</v>
      </c>
      <c r="M72" s="113"/>
      <c r="N72" s="81">
        <v>44947</v>
      </c>
      <c r="O72" s="73" t="str">
        <v>Davis Solutions</v>
      </c>
      <c r="P72" s="74" t="str">
        <v>USA</v>
      </c>
      <c r="Q72" s="74" t="str">
        <v>NA</v>
      </c>
      <c r="R72" s="74">
        <v>3500.5</v>
      </c>
      <c r="S72" s="74" t="str">
        <v>Machine Order</v>
      </c>
      <c r="T72" s="74" t="str">
        <v>Sarah Brown</v>
      </c>
      <c r="U72" s="74" t="str">
        <v>USD</v>
      </c>
      <c r="V72">
        <v>1</v>
      </c>
      <c r="W72" t="str">
        <v>No</v>
      </c>
      <c r="X72" t="str">
        <v>New Customer</v>
      </c>
      <c r="Y72">
        <v>1</v>
      </c>
      <c r="AB72" s="81"/>
      <c r="AC72" s="72"/>
      <c r="AD72" s="72"/>
      <c r="AE72" s="72"/>
      <c r="AK72" s="129"/>
      <c r="AL72" s="72"/>
      <c r="AM72" s="72"/>
    </row>
    <row r="73" spans="1:39" ht="15.6" x14ac:dyDescent="0.3">
      <c r="A73" s="80">
        <v>45277</v>
      </c>
      <c r="B73" s="2" t="s">
        <v>92</v>
      </c>
      <c r="C73" s="2" t="s">
        <v>49</v>
      </c>
      <c r="D73" s="2" t="s">
        <v>50</v>
      </c>
      <c r="E73" s="204">
        <v>850.45</v>
      </c>
      <c r="F73" s="2" t="s">
        <v>56</v>
      </c>
      <c r="G73" s="2" t="s">
        <v>3</v>
      </c>
      <c r="H73" s="2" t="s">
        <v>52</v>
      </c>
      <c r="I73" s="113">
        <f>IF(Table_5[[#This Row],[Sales Rep]]='For Manage'!$E$7,1,0)</f>
        <v>1</v>
      </c>
      <c r="J73" s="113" t="str">
        <f>IF(OR(Table_5[[#This Row],[Customer Name]]="ABC Manufacturing",Table_5[[#This Row],[Customer Name]]="123 Industries"), "Yes", "No")</f>
        <v>No</v>
      </c>
      <c r="K73" s="113" t="str">
        <f>IF(COUNTIFS(Table_5[Customer Name],B73, Table_5[Order Date], "&gt;="&amp;DATE(2021,1,1), Table_5[Order Date], "&lt;="&amp;DATE(2022,12,31))&gt;0, "Existing Customer", "New Customer")</f>
        <v>New Customer</v>
      </c>
      <c r="L73" s="113">
        <f>IF(Table_5[[#This Row],[Country]]='For Manage'!$E$11,1,0)</f>
        <v>1</v>
      </c>
      <c r="M73" s="113"/>
      <c r="N73" s="81">
        <v>44947</v>
      </c>
      <c r="O73" s="73" t="str">
        <v>Hall Industries</v>
      </c>
      <c r="P73" s="74" t="str">
        <v>USA</v>
      </c>
      <c r="Q73" s="74" t="str">
        <v>NA</v>
      </c>
      <c r="R73" s="74">
        <v>350.75</v>
      </c>
      <c r="S73" s="74" t="str">
        <v>Machine Order</v>
      </c>
      <c r="T73" s="74" t="str">
        <v>Sarah Brown</v>
      </c>
      <c r="U73" s="74" t="str">
        <v>USD</v>
      </c>
      <c r="V73">
        <v>1</v>
      </c>
      <c r="W73" t="str">
        <v>No</v>
      </c>
      <c r="X73" t="str">
        <v>New Customer</v>
      </c>
      <c r="Y73">
        <v>1</v>
      </c>
      <c r="AB73" s="81"/>
      <c r="AC73" s="72"/>
      <c r="AD73" s="72"/>
      <c r="AE73" s="72"/>
      <c r="AK73" s="129"/>
      <c r="AL73" s="72"/>
      <c r="AM73" s="72"/>
    </row>
    <row r="74" spans="1:39" ht="15.6" x14ac:dyDescent="0.3">
      <c r="A74" s="80">
        <v>44206</v>
      </c>
      <c r="B74" s="2" t="s">
        <v>93</v>
      </c>
      <c r="C74" s="2" t="s">
        <v>49</v>
      </c>
      <c r="D74" s="2" t="s">
        <v>50</v>
      </c>
      <c r="E74" s="204">
        <v>5000.25</v>
      </c>
      <c r="F74" s="2" t="s">
        <v>51</v>
      </c>
      <c r="G74" s="2" t="s">
        <v>3</v>
      </c>
      <c r="H74" s="2" t="s">
        <v>52</v>
      </c>
      <c r="I74" s="113">
        <f>IF(Table_5[[#This Row],[Sales Rep]]='For Manage'!$E$7,1,0)</f>
        <v>1</v>
      </c>
      <c r="J74" s="113" t="str">
        <f>IF(OR(Table_5[[#This Row],[Customer Name]]="ABC Manufacturing",Table_5[[#This Row],[Customer Name]]="123 Industries"), "Yes", "No")</f>
        <v>No</v>
      </c>
      <c r="K74" s="113" t="str">
        <f>IF(COUNTIFS(Table_5[Customer Name],B74, Table_5[Order Date], "&gt;="&amp;DATE(2021,1,1), Table_5[Order Date], "&lt;="&amp;DATE(2022,12,31))&gt;0, "Existing Customer", "New Customer")</f>
        <v>Existing Customer</v>
      </c>
      <c r="L74" s="113">
        <f>IF(Table_5[[#This Row],[Country]]='For Manage'!$E$11,1,0)</f>
        <v>1</v>
      </c>
      <c r="M74" s="113"/>
      <c r="N74" s="81">
        <v>44947</v>
      </c>
      <c r="O74" s="73" t="str">
        <v>HIJ Industries</v>
      </c>
      <c r="P74" s="74" t="str">
        <v>USA</v>
      </c>
      <c r="Q74" s="74" t="str">
        <v>NA</v>
      </c>
      <c r="R74" s="74">
        <v>350.45</v>
      </c>
      <c r="S74" s="74" t="str">
        <v>Machine Order</v>
      </c>
      <c r="T74" s="74" t="str">
        <v>Sarah Brown</v>
      </c>
      <c r="U74" s="74" t="str">
        <v>USD</v>
      </c>
      <c r="V74">
        <v>1</v>
      </c>
      <c r="W74" t="str">
        <v>No</v>
      </c>
      <c r="X74" t="str">
        <v>Existing Customer</v>
      </c>
      <c r="Y74">
        <v>1</v>
      </c>
      <c r="AB74" s="81"/>
      <c r="AC74" s="72"/>
      <c r="AD74" s="72"/>
      <c r="AE74" s="72"/>
      <c r="AK74" s="129"/>
      <c r="AL74" s="72"/>
      <c r="AM74" s="72"/>
    </row>
    <row r="75" spans="1:39" ht="15.6" x14ac:dyDescent="0.3">
      <c r="A75" s="80">
        <v>44242</v>
      </c>
      <c r="B75" s="2" t="s">
        <v>94</v>
      </c>
      <c r="C75" s="2" t="s">
        <v>49</v>
      </c>
      <c r="D75" s="2" t="s">
        <v>50</v>
      </c>
      <c r="E75" s="204">
        <v>7000.75</v>
      </c>
      <c r="F75" s="2" t="s">
        <v>54</v>
      </c>
      <c r="G75" s="2" t="s">
        <v>3</v>
      </c>
      <c r="H75" s="2" t="s">
        <v>52</v>
      </c>
      <c r="I75" s="113">
        <f>IF(Table_5[[#This Row],[Sales Rep]]='For Manage'!$E$7,1,0)</f>
        <v>1</v>
      </c>
      <c r="J75" s="113" t="str">
        <f>IF(OR(Table_5[[#This Row],[Customer Name]]="ABC Manufacturing",Table_5[[#This Row],[Customer Name]]="123 Industries"), "Yes", "No")</f>
        <v>No</v>
      </c>
      <c r="K75" s="113" t="str">
        <f>IF(COUNTIFS(Table_5[Customer Name],B75, Table_5[Order Date], "&gt;="&amp;DATE(2021,1,1), Table_5[Order Date], "&lt;="&amp;DATE(2022,12,31))&gt;0, "Existing Customer", "New Customer")</f>
        <v>Existing Customer</v>
      </c>
      <c r="L75" s="113">
        <f>IF(Table_5[[#This Row],[Country]]='For Manage'!$E$11,1,0)</f>
        <v>1</v>
      </c>
      <c r="M75" s="113"/>
      <c r="N75" s="81">
        <v>44946</v>
      </c>
      <c r="O75" s="73" t="str">
        <v>Hall Industries</v>
      </c>
      <c r="P75" s="74" t="str">
        <v>USA</v>
      </c>
      <c r="Q75" s="74" t="str">
        <v>NA</v>
      </c>
      <c r="R75" s="74">
        <v>25000.75</v>
      </c>
      <c r="S75" s="74" t="str">
        <v>Machine Order</v>
      </c>
      <c r="T75" s="74" t="str">
        <v>Sarah Brown</v>
      </c>
      <c r="U75" s="74" t="str">
        <v>USD</v>
      </c>
      <c r="V75">
        <v>1</v>
      </c>
      <c r="W75" t="str">
        <v>No</v>
      </c>
      <c r="X75" t="str">
        <v>New Customer</v>
      </c>
      <c r="Y75">
        <v>1</v>
      </c>
      <c r="AB75" s="81"/>
      <c r="AC75" s="72"/>
      <c r="AD75" s="72"/>
      <c r="AE75" s="72"/>
      <c r="AK75" s="129"/>
      <c r="AL75" s="72"/>
      <c r="AM75" s="72"/>
    </row>
    <row r="76" spans="1:39" ht="15.6" x14ac:dyDescent="0.3">
      <c r="A76" s="80">
        <v>44275</v>
      </c>
      <c r="B76" s="2" t="s">
        <v>95</v>
      </c>
      <c r="C76" s="2" t="s">
        <v>49</v>
      </c>
      <c r="D76" s="2" t="s">
        <v>50</v>
      </c>
      <c r="E76" s="204">
        <v>3000.5</v>
      </c>
      <c r="F76" s="2" t="s">
        <v>56</v>
      </c>
      <c r="G76" s="2" t="s">
        <v>3</v>
      </c>
      <c r="H76" s="2" t="s">
        <v>52</v>
      </c>
      <c r="I76" s="113">
        <f>IF(Table_5[[#This Row],[Sales Rep]]='For Manage'!$E$7,1,0)</f>
        <v>1</v>
      </c>
      <c r="J76" s="113" t="str">
        <f>IF(OR(Table_5[[#This Row],[Customer Name]]="ABC Manufacturing",Table_5[[#This Row],[Customer Name]]="123 Industries"), "Yes", "No")</f>
        <v>No</v>
      </c>
      <c r="K76" s="113" t="str">
        <f>IF(COUNTIFS(Table_5[Customer Name],B76, Table_5[Order Date], "&gt;="&amp;DATE(2021,1,1), Table_5[Order Date], "&lt;="&amp;DATE(2022,12,31))&gt;0, "Existing Customer", "New Customer")</f>
        <v>Existing Customer</v>
      </c>
      <c r="L76" s="113">
        <f>IF(Table_5[[#This Row],[Country]]='For Manage'!$E$11,1,0)</f>
        <v>1</v>
      </c>
      <c r="M76" s="113"/>
      <c r="N76" s="81">
        <v>44911</v>
      </c>
      <c r="O76" s="73" t="str">
        <v>123 Industries</v>
      </c>
      <c r="P76" s="74" t="str">
        <v>USA</v>
      </c>
      <c r="Q76" s="74" t="str">
        <v>NA</v>
      </c>
      <c r="R76" s="74">
        <v>650000</v>
      </c>
      <c r="S76" s="74" t="str">
        <v>Service</v>
      </c>
      <c r="T76" s="74" t="str">
        <v>Sarah Brown</v>
      </c>
      <c r="U76" s="74" t="str">
        <v>USD</v>
      </c>
      <c r="V76">
        <v>1</v>
      </c>
      <c r="W76" t="str">
        <v>Yes</v>
      </c>
      <c r="X76" t="str">
        <v>Existing Customer</v>
      </c>
      <c r="Y76">
        <v>1</v>
      </c>
      <c r="AB76" s="72"/>
      <c r="AC76" s="72"/>
      <c r="AD76" s="72"/>
      <c r="AE76" s="72"/>
      <c r="AL76" s="72"/>
      <c r="AM76" s="72"/>
    </row>
    <row r="77" spans="1:39" ht="15.6" x14ac:dyDescent="0.3">
      <c r="A77" s="80">
        <v>44291</v>
      </c>
      <c r="B77" s="2" t="s">
        <v>96</v>
      </c>
      <c r="C77" s="2" t="s">
        <v>49</v>
      </c>
      <c r="D77" s="2" t="s">
        <v>50</v>
      </c>
      <c r="E77" s="204">
        <v>9000</v>
      </c>
      <c r="F77" s="2" t="s">
        <v>51</v>
      </c>
      <c r="G77" s="2" t="s">
        <v>3</v>
      </c>
      <c r="H77" s="2" t="s">
        <v>52</v>
      </c>
      <c r="I77" s="113">
        <f>IF(Table_5[[#This Row],[Sales Rep]]='For Manage'!$E$7,1,0)</f>
        <v>1</v>
      </c>
      <c r="J77" s="113" t="str">
        <f>IF(OR(Table_5[[#This Row],[Customer Name]]="ABC Manufacturing",Table_5[[#This Row],[Customer Name]]="123 Industries"), "Yes", "No")</f>
        <v>No</v>
      </c>
      <c r="K77" s="113" t="str">
        <f>IF(COUNTIFS(Table_5[Customer Name],B77, Table_5[Order Date], "&gt;="&amp;DATE(2021,1,1), Table_5[Order Date], "&lt;="&amp;DATE(2022,12,31))&gt;0, "Existing Customer", "New Customer")</f>
        <v>Existing Customer</v>
      </c>
      <c r="L77" s="113">
        <f>IF(Table_5[[#This Row],[Country]]='For Manage'!$E$11,1,0)</f>
        <v>1</v>
      </c>
      <c r="M77" s="113"/>
      <c r="N77" s="81">
        <v>44911</v>
      </c>
      <c r="O77" s="73" t="str">
        <v>Green Corporation</v>
      </c>
      <c r="P77" s="74" t="str">
        <v>USA</v>
      </c>
      <c r="Q77" s="74" t="str">
        <v>NA</v>
      </c>
      <c r="R77" s="74">
        <v>650.6</v>
      </c>
      <c r="S77" s="74" t="str">
        <v>Service</v>
      </c>
      <c r="T77" s="74" t="str">
        <v>Sarah Brown</v>
      </c>
      <c r="U77" s="74" t="str">
        <v>USD</v>
      </c>
      <c r="V77">
        <v>1</v>
      </c>
      <c r="W77" t="str">
        <v>No</v>
      </c>
      <c r="X77" t="str">
        <v>Existing Customer</v>
      </c>
      <c r="Y77">
        <v>1</v>
      </c>
      <c r="AB77" s="72"/>
      <c r="AC77" s="72"/>
      <c r="AD77" s="72"/>
      <c r="AE77" s="72"/>
      <c r="AL77" s="72"/>
      <c r="AM77" s="72"/>
    </row>
    <row r="78" spans="1:39" ht="15.6" x14ac:dyDescent="0.3">
      <c r="A78" s="80">
        <v>44326</v>
      </c>
      <c r="B78" s="2" t="s">
        <v>97</v>
      </c>
      <c r="C78" s="2" t="s">
        <v>49</v>
      </c>
      <c r="D78" s="2" t="s">
        <v>50</v>
      </c>
      <c r="E78" s="204">
        <v>4000.75</v>
      </c>
      <c r="F78" s="2" t="s">
        <v>54</v>
      </c>
      <c r="G78" s="2" t="s">
        <v>3</v>
      </c>
      <c r="H78" s="2" t="s">
        <v>52</v>
      </c>
      <c r="I78" s="113">
        <f>IF(Table_5[[#This Row],[Sales Rep]]='For Manage'!$E$7,1,0)</f>
        <v>1</v>
      </c>
      <c r="J78" s="113" t="str">
        <f>IF(OR(Table_5[[#This Row],[Customer Name]]="ABC Manufacturing",Table_5[[#This Row],[Customer Name]]="123 Industries"), "Yes", "No")</f>
        <v>No</v>
      </c>
      <c r="K78" s="113" t="str">
        <f>IF(COUNTIFS(Table_5[Customer Name],B78, Table_5[Order Date], "&gt;="&amp;DATE(2021,1,1), Table_5[Order Date], "&lt;="&amp;DATE(2022,12,31))&gt;0, "Existing Customer", "New Customer")</f>
        <v>Existing Customer</v>
      </c>
      <c r="L78" s="113">
        <f>IF(Table_5[[#This Row],[Country]]='For Manage'!$E$11,1,0)</f>
        <v>1</v>
      </c>
      <c r="M78" s="113"/>
      <c r="N78" s="81">
        <v>44911</v>
      </c>
      <c r="O78" s="73" t="str">
        <v>Miller &amp; Co.</v>
      </c>
      <c r="P78" s="74" t="str">
        <v>USA</v>
      </c>
      <c r="Q78" s="74" t="str">
        <v>NA</v>
      </c>
      <c r="R78" s="74">
        <v>6500.25</v>
      </c>
      <c r="S78" s="74" t="str">
        <v>Service</v>
      </c>
      <c r="T78" s="74" t="str">
        <v>Sarah Brown</v>
      </c>
      <c r="U78" s="74" t="str">
        <v>USD</v>
      </c>
      <c r="V78">
        <v>1</v>
      </c>
      <c r="W78" t="str">
        <v>No</v>
      </c>
      <c r="X78" t="str">
        <v>Existing Customer</v>
      </c>
      <c r="Y78">
        <v>1</v>
      </c>
      <c r="AB78" s="72"/>
      <c r="AC78" s="72"/>
      <c r="AD78" s="72"/>
      <c r="AE78" s="72"/>
      <c r="AL78" s="72"/>
      <c r="AM78" s="72"/>
    </row>
    <row r="79" spans="1:39" ht="15.6" x14ac:dyDescent="0.3">
      <c r="A79" s="80">
        <v>44362</v>
      </c>
      <c r="B79" s="2" t="s">
        <v>98</v>
      </c>
      <c r="C79" s="2" t="s">
        <v>49</v>
      </c>
      <c r="D79" s="2" t="s">
        <v>50</v>
      </c>
      <c r="E79" s="204">
        <v>6000.25</v>
      </c>
      <c r="F79" s="2" t="s">
        <v>56</v>
      </c>
      <c r="G79" s="2" t="s">
        <v>3</v>
      </c>
      <c r="H79" s="2" t="s">
        <v>52</v>
      </c>
      <c r="I79" s="113">
        <f>IF(Table_5[[#This Row],[Sales Rep]]='For Manage'!$E$7,1,0)</f>
        <v>1</v>
      </c>
      <c r="J79" s="113" t="str">
        <f>IF(OR(Table_5[[#This Row],[Customer Name]]="ABC Manufacturing",Table_5[[#This Row],[Customer Name]]="123 Industries"), "Yes", "No")</f>
        <v>No</v>
      </c>
      <c r="K79" s="113" t="str">
        <f>IF(COUNTIFS(Table_5[Customer Name],B79, Table_5[Order Date], "&gt;="&amp;DATE(2021,1,1), Table_5[Order Date], "&lt;="&amp;DATE(2022,12,31))&gt;0, "Existing Customer", "New Customer")</f>
        <v>Existing Customer</v>
      </c>
      <c r="L79" s="113">
        <f>IF(Table_5[[#This Row],[Country]]='For Manage'!$E$11,1,0)</f>
        <v>1</v>
      </c>
      <c r="M79" s="113"/>
      <c r="N79" s="81">
        <v>44911</v>
      </c>
      <c r="O79" s="73" t="str">
        <v>Green Group</v>
      </c>
      <c r="P79" s="74" t="str">
        <v>USA</v>
      </c>
      <c r="Q79" s="74" t="str">
        <v>NA</v>
      </c>
      <c r="R79" s="74">
        <v>650.6</v>
      </c>
      <c r="S79" s="74" t="str">
        <v>Service</v>
      </c>
      <c r="T79" s="74" t="str">
        <v>Sarah Brown</v>
      </c>
      <c r="U79" s="74" t="str">
        <v>USD</v>
      </c>
      <c r="V79">
        <v>1</v>
      </c>
      <c r="W79" t="str">
        <v>No</v>
      </c>
      <c r="X79" t="str">
        <v>Existing Customer</v>
      </c>
      <c r="Y79">
        <v>1</v>
      </c>
      <c r="AB79" s="72"/>
      <c r="AC79" s="72"/>
      <c r="AD79" s="72"/>
      <c r="AE79" s="72"/>
      <c r="AL79" s="72"/>
      <c r="AM79" s="72"/>
    </row>
    <row r="80" spans="1:39" ht="15.6" x14ac:dyDescent="0.3">
      <c r="A80" s="80">
        <v>44397</v>
      </c>
      <c r="B80" s="2" t="s">
        <v>99</v>
      </c>
      <c r="C80" s="2" t="s">
        <v>49</v>
      </c>
      <c r="D80" s="2" t="s">
        <v>50</v>
      </c>
      <c r="E80" s="204">
        <v>8000.5</v>
      </c>
      <c r="F80" s="2" t="s">
        <v>51</v>
      </c>
      <c r="G80" s="2" t="s">
        <v>3</v>
      </c>
      <c r="H80" s="2" t="s">
        <v>52</v>
      </c>
      <c r="I80" s="113">
        <f>IF(Table_5[[#This Row],[Sales Rep]]='For Manage'!$E$7,1,0)</f>
        <v>1</v>
      </c>
      <c r="J80" s="113" t="str">
        <f>IF(OR(Table_5[[#This Row],[Customer Name]]="ABC Manufacturing",Table_5[[#This Row],[Customer Name]]="123 Industries"), "Yes", "No")</f>
        <v>No</v>
      </c>
      <c r="K80" s="113" t="str">
        <f>IF(COUNTIFS(Table_5[Customer Name],B80, Table_5[Order Date], "&gt;="&amp;DATE(2021,1,1), Table_5[Order Date], "&lt;="&amp;DATE(2022,12,31))&gt;0, "Existing Customer", "New Customer")</f>
        <v>Existing Customer</v>
      </c>
      <c r="L80" s="113">
        <f>IF(Table_5[[#This Row],[Country]]='For Manage'!$E$11,1,0)</f>
        <v>1</v>
      </c>
      <c r="M80" s="113"/>
      <c r="N80" s="81">
        <v>44911</v>
      </c>
      <c r="O80" s="73" t="str">
        <v>MNO Corporation</v>
      </c>
      <c r="P80" s="74" t="str">
        <v>USA</v>
      </c>
      <c r="Q80" s="74" t="str">
        <v>NA</v>
      </c>
      <c r="R80" s="74">
        <v>650.35</v>
      </c>
      <c r="S80" s="74" t="str">
        <v>Service</v>
      </c>
      <c r="T80" s="74" t="str">
        <v>Sarah Brown</v>
      </c>
      <c r="U80" s="74" t="str">
        <v>USD</v>
      </c>
      <c r="V80">
        <v>1</v>
      </c>
      <c r="W80" t="str">
        <v>No</v>
      </c>
      <c r="X80" t="str">
        <v>Existing Customer</v>
      </c>
      <c r="Y80">
        <v>1</v>
      </c>
      <c r="AB80" s="72"/>
      <c r="AC80" s="72"/>
      <c r="AD80" s="72"/>
      <c r="AE80" s="72"/>
      <c r="AL80" s="72"/>
      <c r="AM80" s="72"/>
    </row>
    <row r="81" spans="1:39" ht="15.6" x14ac:dyDescent="0.3">
      <c r="A81" s="80">
        <v>44433</v>
      </c>
      <c r="B81" s="2" t="s">
        <v>64</v>
      </c>
      <c r="C81" s="2" t="s">
        <v>49</v>
      </c>
      <c r="D81" s="2" t="s">
        <v>50</v>
      </c>
      <c r="E81" s="204">
        <v>2000.75</v>
      </c>
      <c r="F81" s="2" t="s">
        <v>54</v>
      </c>
      <c r="G81" s="2" t="s">
        <v>3</v>
      </c>
      <c r="H81" s="2" t="s">
        <v>52</v>
      </c>
      <c r="I81" s="113">
        <f>IF(Table_5[[#This Row],[Sales Rep]]='For Manage'!$E$7,1,0)</f>
        <v>1</v>
      </c>
      <c r="J81" s="113" t="str">
        <f>IF(OR(Table_5[[#This Row],[Customer Name]]="ABC Manufacturing",Table_5[[#This Row],[Customer Name]]="123 Industries"), "Yes", "No")</f>
        <v>No</v>
      </c>
      <c r="K81" s="113" t="str">
        <f>IF(COUNTIFS(Table_5[Customer Name],B81, Table_5[Order Date], "&gt;="&amp;DATE(2021,1,1), Table_5[Order Date], "&lt;="&amp;DATE(2022,12,31))&gt;0, "Existing Customer", "New Customer")</f>
        <v>Existing Customer</v>
      </c>
      <c r="L81" s="113">
        <f>IF(Table_5[[#This Row],[Country]]='For Manage'!$E$11,1,0)</f>
        <v>1</v>
      </c>
      <c r="M81" s="113"/>
      <c r="N81" s="81">
        <v>44876</v>
      </c>
      <c r="O81" s="73" t="str">
        <v>LMN Enterprises</v>
      </c>
      <c r="P81" s="74" t="str">
        <v>USA</v>
      </c>
      <c r="Q81" s="74" t="str">
        <v>NA</v>
      </c>
      <c r="R81" s="74">
        <v>750000</v>
      </c>
      <c r="S81" s="74" t="str">
        <v>Normal Order</v>
      </c>
      <c r="T81" s="74" t="str">
        <v>Sarah Brown</v>
      </c>
      <c r="U81" s="74" t="str">
        <v>USD</v>
      </c>
      <c r="V81">
        <v>1</v>
      </c>
      <c r="W81" t="str">
        <v>No</v>
      </c>
      <c r="X81" t="str">
        <v>Existing Customer</v>
      </c>
      <c r="Y81">
        <v>1</v>
      </c>
      <c r="AB81" s="72"/>
      <c r="AC81" s="72"/>
      <c r="AD81" s="72"/>
      <c r="AE81" s="72"/>
      <c r="AL81" s="72"/>
      <c r="AM81" s="72"/>
    </row>
    <row r="82" spans="1:39" ht="15.6" x14ac:dyDescent="0.3">
      <c r="A82" s="80">
        <v>44469</v>
      </c>
      <c r="B82" s="2" t="s">
        <v>100</v>
      </c>
      <c r="C82" s="2" t="s">
        <v>49</v>
      </c>
      <c r="D82" s="2" t="s">
        <v>50</v>
      </c>
      <c r="E82" s="204">
        <v>10000.25</v>
      </c>
      <c r="F82" s="2" t="s">
        <v>56</v>
      </c>
      <c r="G82" s="2" t="s">
        <v>3</v>
      </c>
      <c r="H82" s="2" t="s">
        <v>52</v>
      </c>
      <c r="I82" s="113">
        <f>IF(Table_5[[#This Row],[Sales Rep]]='For Manage'!$E$7,1,0)</f>
        <v>1</v>
      </c>
      <c r="J82" s="113" t="str">
        <f>IF(OR(Table_5[[#This Row],[Customer Name]]="ABC Manufacturing",Table_5[[#This Row],[Customer Name]]="123 Industries"), "Yes", "No")</f>
        <v>No</v>
      </c>
      <c r="K82" s="113" t="str">
        <f>IF(COUNTIFS(Table_5[Customer Name],B82, Table_5[Order Date], "&gt;="&amp;DATE(2021,1,1), Table_5[Order Date], "&lt;="&amp;DATE(2022,12,31))&gt;0, "Existing Customer", "New Customer")</f>
        <v>Existing Customer</v>
      </c>
      <c r="L82" s="113">
        <f>IF(Table_5[[#This Row],[Country]]='For Manage'!$E$11,1,0)</f>
        <v>1</v>
      </c>
      <c r="M82" s="113"/>
      <c r="N82" s="81">
        <v>44876</v>
      </c>
      <c r="O82" s="73" t="str">
        <v>Scott Co.</v>
      </c>
      <c r="P82" s="74" t="str">
        <v>USA</v>
      </c>
      <c r="Q82" s="74" t="str">
        <v>NA</v>
      </c>
      <c r="R82" s="74">
        <v>750.5</v>
      </c>
      <c r="S82" s="74" t="str">
        <v>Normal Order</v>
      </c>
      <c r="T82" s="74" t="str">
        <v>Sarah Brown</v>
      </c>
      <c r="U82" s="74" t="str">
        <v>USD</v>
      </c>
      <c r="V82">
        <v>1</v>
      </c>
      <c r="W82" t="str">
        <v>No</v>
      </c>
      <c r="X82" t="str">
        <v>Existing Customer</v>
      </c>
      <c r="Y82">
        <v>1</v>
      </c>
      <c r="AB82" s="72"/>
      <c r="AC82" s="72"/>
      <c r="AD82" s="72"/>
      <c r="AE82" s="72"/>
      <c r="AL82" s="72"/>
      <c r="AM82" s="72"/>
    </row>
    <row r="83" spans="1:39" ht="15.6" x14ac:dyDescent="0.3">
      <c r="A83" s="80">
        <v>44474</v>
      </c>
      <c r="B83" s="2" t="s">
        <v>101</v>
      </c>
      <c r="C83" s="2" t="s">
        <v>49</v>
      </c>
      <c r="D83" s="2" t="s">
        <v>50</v>
      </c>
      <c r="E83" s="204">
        <v>5500.5</v>
      </c>
      <c r="F83" s="2" t="s">
        <v>51</v>
      </c>
      <c r="G83" s="2" t="s">
        <v>3</v>
      </c>
      <c r="H83" s="2" t="s">
        <v>52</v>
      </c>
      <c r="I83" s="113">
        <f>IF(Table_5[[#This Row],[Sales Rep]]='For Manage'!$E$7,1,0)</f>
        <v>1</v>
      </c>
      <c r="J83" s="113" t="str">
        <f>IF(OR(Table_5[[#This Row],[Customer Name]]="ABC Manufacturing",Table_5[[#This Row],[Customer Name]]="123 Industries"), "Yes", "No")</f>
        <v>No</v>
      </c>
      <c r="K83" s="113" t="str">
        <f>IF(COUNTIFS(Table_5[Customer Name],B83, Table_5[Order Date], "&gt;="&amp;DATE(2021,1,1), Table_5[Order Date], "&lt;="&amp;DATE(2022,12,31))&gt;0, "Existing Customer", "New Customer")</f>
        <v>Existing Customer</v>
      </c>
      <c r="L83" s="113">
        <f>IF(Table_5[[#This Row],[Country]]='For Manage'!$E$11,1,0)</f>
        <v>1</v>
      </c>
      <c r="M83" s="113"/>
      <c r="N83" s="81">
        <v>44876</v>
      </c>
      <c r="O83" s="73" t="str">
        <v>Smith Manufacturing</v>
      </c>
      <c r="P83" s="74" t="str">
        <v>USA</v>
      </c>
      <c r="Q83" s="74" t="str">
        <v>NA</v>
      </c>
      <c r="R83" s="74">
        <v>7500.75</v>
      </c>
      <c r="S83" s="74" t="str">
        <v>Normal Order</v>
      </c>
      <c r="T83" s="74" t="str">
        <v>Sarah Brown</v>
      </c>
      <c r="U83" s="74" t="str">
        <v>USD</v>
      </c>
      <c r="V83">
        <v>1</v>
      </c>
      <c r="W83" t="str">
        <v>No</v>
      </c>
      <c r="X83" t="str">
        <v>Existing Customer</v>
      </c>
      <c r="Y83">
        <v>1</v>
      </c>
      <c r="AB83" s="72"/>
      <c r="AC83" s="72"/>
      <c r="AD83" s="72"/>
      <c r="AE83" s="72"/>
      <c r="AL83" s="72"/>
      <c r="AM83" s="72"/>
    </row>
    <row r="84" spans="1:39" ht="15.6" x14ac:dyDescent="0.3">
      <c r="A84" s="80">
        <v>44510</v>
      </c>
      <c r="B84" s="2" t="s">
        <v>102</v>
      </c>
      <c r="C84" s="2" t="s">
        <v>49</v>
      </c>
      <c r="D84" s="2" t="s">
        <v>50</v>
      </c>
      <c r="E84" s="204">
        <v>4500.75</v>
      </c>
      <c r="F84" s="2" t="s">
        <v>54</v>
      </c>
      <c r="G84" s="2" t="s">
        <v>3</v>
      </c>
      <c r="H84" s="2" t="s">
        <v>52</v>
      </c>
      <c r="I84" s="113">
        <f>IF(Table_5[[#This Row],[Sales Rep]]='For Manage'!$E$7,1,0)</f>
        <v>1</v>
      </c>
      <c r="J84" s="113" t="str">
        <f>IF(OR(Table_5[[#This Row],[Customer Name]]="ABC Manufacturing",Table_5[[#This Row],[Customer Name]]="123 Industries"), "Yes", "No")</f>
        <v>No</v>
      </c>
      <c r="K84" s="113" t="str">
        <f>IF(COUNTIFS(Table_5[Customer Name],B84, Table_5[Order Date], "&gt;="&amp;DATE(2021,1,1), Table_5[Order Date], "&lt;="&amp;DATE(2022,12,31))&gt;0, "Existing Customer", "New Customer")</f>
        <v>Existing Customer</v>
      </c>
      <c r="L84" s="113">
        <f>IF(Table_5[[#This Row],[Country]]='For Manage'!$E$11,1,0)</f>
        <v>1</v>
      </c>
      <c r="M84" s="113"/>
      <c r="N84" s="81">
        <v>44876</v>
      </c>
      <c r="O84" s="73" t="str">
        <v>Scott Corporation</v>
      </c>
      <c r="P84" s="74" t="str">
        <v>USA</v>
      </c>
      <c r="Q84" s="74" t="str">
        <v>NA</v>
      </c>
      <c r="R84" s="74">
        <v>750.9</v>
      </c>
      <c r="S84" s="74" t="str">
        <v>Normal Order</v>
      </c>
      <c r="T84" s="74" t="str">
        <v>Sarah Brown</v>
      </c>
      <c r="U84" s="74" t="str">
        <v>USD</v>
      </c>
      <c r="V84">
        <v>1</v>
      </c>
      <c r="W84" t="str">
        <v>No</v>
      </c>
      <c r="X84" t="str">
        <v>Existing Customer</v>
      </c>
      <c r="Y84">
        <v>1</v>
      </c>
      <c r="AB84" s="72"/>
      <c r="AC84" s="72"/>
      <c r="AD84" s="72"/>
      <c r="AE84" s="72"/>
      <c r="AL84" s="72"/>
      <c r="AM84" s="72"/>
    </row>
    <row r="85" spans="1:39" ht="15.6" x14ac:dyDescent="0.3">
      <c r="A85" s="80">
        <v>44545</v>
      </c>
      <c r="B85" s="2" t="s">
        <v>61</v>
      </c>
      <c r="C85" s="2" t="s">
        <v>49</v>
      </c>
      <c r="D85" s="2" t="s">
        <v>50</v>
      </c>
      <c r="E85" s="204">
        <v>3500.25</v>
      </c>
      <c r="F85" s="2" t="s">
        <v>56</v>
      </c>
      <c r="G85" s="2" t="s">
        <v>3</v>
      </c>
      <c r="H85" s="2" t="s">
        <v>52</v>
      </c>
      <c r="I85" s="113">
        <f>IF(Table_5[[#This Row],[Sales Rep]]='For Manage'!$E$7,1,0)</f>
        <v>1</v>
      </c>
      <c r="J85" s="113" t="str">
        <f>IF(OR(Table_5[[#This Row],[Customer Name]]="ABC Manufacturing",Table_5[[#This Row],[Customer Name]]="123 Industries"), "Yes", "No")</f>
        <v>No</v>
      </c>
      <c r="K85" s="113" t="str">
        <f>IF(COUNTIFS(Table_5[Customer Name],B85, Table_5[Order Date], "&gt;="&amp;DATE(2021,1,1), Table_5[Order Date], "&lt;="&amp;DATE(2022,12,31))&gt;0, "Existing Customer", "New Customer")</f>
        <v>Existing Customer</v>
      </c>
      <c r="L85" s="113">
        <f>IF(Table_5[[#This Row],[Country]]='For Manage'!$E$11,1,0)</f>
        <v>1</v>
      </c>
      <c r="M85" s="113"/>
      <c r="N85" s="81">
        <v>44876</v>
      </c>
      <c r="O85" s="73" t="str">
        <v>UVW Inc.</v>
      </c>
      <c r="P85" s="74" t="str">
        <v>USA</v>
      </c>
      <c r="Q85" s="74" t="str">
        <v>NA</v>
      </c>
      <c r="R85" s="74">
        <v>750.6</v>
      </c>
      <c r="S85" s="74" t="str">
        <v>Normal Order</v>
      </c>
      <c r="T85" s="74" t="str">
        <v>Sarah Brown</v>
      </c>
      <c r="U85" s="74" t="str">
        <v>USD</v>
      </c>
      <c r="V85">
        <v>1</v>
      </c>
      <c r="W85" t="str">
        <v>No</v>
      </c>
      <c r="X85" t="str">
        <v>Existing Customer</v>
      </c>
      <c r="Y85">
        <v>1</v>
      </c>
      <c r="AB85" s="72"/>
      <c r="AC85" s="72"/>
      <c r="AD85" s="72"/>
      <c r="AE85" s="72"/>
      <c r="AL85" s="72"/>
      <c r="AM85" s="72"/>
    </row>
    <row r="86" spans="1:39" ht="15.6" x14ac:dyDescent="0.3">
      <c r="A86" s="80">
        <v>44581</v>
      </c>
      <c r="B86" s="2" t="s">
        <v>69</v>
      </c>
      <c r="C86" s="2" t="s">
        <v>49</v>
      </c>
      <c r="D86" s="2" t="s">
        <v>50</v>
      </c>
      <c r="E86" s="204">
        <v>9500.5</v>
      </c>
      <c r="F86" s="2" t="s">
        <v>51</v>
      </c>
      <c r="G86" s="2" t="s">
        <v>3</v>
      </c>
      <c r="H86" s="2" t="s">
        <v>52</v>
      </c>
      <c r="I86" s="113">
        <f>IF(Table_5[[#This Row],[Sales Rep]]='For Manage'!$E$7,1,0)</f>
        <v>1</v>
      </c>
      <c r="J86" s="113" t="str">
        <f>IF(OR(Table_5[[#This Row],[Customer Name]]="ABC Manufacturing",Table_5[[#This Row],[Customer Name]]="123 Industries"), "Yes", "No")</f>
        <v>No</v>
      </c>
      <c r="K86" s="113" t="str">
        <f>IF(COUNTIFS(Table_5[Customer Name],B86, Table_5[Order Date], "&gt;="&amp;DATE(2021,1,1), Table_5[Order Date], "&lt;="&amp;DATE(2022,12,31))&gt;0, "Existing Customer", "New Customer")</f>
        <v>Existing Customer</v>
      </c>
      <c r="L86" s="113">
        <f>IF(Table_5[[#This Row],[Country]]='For Manage'!$E$11,1,0)</f>
        <v>1</v>
      </c>
      <c r="M86" s="113"/>
      <c r="N86" s="81">
        <v>44840</v>
      </c>
      <c r="O86" s="73" t="str">
        <v>XYZ Corporation</v>
      </c>
      <c r="P86" s="74" t="str">
        <v>USA</v>
      </c>
      <c r="Q86" s="74" t="str">
        <v>NA</v>
      </c>
      <c r="R86" s="74">
        <v>250000</v>
      </c>
      <c r="S86" s="74" t="str">
        <v>Machine Order</v>
      </c>
      <c r="T86" s="74" t="str">
        <v>Sarah Brown</v>
      </c>
      <c r="U86" s="74" t="str">
        <v>USD</v>
      </c>
      <c r="V86">
        <v>1</v>
      </c>
      <c r="W86" t="str">
        <v>No</v>
      </c>
      <c r="X86" t="str">
        <v>Existing Customer</v>
      </c>
      <c r="Y86">
        <v>1</v>
      </c>
      <c r="AB86" s="72"/>
      <c r="AC86" s="72"/>
      <c r="AD86" s="72"/>
      <c r="AE86" s="72"/>
      <c r="AL86" s="72"/>
      <c r="AM86" s="72"/>
    </row>
    <row r="87" spans="1:39" ht="15.6" x14ac:dyDescent="0.3">
      <c r="A87" s="80">
        <v>44617</v>
      </c>
      <c r="B87" s="2" t="s">
        <v>66</v>
      </c>
      <c r="C87" s="2" t="s">
        <v>49</v>
      </c>
      <c r="D87" s="2" t="s">
        <v>50</v>
      </c>
      <c r="E87" s="204">
        <v>2500.75</v>
      </c>
      <c r="F87" s="2" t="s">
        <v>54</v>
      </c>
      <c r="G87" s="2" t="s">
        <v>3</v>
      </c>
      <c r="H87" s="2" t="s">
        <v>52</v>
      </c>
      <c r="I87" s="113">
        <f>IF(Table_5[[#This Row],[Sales Rep]]='For Manage'!$E$7,1,0)</f>
        <v>1</v>
      </c>
      <c r="J87" s="113" t="str">
        <f>IF(OR(Table_5[[#This Row],[Customer Name]]="ABC Manufacturing",Table_5[[#This Row],[Customer Name]]="123 Industries"), "Yes", "No")</f>
        <v>No</v>
      </c>
      <c r="K87" s="113" t="str">
        <f>IF(COUNTIFS(Table_5[Customer Name],B87, Table_5[Order Date], "&gt;="&amp;DATE(2021,1,1), Table_5[Order Date], "&lt;="&amp;DATE(2022,12,31))&gt;0, "Existing Customer", "New Customer")</f>
        <v>Existing Customer</v>
      </c>
      <c r="L87" s="113">
        <f>IF(Table_5[[#This Row],[Country]]='For Manage'!$E$11,1,0)</f>
        <v>1</v>
      </c>
      <c r="M87" s="113"/>
      <c r="N87" s="81">
        <v>44840</v>
      </c>
      <c r="O87" s="73" t="str">
        <v>Hall Inc.</v>
      </c>
      <c r="P87" s="74" t="str">
        <v>USA</v>
      </c>
      <c r="Q87" s="74" t="str">
        <v>NA</v>
      </c>
      <c r="R87" s="74">
        <v>250.9</v>
      </c>
      <c r="S87" s="74" t="str">
        <v>Machine Order</v>
      </c>
      <c r="T87" s="74" t="str">
        <v>Sarah Brown</v>
      </c>
      <c r="U87" s="74" t="str">
        <v>USD</v>
      </c>
      <c r="V87">
        <v>1</v>
      </c>
      <c r="W87" t="str">
        <v>No</v>
      </c>
      <c r="X87" t="str">
        <v>Existing Customer</v>
      </c>
      <c r="Y87">
        <v>1</v>
      </c>
      <c r="AB87" s="72"/>
      <c r="AC87" s="72"/>
      <c r="AD87" s="72"/>
      <c r="AE87" s="72"/>
      <c r="AL87" s="72"/>
      <c r="AM87" s="72"/>
    </row>
    <row r="88" spans="1:39" ht="15.6" x14ac:dyDescent="0.3">
      <c r="A88" s="80">
        <v>44622</v>
      </c>
      <c r="B88" s="2" t="s">
        <v>103</v>
      </c>
      <c r="C88" s="2" t="s">
        <v>49</v>
      </c>
      <c r="D88" s="2" t="s">
        <v>50</v>
      </c>
      <c r="E88" s="204">
        <v>7500.25</v>
      </c>
      <c r="F88" s="2" t="s">
        <v>56</v>
      </c>
      <c r="G88" s="2" t="s">
        <v>3</v>
      </c>
      <c r="H88" s="2" t="s">
        <v>52</v>
      </c>
      <c r="I88" s="113">
        <f>IF(Table_5[[#This Row],[Sales Rep]]='For Manage'!$E$7,1,0)</f>
        <v>1</v>
      </c>
      <c r="J88" s="113" t="str">
        <f>IF(OR(Table_5[[#This Row],[Customer Name]]="ABC Manufacturing",Table_5[[#This Row],[Customer Name]]="123 Industries"), "Yes", "No")</f>
        <v>No</v>
      </c>
      <c r="K88" s="113" t="str">
        <f>IF(COUNTIFS(Table_5[Customer Name],B88, Table_5[Order Date], "&gt;="&amp;DATE(2021,1,1), Table_5[Order Date], "&lt;="&amp;DATE(2022,12,31))&gt;0, "Existing Customer", "New Customer")</f>
        <v>Existing Customer</v>
      </c>
      <c r="L88" s="113">
        <f>IF(Table_5[[#This Row],[Country]]='For Manage'!$E$11,1,0)</f>
        <v>1</v>
      </c>
      <c r="M88" s="113"/>
      <c r="N88" s="81">
        <v>44840</v>
      </c>
      <c r="O88" s="73" t="str">
        <v>Johnson Solutions</v>
      </c>
      <c r="P88" s="74" t="str">
        <v>USA</v>
      </c>
      <c r="Q88" s="74" t="str">
        <v>NA</v>
      </c>
      <c r="R88" s="74">
        <v>2500.5</v>
      </c>
      <c r="S88" s="74" t="str">
        <v>Machine Order</v>
      </c>
      <c r="T88" s="74" t="str">
        <v>Sarah Brown</v>
      </c>
      <c r="U88" s="74" t="str">
        <v>USD</v>
      </c>
      <c r="V88">
        <v>1</v>
      </c>
      <c r="W88" t="str">
        <v>No</v>
      </c>
      <c r="X88" t="str">
        <v>Existing Customer</v>
      </c>
      <c r="Y88">
        <v>1</v>
      </c>
      <c r="AB88" s="72"/>
      <c r="AC88" s="72"/>
      <c r="AD88" s="72"/>
      <c r="AE88" s="72"/>
      <c r="AL88" s="72"/>
      <c r="AM88" s="72"/>
    </row>
    <row r="89" spans="1:39" ht="15.6" x14ac:dyDescent="0.3">
      <c r="A89" s="80">
        <v>44658</v>
      </c>
      <c r="B89" s="2" t="s">
        <v>104</v>
      </c>
      <c r="C89" s="2" t="s">
        <v>49</v>
      </c>
      <c r="D89" s="2" t="s">
        <v>50</v>
      </c>
      <c r="E89" s="204">
        <v>8500.5</v>
      </c>
      <c r="F89" s="2" t="s">
        <v>51</v>
      </c>
      <c r="G89" s="2" t="s">
        <v>3</v>
      </c>
      <c r="H89" s="2" t="s">
        <v>52</v>
      </c>
      <c r="I89" s="113">
        <f>IF(Table_5[[#This Row],[Sales Rep]]='For Manage'!$E$7,1,0)</f>
        <v>1</v>
      </c>
      <c r="J89" s="113" t="str">
        <f>IF(OR(Table_5[[#This Row],[Customer Name]]="ABC Manufacturing",Table_5[[#This Row],[Customer Name]]="123 Industries"), "Yes", "No")</f>
        <v>No</v>
      </c>
      <c r="K89" s="113" t="str">
        <f>IF(COUNTIFS(Table_5[Customer Name],B89, Table_5[Order Date], "&gt;="&amp;DATE(2021,1,1), Table_5[Order Date], "&lt;="&amp;DATE(2022,12,31))&gt;0, "Existing Customer", "New Customer")</f>
        <v>Existing Customer</v>
      </c>
      <c r="L89" s="113">
        <f>IF(Table_5[[#This Row],[Country]]='For Manage'!$E$11,1,0)</f>
        <v>1</v>
      </c>
      <c r="M89" s="113"/>
      <c r="N89" s="81">
        <v>44840</v>
      </c>
      <c r="O89" s="73" t="str">
        <v>Wright &amp; Co.</v>
      </c>
      <c r="P89" s="74" t="str">
        <v>USA</v>
      </c>
      <c r="Q89" s="74" t="str">
        <v>NA</v>
      </c>
      <c r="R89" s="74">
        <v>250.45</v>
      </c>
      <c r="S89" s="74" t="str">
        <v>Machine Order</v>
      </c>
      <c r="T89" s="74" t="str">
        <v>Sarah Brown</v>
      </c>
      <c r="U89" s="74" t="str">
        <v>USD</v>
      </c>
      <c r="V89">
        <v>1</v>
      </c>
      <c r="W89" t="str">
        <v>No</v>
      </c>
      <c r="X89" t="str">
        <v>Existing Customer</v>
      </c>
      <c r="Y89">
        <v>1</v>
      </c>
      <c r="AB89" s="72"/>
      <c r="AC89" s="72"/>
      <c r="AD89" s="72"/>
      <c r="AE89" s="72"/>
      <c r="AL89" s="72"/>
      <c r="AM89" s="72"/>
    </row>
    <row r="90" spans="1:39" ht="15.6" x14ac:dyDescent="0.3">
      <c r="A90" s="80">
        <v>44693</v>
      </c>
      <c r="B90" s="2" t="s">
        <v>105</v>
      </c>
      <c r="C90" s="2" t="s">
        <v>49</v>
      </c>
      <c r="D90" s="2" t="s">
        <v>50</v>
      </c>
      <c r="E90" s="204">
        <v>1500.75</v>
      </c>
      <c r="F90" s="2" t="s">
        <v>54</v>
      </c>
      <c r="G90" s="2" t="s">
        <v>3</v>
      </c>
      <c r="H90" s="2" t="s">
        <v>52</v>
      </c>
      <c r="I90" s="113">
        <f>IF(Table_5[[#This Row],[Sales Rep]]='For Manage'!$E$7,1,0)</f>
        <v>1</v>
      </c>
      <c r="J90" s="113" t="str">
        <f>IF(OR(Table_5[[#This Row],[Customer Name]]="ABC Manufacturing",Table_5[[#This Row],[Customer Name]]="123 Industries"), "Yes", "No")</f>
        <v>No</v>
      </c>
      <c r="K90" s="113" t="str">
        <f>IF(COUNTIFS(Table_5[Customer Name],B90, Table_5[Order Date], "&gt;="&amp;DATE(2021,1,1), Table_5[Order Date], "&lt;="&amp;DATE(2022,12,31))&gt;0, "Existing Customer", "New Customer")</f>
        <v>Existing Customer</v>
      </c>
      <c r="L90" s="113">
        <f>IF(Table_5[[#This Row],[Country]]='For Manage'!$E$11,1,0)</f>
        <v>1</v>
      </c>
      <c r="M90" s="113"/>
      <c r="N90" s="81">
        <v>44840</v>
      </c>
      <c r="O90" s="73" t="str">
        <v>JKL Enterprises</v>
      </c>
      <c r="P90" s="74" t="str">
        <v>USA</v>
      </c>
      <c r="Q90" s="74" t="str">
        <v>NA</v>
      </c>
      <c r="R90" s="74">
        <v>250.7</v>
      </c>
      <c r="S90" s="74" t="str">
        <v>Machine Order</v>
      </c>
      <c r="T90" s="74" t="str">
        <v>Sarah Brown</v>
      </c>
      <c r="U90" s="74" t="str">
        <v>USD</v>
      </c>
      <c r="V90">
        <v>1</v>
      </c>
      <c r="W90" t="str">
        <v>No</v>
      </c>
      <c r="X90" t="str">
        <v>Existing Customer</v>
      </c>
      <c r="Y90">
        <v>1</v>
      </c>
      <c r="AB90" s="72"/>
      <c r="AC90" s="72"/>
      <c r="AD90" s="72"/>
      <c r="AE90" s="72"/>
      <c r="AL90" s="72"/>
      <c r="AM90" s="72"/>
    </row>
    <row r="91" spans="1:39" ht="15.6" x14ac:dyDescent="0.3">
      <c r="A91" s="80">
        <v>44729</v>
      </c>
      <c r="B91" s="2" t="s">
        <v>106</v>
      </c>
      <c r="C91" s="2" t="s">
        <v>49</v>
      </c>
      <c r="D91" s="2" t="s">
        <v>50</v>
      </c>
      <c r="E91" s="204">
        <v>6500.25</v>
      </c>
      <c r="F91" s="2" t="s">
        <v>56</v>
      </c>
      <c r="G91" s="2" t="s">
        <v>3</v>
      </c>
      <c r="H91" s="2" t="s">
        <v>52</v>
      </c>
      <c r="I91" s="113">
        <f>IF(Table_5[[#This Row],[Sales Rep]]='For Manage'!$E$7,1,0)</f>
        <v>1</v>
      </c>
      <c r="J91" s="113" t="str">
        <f>IF(OR(Table_5[[#This Row],[Customer Name]]="ABC Manufacturing",Table_5[[#This Row],[Customer Name]]="123 Industries"), "Yes", "No")</f>
        <v>No</v>
      </c>
      <c r="K91" s="113" t="str">
        <f>IF(COUNTIFS(Table_5[Customer Name],B91, Table_5[Order Date], "&gt;="&amp;DATE(2021,1,1), Table_5[Order Date], "&lt;="&amp;DATE(2022,12,31))&gt;0, "Existing Customer", "New Customer")</f>
        <v>Existing Customer</v>
      </c>
      <c r="L91" s="113">
        <f>IF(Table_5[[#This Row],[Country]]='For Manage'!$E$11,1,0)</f>
        <v>1</v>
      </c>
      <c r="M91" s="113"/>
      <c r="N91" s="81">
        <v>44805</v>
      </c>
      <c r="O91" s="73" t="str">
        <v>ABC Manufacturing</v>
      </c>
      <c r="P91" s="74" t="str">
        <v>USA</v>
      </c>
      <c r="Q91" s="74" t="str">
        <v>NA</v>
      </c>
      <c r="R91" s="74">
        <v>950000</v>
      </c>
      <c r="S91" s="74" t="str">
        <v>Service</v>
      </c>
      <c r="T91" s="74" t="str">
        <v>Sarah Brown</v>
      </c>
      <c r="U91" s="74" t="str">
        <v>USD</v>
      </c>
      <c r="V91">
        <v>1</v>
      </c>
      <c r="W91" t="str">
        <v>Yes</v>
      </c>
      <c r="X91" t="str">
        <v>Existing Customer</v>
      </c>
      <c r="Y91">
        <v>1</v>
      </c>
      <c r="AB91" s="72"/>
      <c r="AC91" s="72"/>
      <c r="AD91" s="72"/>
      <c r="AE91" s="72"/>
      <c r="AL91" s="72"/>
      <c r="AM91" s="72"/>
    </row>
    <row r="92" spans="1:39" ht="15.6" x14ac:dyDescent="0.3">
      <c r="A92" s="80">
        <v>44764</v>
      </c>
      <c r="B92" s="2" t="s">
        <v>107</v>
      </c>
      <c r="C92" s="2" t="s">
        <v>49</v>
      </c>
      <c r="D92" s="2" t="s">
        <v>50</v>
      </c>
      <c r="E92" s="204">
        <v>4500.5</v>
      </c>
      <c r="F92" s="2" t="s">
        <v>51</v>
      </c>
      <c r="G92" s="2" t="s">
        <v>3</v>
      </c>
      <c r="H92" s="2" t="s">
        <v>52</v>
      </c>
      <c r="I92" s="113">
        <f>IF(Table_5[[#This Row],[Sales Rep]]='For Manage'!$E$7,1,0)</f>
        <v>1</v>
      </c>
      <c r="J92" s="113" t="str">
        <f>IF(OR(Table_5[[#This Row],[Customer Name]]="ABC Manufacturing",Table_5[[#This Row],[Customer Name]]="123 Industries"), "Yes", "No")</f>
        <v>No</v>
      </c>
      <c r="K92" s="113" t="str">
        <f>IF(COUNTIFS(Table_5[Customer Name],B92, Table_5[Order Date], "&gt;="&amp;DATE(2021,1,1), Table_5[Order Date], "&lt;="&amp;DATE(2022,12,31))&gt;0, "Existing Customer", "New Customer")</f>
        <v>Existing Customer</v>
      </c>
      <c r="L92" s="113">
        <f>IF(Table_5[[#This Row],[Country]]='For Manage'!$E$11,1,0)</f>
        <v>1</v>
      </c>
      <c r="M92" s="113"/>
      <c r="N92" s="81">
        <v>44805</v>
      </c>
      <c r="O92" s="73" t="str">
        <v>Wright Industries</v>
      </c>
      <c r="P92" s="74" t="str">
        <v>USA</v>
      </c>
      <c r="Q92" s="74" t="str">
        <v>NA</v>
      </c>
      <c r="R92" s="74">
        <v>950.7</v>
      </c>
      <c r="S92" s="74" t="str">
        <v>Service</v>
      </c>
      <c r="T92" s="74" t="str">
        <v>Sarah Brown</v>
      </c>
      <c r="U92" s="74" t="str">
        <v>USD</v>
      </c>
      <c r="V92">
        <v>1</v>
      </c>
      <c r="W92" t="str">
        <v>No</v>
      </c>
      <c r="X92" t="str">
        <v>Existing Customer</v>
      </c>
      <c r="Y92">
        <v>1</v>
      </c>
      <c r="AB92" s="72"/>
      <c r="AC92" s="72"/>
      <c r="AD92" s="72"/>
      <c r="AE92" s="72"/>
      <c r="AL92" s="72"/>
      <c r="AM92" s="72"/>
    </row>
    <row r="93" spans="1:39" ht="15.6" x14ac:dyDescent="0.3">
      <c r="A93" s="80">
        <v>44800</v>
      </c>
      <c r="B93" s="2" t="s">
        <v>108</v>
      </c>
      <c r="C93" s="2" t="s">
        <v>49</v>
      </c>
      <c r="D93" s="2" t="s">
        <v>50</v>
      </c>
      <c r="E93" s="204">
        <v>5500.75</v>
      </c>
      <c r="F93" s="2" t="s">
        <v>54</v>
      </c>
      <c r="G93" s="2" t="s">
        <v>3</v>
      </c>
      <c r="H93" s="2" t="s">
        <v>52</v>
      </c>
      <c r="I93" s="113">
        <f>IF(Table_5[[#This Row],[Sales Rep]]='For Manage'!$E$7,1,0)</f>
        <v>1</v>
      </c>
      <c r="J93" s="113" t="str">
        <f>IF(OR(Table_5[[#This Row],[Customer Name]]="ABC Manufacturing",Table_5[[#This Row],[Customer Name]]="123 Industries"), "Yes", "No")</f>
        <v>No</v>
      </c>
      <c r="K93" s="113" t="str">
        <f>IF(COUNTIFS(Table_5[Customer Name],B93, Table_5[Order Date], "&gt;="&amp;DATE(2021,1,1), Table_5[Order Date], "&lt;="&amp;DATE(2022,12,31))&gt;0, "Existing Customer", "New Customer")</f>
        <v>Existing Customer</v>
      </c>
      <c r="L93" s="113">
        <f>IF(Table_5[[#This Row],[Country]]='For Manage'!$E$11,1,0)</f>
        <v>1</v>
      </c>
      <c r="M93" s="113"/>
      <c r="N93" s="81">
        <v>44805</v>
      </c>
      <c r="O93" s="73" t="str">
        <v>Brown Solutions</v>
      </c>
      <c r="P93" s="74" t="str">
        <v>USA</v>
      </c>
      <c r="Q93" s="74" t="str">
        <v>NA</v>
      </c>
      <c r="R93" s="74">
        <v>9500.25</v>
      </c>
      <c r="S93" s="74" t="str">
        <v>Service</v>
      </c>
      <c r="T93" s="74" t="str">
        <v>Sarah Brown</v>
      </c>
      <c r="U93" s="74" t="str">
        <v>USD</v>
      </c>
      <c r="V93">
        <v>1</v>
      </c>
      <c r="W93" t="str">
        <v>No</v>
      </c>
      <c r="X93" t="str">
        <v>Existing Customer</v>
      </c>
      <c r="Y93">
        <v>1</v>
      </c>
      <c r="AB93" s="72"/>
      <c r="AC93" s="72"/>
      <c r="AD93" s="72"/>
      <c r="AE93" s="72"/>
      <c r="AL93" s="72"/>
      <c r="AM93" s="72"/>
    </row>
    <row r="94" spans="1:39" ht="15.6" x14ac:dyDescent="0.3">
      <c r="A94" s="80">
        <v>44805</v>
      </c>
      <c r="B94" s="2" t="s">
        <v>109</v>
      </c>
      <c r="C94" s="2" t="s">
        <v>49</v>
      </c>
      <c r="D94" s="2" t="s">
        <v>50</v>
      </c>
      <c r="E94" s="204">
        <v>9500.25</v>
      </c>
      <c r="F94" s="2" t="s">
        <v>56</v>
      </c>
      <c r="G94" s="2" t="s">
        <v>3</v>
      </c>
      <c r="H94" s="2" t="s">
        <v>52</v>
      </c>
      <c r="I94" s="113">
        <f>IF(Table_5[[#This Row],[Sales Rep]]='For Manage'!$E$7,1,0)</f>
        <v>1</v>
      </c>
      <c r="J94" s="113" t="str">
        <f>IF(OR(Table_5[[#This Row],[Customer Name]]="ABC Manufacturing",Table_5[[#This Row],[Customer Name]]="123 Industries"), "Yes", "No")</f>
        <v>No</v>
      </c>
      <c r="K94" s="113" t="str">
        <f>IF(COUNTIFS(Table_5[Customer Name],B94, Table_5[Order Date], "&gt;="&amp;DATE(2021,1,1), Table_5[Order Date], "&lt;="&amp;DATE(2022,12,31))&gt;0, "Existing Customer", "New Customer")</f>
        <v>Existing Customer</v>
      </c>
      <c r="L94" s="113">
        <f>IF(Table_5[[#This Row],[Country]]='For Manage'!$E$11,1,0)</f>
        <v>1</v>
      </c>
      <c r="M94" s="113"/>
      <c r="N94" s="81">
        <v>44805</v>
      </c>
      <c r="O94" s="73" t="str">
        <v>King Enterprises</v>
      </c>
      <c r="P94" s="74" t="str">
        <v>USA</v>
      </c>
      <c r="Q94" s="74" t="str">
        <v>NA</v>
      </c>
      <c r="R94" s="74">
        <v>950.3</v>
      </c>
      <c r="S94" s="74" t="str">
        <v>Service</v>
      </c>
      <c r="T94" s="74" t="str">
        <v>Sarah Brown</v>
      </c>
      <c r="U94" s="74" t="str">
        <v>USD</v>
      </c>
      <c r="V94">
        <v>1</v>
      </c>
      <c r="W94" t="str">
        <v>No</v>
      </c>
      <c r="X94" t="str">
        <v>Existing Customer</v>
      </c>
      <c r="Y94">
        <v>1</v>
      </c>
      <c r="AB94" s="72"/>
      <c r="AC94" s="72"/>
      <c r="AD94" s="72"/>
      <c r="AE94" s="72"/>
      <c r="AL94" s="72"/>
      <c r="AM94" s="72"/>
    </row>
    <row r="95" spans="1:39" ht="15.6" x14ac:dyDescent="0.3">
      <c r="A95" s="80">
        <v>44840</v>
      </c>
      <c r="B95" s="2" t="s">
        <v>110</v>
      </c>
      <c r="C95" s="2" t="s">
        <v>49</v>
      </c>
      <c r="D95" s="2" t="s">
        <v>50</v>
      </c>
      <c r="E95" s="204">
        <v>2500.5</v>
      </c>
      <c r="F95" s="2" t="s">
        <v>51</v>
      </c>
      <c r="G95" s="2" t="s">
        <v>3</v>
      </c>
      <c r="H95" s="2" t="s">
        <v>52</v>
      </c>
      <c r="I95" s="113">
        <f>IF(Table_5[[#This Row],[Sales Rep]]='For Manage'!$E$7,1,0)</f>
        <v>1</v>
      </c>
      <c r="J95" s="113" t="str">
        <f>IF(OR(Table_5[[#This Row],[Customer Name]]="ABC Manufacturing",Table_5[[#This Row],[Customer Name]]="123 Industries"), "Yes", "No")</f>
        <v>No</v>
      </c>
      <c r="K95" s="113" t="str">
        <f>IF(COUNTIFS(Table_5[Customer Name],B95, Table_5[Order Date], "&gt;="&amp;DATE(2021,1,1), Table_5[Order Date], "&lt;="&amp;DATE(2022,12,31))&gt;0, "Existing Customer", "New Customer")</f>
        <v>Existing Customer</v>
      </c>
      <c r="L95" s="113">
        <f>IF(Table_5[[#This Row],[Country]]='For Manage'!$E$11,1,0)</f>
        <v>1</v>
      </c>
      <c r="M95" s="113"/>
      <c r="N95" s="81">
        <v>44805</v>
      </c>
      <c r="O95" s="73" t="str">
        <v>GHI Manufacturing</v>
      </c>
      <c r="P95" s="74" t="str">
        <v>USA</v>
      </c>
      <c r="Q95" s="74" t="str">
        <v>NA</v>
      </c>
      <c r="R95" s="74">
        <v>950.4</v>
      </c>
      <c r="S95" s="74" t="str">
        <v>Service</v>
      </c>
      <c r="T95" s="74" t="str">
        <v>Sarah Brown</v>
      </c>
      <c r="U95" s="74" t="str">
        <v>USD</v>
      </c>
      <c r="V95">
        <v>1</v>
      </c>
      <c r="W95" t="str">
        <v>No</v>
      </c>
      <c r="X95" t="str">
        <v>Existing Customer</v>
      </c>
      <c r="Y95">
        <v>1</v>
      </c>
      <c r="AB95" s="72"/>
      <c r="AC95" s="72"/>
      <c r="AD95" s="72"/>
      <c r="AE95" s="72"/>
      <c r="AL95" s="72"/>
      <c r="AM95" s="72"/>
    </row>
    <row r="96" spans="1:39" ht="15.6" x14ac:dyDescent="0.3">
      <c r="A96" s="80">
        <v>44876</v>
      </c>
      <c r="B96" s="2" t="s">
        <v>111</v>
      </c>
      <c r="C96" s="2" t="s">
        <v>49</v>
      </c>
      <c r="D96" s="2" t="s">
        <v>50</v>
      </c>
      <c r="E96" s="204">
        <v>7500.75</v>
      </c>
      <c r="F96" s="2" t="s">
        <v>54</v>
      </c>
      <c r="G96" s="2" t="s">
        <v>3</v>
      </c>
      <c r="H96" s="2" t="s">
        <v>52</v>
      </c>
      <c r="I96" s="113">
        <f>IF(Table_5[[#This Row],[Sales Rep]]='For Manage'!$E$7,1,0)</f>
        <v>1</v>
      </c>
      <c r="J96" s="113" t="str">
        <f>IF(OR(Table_5[[#This Row],[Customer Name]]="ABC Manufacturing",Table_5[[#This Row],[Customer Name]]="123 Industries"), "Yes", "No")</f>
        <v>No</v>
      </c>
      <c r="K96" s="113" t="str">
        <f>IF(COUNTIFS(Table_5[Customer Name],B96, Table_5[Order Date], "&gt;="&amp;DATE(2021,1,1), Table_5[Order Date], "&lt;="&amp;DATE(2022,12,31))&gt;0, "Existing Customer", "New Customer")</f>
        <v>Existing Customer</v>
      </c>
      <c r="L96" s="113">
        <f>IF(Table_5[[#This Row],[Country]]='For Manage'!$E$11,1,0)</f>
        <v>1</v>
      </c>
      <c r="M96" s="113"/>
      <c r="N96" s="81">
        <v>44800</v>
      </c>
      <c r="O96" s="73" t="str">
        <v>PQR Incorporated</v>
      </c>
      <c r="P96" s="74" t="str">
        <v>USA</v>
      </c>
      <c r="Q96" s="74" t="str">
        <v>NA</v>
      </c>
      <c r="R96" s="74">
        <v>550000</v>
      </c>
      <c r="S96" s="74" t="str">
        <v>Normal Order</v>
      </c>
      <c r="T96" s="74" t="str">
        <v>Sarah Brown</v>
      </c>
      <c r="U96" s="74" t="str">
        <v>USD</v>
      </c>
      <c r="V96">
        <v>1</v>
      </c>
      <c r="W96" t="str">
        <v>No</v>
      </c>
      <c r="X96" t="str">
        <v>Existing Customer</v>
      </c>
      <c r="Y96">
        <v>1</v>
      </c>
      <c r="AB96" s="72"/>
      <c r="AC96" s="72"/>
      <c r="AD96" s="72"/>
      <c r="AE96" s="72"/>
      <c r="AL96" s="72"/>
      <c r="AM96" s="72"/>
    </row>
    <row r="97" spans="1:39" ht="15.6" x14ac:dyDescent="0.3">
      <c r="A97" s="80">
        <v>44911</v>
      </c>
      <c r="B97" s="2" t="s">
        <v>112</v>
      </c>
      <c r="C97" s="2" t="s">
        <v>49</v>
      </c>
      <c r="D97" s="2" t="s">
        <v>50</v>
      </c>
      <c r="E97" s="204">
        <v>6500.25</v>
      </c>
      <c r="F97" s="2" t="s">
        <v>56</v>
      </c>
      <c r="G97" s="2" t="s">
        <v>3</v>
      </c>
      <c r="H97" s="2" t="s">
        <v>52</v>
      </c>
      <c r="I97" s="113">
        <f>IF(Table_5[[#This Row],[Sales Rep]]='For Manage'!$E$7,1,0)</f>
        <v>1</v>
      </c>
      <c r="J97" s="113" t="str">
        <f>IF(OR(Table_5[[#This Row],[Customer Name]]="ABC Manufacturing",Table_5[[#This Row],[Customer Name]]="123 Industries"), "Yes", "No")</f>
        <v>No</v>
      </c>
      <c r="K97" s="113" t="str">
        <f>IF(COUNTIFS(Table_5[Customer Name],B97, Table_5[Order Date], "&gt;="&amp;DATE(2021,1,1), Table_5[Order Date], "&lt;="&amp;DATE(2022,12,31))&gt;0, "Existing Customer", "New Customer")</f>
        <v>Existing Customer</v>
      </c>
      <c r="L97" s="113">
        <f>IF(Table_5[[#This Row],[Country]]='For Manage'!$E$11,1,0)</f>
        <v>1</v>
      </c>
      <c r="M97" s="113"/>
      <c r="N97" s="81">
        <v>44800</v>
      </c>
      <c r="O97" s="73" t="str">
        <v>King Enterprises</v>
      </c>
      <c r="P97" s="74" t="str">
        <v>USA</v>
      </c>
      <c r="Q97" s="74" t="str">
        <v>NA</v>
      </c>
      <c r="R97" s="74">
        <v>550.79999999999995</v>
      </c>
      <c r="S97" s="74" t="str">
        <v>Normal Order</v>
      </c>
      <c r="T97" s="74" t="str">
        <v>Sarah Brown</v>
      </c>
      <c r="U97" s="74" t="str">
        <v>USD</v>
      </c>
      <c r="V97">
        <v>1</v>
      </c>
      <c r="W97" t="str">
        <v>No</v>
      </c>
      <c r="X97" t="str">
        <v>Existing Customer</v>
      </c>
      <c r="Y97">
        <v>1</v>
      </c>
      <c r="AB97" s="72"/>
      <c r="AC97" s="72"/>
      <c r="AD97" s="72"/>
      <c r="AE97" s="72"/>
      <c r="AL97" s="72"/>
      <c r="AM97" s="72"/>
    </row>
    <row r="98" spans="1:39" ht="15.6" x14ac:dyDescent="0.3">
      <c r="A98" s="80">
        <v>44947</v>
      </c>
      <c r="B98" s="2" t="s">
        <v>113</v>
      </c>
      <c r="C98" s="2" t="s">
        <v>49</v>
      </c>
      <c r="D98" s="2" t="s">
        <v>50</v>
      </c>
      <c r="E98" s="204">
        <v>3500.5</v>
      </c>
      <c r="F98" s="2" t="s">
        <v>51</v>
      </c>
      <c r="G98" s="2" t="s">
        <v>3</v>
      </c>
      <c r="H98" s="2" t="s">
        <v>52</v>
      </c>
      <c r="I98" s="113">
        <f>IF(Table_5[[#This Row],[Sales Rep]]='For Manage'!$E$7,1,0)</f>
        <v>1</v>
      </c>
      <c r="J98" s="113" t="str">
        <f>IF(OR(Table_5[[#This Row],[Customer Name]]="ABC Manufacturing",Table_5[[#This Row],[Customer Name]]="123 Industries"), "Yes", "No")</f>
        <v>No</v>
      </c>
      <c r="K98" s="113" t="str">
        <f>IF(COUNTIFS(Table_5[Customer Name],B98, Table_5[Order Date], "&gt;="&amp;DATE(2021,1,1), Table_5[Order Date], "&lt;="&amp;DATE(2022,12,31))&gt;0, "Existing Customer", "New Customer")</f>
        <v>New Customer</v>
      </c>
      <c r="L98" s="113">
        <f>IF(Table_5[[#This Row],[Country]]='For Manage'!$E$11,1,0)</f>
        <v>1</v>
      </c>
      <c r="M98" s="113"/>
      <c r="N98" s="81">
        <v>44800</v>
      </c>
      <c r="O98" s="73" t="str">
        <v>Wilson Manufacturing</v>
      </c>
      <c r="P98" s="74" t="str">
        <v>USA</v>
      </c>
      <c r="Q98" s="74" t="str">
        <v>NA</v>
      </c>
      <c r="R98" s="74">
        <v>5500.75</v>
      </c>
      <c r="S98" s="74" t="str">
        <v>Normal Order</v>
      </c>
      <c r="T98" s="74" t="str">
        <v>Sarah Brown</v>
      </c>
      <c r="U98" s="74" t="str">
        <v>USD</v>
      </c>
      <c r="V98">
        <v>1</v>
      </c>
      <c r="W98" t="str">
        <v>No</v>
      </c>
      <c r="X98" t="str">
        <v>Existing Customer</v>
      </c>
      <c r="Y98">
        <v>1</v>
      </c>
      <c r="AB98" s="72"/>
      <c r="AC98" s="72"/>
      <c r="AD98" s="72"/>
      <c r="AE98" s="72"/>
      <c r="AL98" s="72"/>
      <c r="AM98" s="72"/>
    </row>
    <row r="99" spans="1:39" ht="15.6" x14ac:dyDescent="0.3">
      <c r="A99" s="80">
        <v>44983</v>
      </c>
      <c r="B99" s="2" t="s">
        <v>114</v>
      </c>
      <c r="C99" s="2" t="s">
        <v>49</v>
      </c>
      <c r="D99" s="2" t="s">
        <v>50</v>
      </c>
      <c r="E99" s="204">
        <v>1500.75</v>
      </c>
      <c r="F99" s="2" t="s">
        <v>54</v>
      </c>
      <c r="G99" s="2" t="s">
        <v>3</v>
      </c>
      <c r="H99" s="2" t="s">
        <v>52</v>
      </c>
      <c r="I99" s="113">
        <f>IF(Table_5[[#This Row],[Sales Rep]]='For Manage'!$E$7,1,0)</f>
        <v>1</v>
      </c>
      <c r="J99" s="113" t="str">
        <f>IF(OR(Table_5[[#This Row],[Customer Name]]="ABC Manufacturing",Table_5[[#This Row],[Customer Name]]="123 Industries"), "Yes", "No")</f>
        <v>No</v>
      </c>
      <c r="K99" s="113" t="str">
        <f>IF(COUNTIFS(Table_5[Customer Name],B99, Table_5[Order Date], "&gt;="&amp;DATE(2021,1,1), Table_5[Order Date], "&lt;="&amp;DATE(2022,12,31))&gt;0, "Existing Customer", "New Customer")</f>
        <v>Existing Customer</v>
      </c>
      <c r="L99" s="113">
        <f>IF(Table_5[[#This Row],[Country]]='For Manage'!$E$11,1,0)</f>
        <v>1</v>
      </c>
      <c r="M99" s="113"/>
      <c r="N99" s="81">
        <v>44800</v>
      </c>
      <c r="O99" s="73" t="str">
        <v>Young Group</v>
      </c>
      <c r="P99" s="74" t="str">
        <v>USA</v>
      </c>
      <c r="Q99" s="74" t="str">
        <v>NA</v>
      </c>
      <c r="R99" s="74">
        <v>550.20000000000005</v>
      </c>
      <c r="S99" s="74" t="str">
        <v>Normal Order</v>
      </c>
      <c r="T99" s="74" t="str">
        <v>Sarah Brown</v>
      </c>
      <c r="U99" s="74" t="str">
        <v>USD</v>
      </c>
      <c r="V99">
        <v>1</v>
      </c>
      <c r="W99" t="str">
        <v>No</v>
      </c>
      <c r="X99" t="str">
        <v>Existing Customer</v>
      </c>
      <c r="Y99">
        <v>1</v>
      </c>
      <c r="AB99" s="72"/>
      <c r="AC99" s="72"/>
      <c r="AD99" s="72"/>
      <c r="AE99" s="72"/>
      <c r="AL99" s="72"/>
      <c r="AM99" s="72"/>
    </row>
    <row r="100" spans="1:39" ht="15.6" x14ac:dyDescent="0.3">
      <c r="A100" s="80">
        <v>44988</v>
      </c>
      <c r="B100" s="2" t="s">
        <v>115</v>
      </c>
      <c r="C100" s="2" t="s">
        <v>49</v>
      </c>
      <c r="D100" s="2" t="s">
        <v>50</v>
      </c>
      <c r="E100" s="204">
        <v>8500.25</v>
      </c>
      <c r="F100" s="2" t="s">
        <v>56</v>
      </c>
      <c r="G100" s="2" t="s">
        <v>3</v>
      </c>
      <c r="H100" s="2" t="s">
        <v>52</v>
      </c>
      <c r="I100" s="113">
        <f>IF(Table_5[[#This Row],[Sales Rep]]='For Manage'!$E$7,1,0)</f>
        <v>1</v>
      </c>
      <c r="J100" s="113" t="str">
        <f>IF(OR(Table_5[[#This Row],[Customer Name]]="ABC Manufacturing",Table_5[[#This Row],[Customer Name]]="123 Industries"), "Yes", "No")</f>
        <v>No</v>
      </c>
      <c r="K100" s="113" t="str">
        <f>IF(COUNTIFS(Table_5[Customer Name],B100, Table_5[Order Date], "&gt;="&amp;DATE(2021,1,1), Table_5[Order Date], "&lt;="&amp;DATE(2022,12,31))&gt;0, "Existing Customer", "New Customer")</f>
        <v>New Customer</v>
      </c>
      <c r="L100" s="113">
        <f>IF(Table_5[[#This Row],[Country]]='For Manage'!$E$11,1,0)</f>
        <v>1</v>
      </c>
      <c r="M100" s="113"/>
      <c r="N100" s="81">
        <v>44800</v>
      </c>
      <c r="O100" s="73" t="str">
        <v>RST Corporation</v>
      </c>
      <c r="P100" s="74" t="str">
        <v>USA</v>
      </c>
      <c r="Q100" s="74" t="str">
        <v>NA</v>
      </c>
      <c r="R100" s="74">
        <v>550.79999999999995</v>
      </c>
      <c r="S100" s="74" t="str">
        <v>Normal Order</v>
      </c>
      <c r="T100" s="74" t="str">
        <v>Sarah Brown</v>
      </c>
      <c r="U100" s="74" t="str">
        <v>USD</v>
      </c>
      <c r="V100">
        <v>1</v>
      </c>
      <c r="W100" t="str">
        <v>No</v>
      </c>
      <c r="X100" t="str">
        <v>Existing Customer</v>
      </c>
      <c r="Y100">
        <v>1</v>
      </c>
      <c r="AB100" s="72"/>
      <c r="AC100" s="72"/>
      <c r="AD100" s="72"/>
      <c r="AE100" s="72"/>
      <c r="AL100" s="72"/>
      <c r="AM100" s="72"/>
    </row>
    <row r="101" spans="1:39" ht="15.6" x14ac:dyDescent="0.3">
      <c r="A101" s="80">
        <v>45024</v>
      </c>
      <c r="B101" s="2" t="s">
        <v>116</v>
      </c>
      <c r="C101" s="2" t="s">
        <v>49</v>
      </c>
      <c r="D101" s="2" t="s">
        <v>50</v>
      </c>
      <c r="E101" s="204">
        <v>4500.5</v>
      </c>
      <c r="F101" s="2" t="s">
        <v>51</v>
      </c>
      <c r="G101" s="2" t="s">
        <v>3</v>
      </c>
      <c r="H101" s="2" t="s">
        <v>52</v>
      </c>
      <c r="I101" s="113">
        <f>IF(Table_5[[#This Row],[Sales Rep]]='For Manage'!$E$7,1,0)</f>
        <v>1</v>
      </c>
      <c r="J101" s="113" t="str">
        <f>IF(OR(Table_5[[#This Row],[Customer Name]]="ABC Manufacturing",Table_5[[#This Row],[Customer Name]]="123 Industries"), "Yes", "No")</f>
        <v>No</v>
      </c>
      <c r="K101" s="113" t="str">
        <f>IF(COUNTIFS(Table_5[Customer Name],B101, Table_5[Order Date], "&gt;="&amp;DATE(2021,1,1), Table_5[Order Date], "&lt;="&amp;DATE(2022,12,31))&gt;0, "Existing Customer", "New Customer")</f>
        <v>New Customer</v>
      </c>
      <c r="L101" s="113">
        <f>IF(Table_5[[#This Row],[Country]]='For Manage'!$E$11,1,0)</f>
        <v>1</v>
      </c>
      <c r="M101" s="113"/>
      <c r="N101" s="81">
        <v>44764</v>
      </c>
      <c r="O101" s="73" t="str">
        <v>123 Industries</v>
      </c>
      <c r="P101" s="74" t="str">
        <v>USA</v>
      </c>
      <c r="Q101" s="74" t="str">
        <v>NA</v>
      </c>
      <c r="R101" s="74">
        <v>450000</v>
      </c>
      <c r="S101" s="74" t="str">
        <v>Machine Order</v>
      </c>
      <c r="T101" s="74" t="str">
        <v>Sarah Brown</v>
      </c>
      <c r="U101" s="74" t="str">
        <v>USD</v>
      </c>
      <c r="V101">
        <v>1</v>
      </c>
      <c r="W101" t="str">
        <v>Yes</v>
      </c>
      <c r="X101" t="str">
        <v>Existing Customer</v>
      </c>
      <c r="Y101">
        <v>1</v>
      </c>
      <c r="AB101" s="72"/>
      <c r="AC101" s="72"/>
      <c r="AD101" s="72"/>
      <c r="AE101" s="72"/>
      <c r="AL101" s="72"/>
      <c r="AM101" s="72"/>
    </row>
    <row r="102" spans="1:39" ht="15.6" x14ac:dyDescent="0.3">
      <c r="A102" s="80">
        <v>45059</v>
      </c>
      <c r="B102" s="2" t="s">
        <v>117</v>
      </c>
      <c r="C102" s="2" t="s">
        <v>49</v>
      </c>
      <c r="D102" s="2" t="s">
        <v>50</v>
      </c>
      <c r="E102" s="204">
        <v>5500.75</v>
      </c>
      <c r="F102" s="2" t="s">
        <v>54</v>
      </c>
      <c r="G102" s="2" t="s">
        <v>3</v>
      </c>
      <c r="H102" s="2" t="s">
        <v>52</v>
      </c>
      <c r="I102" s="113">
        <f>IF(Table_5[[#This Row],[Sales Rep]]='For Manage'!$E$7,1,0)</f>
        <v>1</v>
      </c>
      <c r="J102" s="113" t="str">
        <f>IF(OR(Table_5[[#This Row],[Customer Name]]="ABC Manufacturing",Table_5[[#This Row],[Customer Name]]="123 Industries"), "Yes", "No")</f>
        <v>No</v>
      </c>
      <c r="K102" s="113" t="str">
        <f>IF(COUNTIFS(Table_5[Customer Name],B102, Table_5[Order Date], "&gt;="&amp;DATE(2021,1,1), Table_5[Order Date], "&lt;="&amp;DATE(2022,12,31))&gt;0, "Existing Customer", "New Customer")</f>
        <v>Existing Customer</v>
      </c>
      <c r="L102" s="113">
        <f>IF(Table_5[[#This Row],[Country]]='For Manage'!$E$11,1,0)</f>
        <v>1</v>
      </c>
      <c r="M102" s="113"/>
      <c r="N102" s="81">
        <v>44764</v>
      </c>
      <c r="O102" s="73" t="str">
        <v>Young Co.</v>
      </c>
      <c r="P102" s="74" t="str">
        <v>USA</v>
      </c>
      <c r="Q102" s="74" t="str">
        <v>NA</v>
      </c>
      <c r="R102" s="74">
        <v>450.65</v>
      </c>
      <c r="S102" s="74" t="str">
        <v>Machine Order</v>
      </c>
      <c r="T102" s="74" t="str">
        <v>Sarah Brown</v>
      </c>
      <c r="U102" s="74" t="str">
        <v>USD</v>
      </c>
      <c r="V102">
        <v>1</v>
      </c>
      <c r="W102" t="str">
        <v>No</v>
      </c>
      <c r="X102" t="str">
        <v>Existing Customer</v>
      </c>
      <c r="Y102">
        <v>1</v>
      </c>
      <c r="AB102" s="72"/>
      <c r="AC102" s="72"/>
      <c r="AD102" s="72"/>
      <c r="AE102" s="72"/>
      <c r="AL102" s="72"/>
      <c r="AM102" s="72"/>
    </row>
    <row r="103" spans="1:39" ht="15.6" x14ac:dyDescent="0.3">
      <c r="A103" s="80">
        <v>45095</v>
      </c>
      <c r="B103" s="2" t="s">
        <v>118</v>
      </c>
      <c r="C103" s="2" t="s">
        <v>49</v>
      </c>
      <c r="D103" s="2" t="s">
        <v>50</v>
      </c>
      <c r="E103" s="204">
        <v>19500.25</v>
      </c>
      <c r="F103" s="2" t="s">
        <v>56</v>
      </c>
      <c r="G103" s="2" t="s">
        <v>3</v>
      </c>
      <c r="H103" s="2" t="s">
        <v>52</v>
      </c>
      <c r="I103" s="113">
        <f>IF(Table_5[[#This Row],[Sales Rep]]='For Manage'!$E$7,1,0)</f>
        <v>1</v>
      </c>
      <c r="J103" s="113" t="str">
        <f>IF(OR(Table_5[[#This Row],[Customer Name]]="ABC Manufacturing",Table_5[[#This Row],[Customer Name]]="123 Industries"), "Yes", "No")</f>
        <v>No</v>
      </c>
      <c r="K103" s="113" t="str">
        <f>IF(COUNTIFS(Table_5[Customer Name],B103, Table_5[Order Date], "&gt;="&amp;DATE(2021,1,1), Table_5[Order Date], "&lt;="&amp;DATE(2022,12,31))&gt;0, "Existing Customer", "New Customer")</f>
        <v>New Customer</v>
      </c>
      <c r="L103" s="113">
        <f>IF(Table_5[[#This Row],[Country]]='For Manage'!$E$11,1,0)</f>
        <v>1</v>
      </c>
      <c r="M103" s="113"/>
      <c r="N103" s="81">
        <v>44764</v>
      </c>
      <c r="O103" s="73" t="str">
        <v>Taylor Enterprises</v>
      </c>
      <c r="P103" s="74" t="str">
        <v>USA</v>
      </c>
      <c r="Q103" s="74" t="str">
        <v>NA</v>
      </c>
      <c r="R103" s="74">
        <v>4500.5</v>
      </c>
      <c r="S103" s="74" t="str">
        <v>Machine Order</v>
      </c>
      <c r="T103" s="74" t="str">
        <v>Sarah Brown</v>
      </c>
      <c r="U103" s="74" t="str">
        <v>USD</v>
      </c>
      <c r="V103">
        <v>1</v>
      </c>
      <c r="W103" t="str">
        <v>No</v>
      </c>
      <c r="X103" t="str">
        <v>Existing Customer</v>
      </c>
      <c r="Y103">
        <v>1</v>
      </c>
      <c r="AB103" s="72"/>
      <c r="AC103" s="72"/>
      <c r="AD103" s="72"/>
      <c r="AE103" s="72"/>
      <c r="AL103" s="72"/>
      <c r="AM103" s="72"/>
    </row>
    <row r="104" spans="1:39" ht="15.6" x14ac:dyDescent="0.3">
      <c r="A104" s="80">
        <v>45130</v>
      </c>
      <c r="B104" s="2" t="s">
        <v>119</v>
      </c>
      <c r="C104" s="2" t="s">
        <v>49</v>
      </c>
      <c r="D104" s="2" t="s">
        <v>50</v>
      </c>
      <c r="E104" s="204">
        <v>2500.5</v>
      </c>
      <c r="F104" s="2" t="s">
        <v>51</v>
      </c>
      <c r="G104" s="2" t="s">
        <v>3</v>
      </c>
      <c r="H104" s="2" t="s">
        <v>52</v>
      </c>
      <c r="I104" s="113">
        <f>IF(Table_5[[#This Row],[Sales Rep]]='For Manage'!$E$7,1,0)</f>
        <v>1</v>
      </c>
      <c r="J104" s="113" t="str">
        <f>IF(OR(Table_5[[#This Row],[Customer Name]]="ABC Manufacturing",Table_5[[#This Row],[Customer Name]]="123 Industries"), "Yes", "No")</f>
        <v>No</v>
      </c>
      <c r="K104" s="113" t="str">
        <f>IF(COUNTIFS(Table_5[Customer Name],B104, Table_5[Order Date], "&gt;="&amp;DATE(2021,1,1), Table_5[Order Date], "&lt;="&amp;DATE(2022,12,31))&gt;0, "Existing Customer", "New Customer")</f>
        <v>New Customer</v>
      </c>
      <c r="L104" s="113">
        <f>IF(Table_5[[#This Row],[Country]]='For Manage'!$E$11,1,0)</f>
        <v>1</v>
      </c>
      <c r="M104" s="113"/>
      <c r="N104" s="81">
        <v>44764</v>
      </c>
      <c r="O104" s="73" t="str">
        <v>Harris Co.</v>
      </c>
      <c r="P104" s="74" t="str">
        <v>USA</v>
      </c>
      <c r="Q104" s="74" t="str">
        <v>NA</v>
      </c>
      <c r="R104" s="74">
        <v>450.75</v>
      </c>
      <c r="S104" s="74" t="str">
        <v>Machine Order</v>
      </c>
      <c r="T104" s="74" t="str">
        <v>Sarah Brown</v>
      </c>
      <c r="U104" s="74" t="str">
        <v>USD</v>
      </c>
      <c r="V104">
        <v>1</v>
      </c>
      <c r="W104" t="str">
        <v>No</v>
      </c>
      <c r="X104" t="str">
        <v>Existing Customer</v>
      </c>
      <c r="Y104">
        <v>1</v>
      </c>
      <c r="AB104" s="72"/>
      <c r="AC104" s="72"/>
      <c r="AD104" s="72"/>
      <c r="AE104" s="72"/>
      <c r="AL104" s="72"/>
      <c r="AM104" s="72"/>
    </row>
    <row r="105" spans="1:39" ht="15.6" x14ac:dyDescent="0.3">
      <c r="A105" s="80">
        <v>45166</v>
      </c>
      <c r="B105" s="2" t="s">
        <v>120</v>
      </c>
      <c r="C105" s="2" t="s">
        <v>49</v>
      </c>
      <c r="D105" s="2" t="s">
        <v>50</v>
      </c>
      <c r="E105" s="204">
        <v>17500.75</v>
      </c>
      <c r="F105" s="2" t="s">
        <v>54</v>
      </c>
      <c r="G105" s="2" t="s">
        <v>3</v>
      </c>
      <c r="H105" s="2" t="s">
        <v>52</v>
      </c>
      <c r="I105" s="113">
        <f>IF(Table_5[[#This Row],[Sales Rep]]='For Manage'!$E$7,1,0)</f>
        <v>1</v>
      </c>
      <c r="J105" s="113" t="str">
        <f>IF(OR(Table_5[[#This Row],[Customer Name]]="ABC Manufacturing",Table_5[[#This Row],[Customer Name]]="123 Industries"), "Yes", "No")</f>
        <v>No</v>
      </c>
      <c r="K105" s="113" t="str">
        <f>IF(COUNTIFS(Table_5[Customer Name],B105, Table_5[Order Date], "&gt;="&amp;DATE(2021,1,1), Table_5[Order Date], "&lt;="&amp;DATE(2022,12,31))&gt;0, "Existing Customer", "New Customer")</f>
        <v>New Customer</v>
      </c>
      <c r="L105" s="113">
        <f>IF(Table_5[[#This Row],[Country]]='For Manage'!$E$11,1,0)</f>
        <v>1</v>
      </c>
      <c r="M105" s="113"/>
      <c r="N105" s="81">
        <v>44764</v>
      </c>
      <c r="O105" s="73" t="str">
        <v>PQR Inc.</v>
      </c>
      <c r="P105" s="74" t="str">
        <v>USA</v>
      </c>
      <c r="Q105" s="74" t="str">
        <v>NA</v>
      </c>
      <c r="R105" s="74">
        <v>450.5</v>
      </c>
      <c r="S105" s="74" t="str">
        <v>Machine Order</v>
      </c>
      <c r="T105" s="74" t="str">
        <v>Sarah Brown</v>
      </c>
      <c r="U105" s="74" t="str">
        <v>USD</v>
      </c>
      <c r="V105">
        <v>1</v>
      </c>
      <c r="W105" t="str">
        <v>No</v>
      </c>
      <c r="X105" t="str">
        <v>Existing Customer</v>
      </c>
      <c r="Y105">
        <v>1</v>
      </c>
      <c r="AB105" s="72"/>
      <c r="AC105" s="72"/>
      <c r="AD105" s="72"/>
      <c r="AE105" s="72"/>
      <c r="AL105" s="72"/>
      <c r="AM105" s="72"/>
    </row>
    <row r="106" spans="1:39" ht="15.6" x14ac:dyDescent="0.3">
      <c r="A106" s="80">
        <v>45171</v>
      </c>
      <c r="B106" s="2" t="s">
        <v>121</v>
      </c>
      <c r="C106" s="2" t="s">
        <v>49</v>
      </c>
      <c r="D106" s="2" t="s">
        <v>50</v>
      </c>
      <c r="E106" s="204">
        <v>16500.5</v>
      </c>
      <c r="F106" s="2" t="s">
        <v>56</v>
      </c>
      <c r="G106" s="2" t="s">
        <v>3</v>
      </c>
      <c r="H106" s="2" t="s">
        <v>52</v>
      </c>
      <c r="I106" s="113">
        <f>IF(Table_5[[#This Row],[Sales Rep]]='For Manage'!$E$7,1,0)</f>
        <v>1</v>
      </c>
      <c r="J106" s="113" t="str">
        <f>IF(OR(Table_5[[#This Row],[Customer Name]]="ABC Manufacturing",Table_5[[#This Row],[Customer Name]]="123 Industries"), "Yes", "No")</f>
        <v>No</v>
      </c>
      <c r="K106" s="113" t="str">
        <f>IF(COUNTIFS(Table_5[Customer Name],B106, Table_5[Order Date], "&gt;="&amp;DATE(2021,1,1), Table_5[Order Date], "&lt;="&amp;DATE(2022,12,31))&gt;0, "Existing Customer", "New Customer")</f>
        <v>New Customer</v>
      </c>
      <c r="L106" s="113">
        <f>IF(Table_5[[#This Row],[Country]]='For Manage'!$E$11,1,0)</f>
        <v>1</v>
      </c>
      <c r="M106" s="113"/>
      <c r="N106" s="81">
        <v>44729</v>
      </c>
      <c r="O106" s="73" t="str">
        <v>LMN Enterprises</v>
      </c>
      <c r="P106" s="74" t="str">
        <v>USA</v>
      </c>
      <c r="Q106" s="74" t="str">
        <v>NA</v>
      </c>
      <c r="R106" s="74">
        <v>650000</v>
      </c>
      <c r="S106" s="74" t="str">
        <v>Service</v>
      </c>
      <c r="T106" s="74" t="str">
        <v>Sarah Brown</v>
      </c>
      <c r="U106" s="74" t="str">
        <v>USD</v>
      </c>
      <c r="V106">
        <v>1</v>
      </c>
      <c r="W106" t="str">
        <v>No</v>
      </c>
      <c r="X106" t="str">
        <v>Existing Customer</v>
      </c>
      <c r="Y106">
        <v>1</v>
      </c>
      <c r="AB106" s="72"/>
      <c r="AC106" s="72"/>
      <c r="AD106" s="72"/>
      <c r="AE106" s="72"/>
      <c r="AL106" s="72"/>
      <c r="AM106" s="72"/>
    </row>
    <row r="107" spans="1:39" ht="15.6" x14ac:dyDescent="0.3">
      <c r="A107" s="80">
        <v>45206</v>
      </c>
      <c r="B107" s="2" t="s">
        <v>59</v>
      </c>
      <c r="C107" s="2" t="s">
        <v>49</v>
      </c>
      <c r="D107" s="2" t="s">
        <v>50</v>
      </c>
      <c r="E107" s="204">
        <v>13500.25</v>
      </c>
      <c r="F107" s="2" t="s">
        <v>51</v>
      </c>
      <c r="G107" s="2" t="s">
        <v>3</v>
      </c>
      <c r="H107" s="2" t="s">
        <v>52</v>
      </c>
      <c r="I107" s="113">
        <f>IF(Table_5[[#This Row],[Sales Rep]]='For Manage'!$E$7,1,0)</f>
        <v>1</v>
      </c>
      <c r="J107" s="113" t="str">
        <f>IF(OR(Table_5[[#This Row],[Customer Name]]="ABC Manufacturing",Table_5[[#This Row],[Customer Name]]="123 Industries"), "Yes", "No")</f>
        <v>No</v>
      </c>
      <c r="K107" s="113" t="str">
        <f>IF(COUNTIFS(Table_5[Customer Name],B107, Table_5[Order Date], "&gt;="&amp;DATE(2021,1,1), Table_5[Order Date], "&lt;="&amp;DATE(2022,12,31))&gt;0, "Existing Customer", "New Customer")</f>
        <v>Existing Customer</v>
      </c>
      <c r="L107" s="113">
        <f>IF(Table_5[[#This Row],[Country]]='For Manage'!$E$11,1,0)</f>
        <v>1</v>
      </c>
      <c r="M107" s="113"/>
      <c r="N107" s="81">
        <v>44729</v>
      </c>
      <c r="O107" s="73" t="str">
        <v>Harris Corporation</v>
      </c>
      <c r="P107" s="74" t="str">
        <v>USA</v>
      </c>
      <c r="Q107" s="74" t="str">
        <v>NA</v>
      </c>
      <c r="R107" s="74">
        <v>650.75</v>
      </c>
      <c r="S107" s="74" t="str">
        <v>Service</v>
      </c>
      <c r="T107" s="74" t="str">
        <v>Sarah Brown</v>
      </c>
      <c r="U107" s="74" t="str">
        <v>USD</v>
      </c>
      <c r="V107">
        <v>1</v>
      </c>
      <c r="W107" t="str">
        <v>No</v>
      </c>
      <c r="X107" t="str">
        <v>Existing Customer</v>
      </c>
      <c r="Y107">
        <v>1</v>
      </c>
      <c r="AB107" s="72"/>
      <c r="AC107" s="72"/>
      <c r="AD107" s="72"/>
      <c r="AE107" s="72"/>
      <c r="AL107" s="72"/>
      <c r="AM107" s="72"/>
    </row>
    <row r="108" spans="1:39" ht="15.6" x14ac:dyDescent="0.3">
      <c r="A108" s="80">
        <v>45242</v>
      </c>
      <c r="B108" s="2" t="s">
        <v>122</v>
      </c>
      <c r="C108" s="2" t="s">
        <v>49</v>
      </c>
      <c r="D108" s="2" t="s">
        <v>50</v>
      </c>
      <c r="E108" s="204">
        <v>11500.75</v>
      </c>
      <c r="F108" s="2" t="s">
        <v>54</v>
      </c>
      <c r="G108" s="2" t="s">
        <v>3</v>
      </c>
      <c r="H108" s="2" t="s">
        <v>52</v>
      </c>
      <c r="I108" s="113">
        <f>IF(Table_5[[#This Row],[Sales Rep]]='For Manage'!$E$7,1,0)</f>
        <v>1</v>
      </c>
      <c r="J108" s="113" t="str">
        <f>IF(OR(Table_5[[#This Row],[Customer Name]]="ABC Manufacturing",Table_5[[#This Row],[Customer Name]]="123 Industries"), "Yes", "No")</f>
        <v>No</v>
      </c>
      <c r="K108" s="113" t="str">
        <f>IF(COUNTIFS(Table_5[Customer Name],B108, Table_5[Order Date], "&gt;="&amp;DATE(2021,1,1), Table_5[Order Date], "&lt;="&amp;DATE(2022,12,31))&gt;0, "Existing Customer", "New Customer")</f>
        <v>New Customer</v>
      </c>
      <c r="L108" s="113">
        <f>IF(Table_5[[#This Row],[Country]]='For Manage'!$E$11,1,0)</f>
        <v>1</v>
      </c>
      <c r="M108" s="113"/>
      <c r="N108" s="81">
        <v>44729</v>
      </c>
      <c r="O108" s="73" t="str">
        <v>Martinez &amp; Co.</v>
      </c>
      <c r="P108" s="74" t="str">
        <v>USA</v>
      </c>
      <c r="Q108" s="74" t="str">
        <v>NA</v>
      </c>
      <c r="R108" s="74">
        <v>6500.25</v>
      </c>
      <c r="S108" s="74" t="str">
        <v>Service</v>
      </c>
      <c r="T108" s="74" t="str">
        <v>Sarah Brown</v>
      </c>
      <c r="U108" s="74" t="str">
        <v>USD</v>
      </c>
      <c r="V108">
        <v>1</v>
      </c>
      <c r="W108" t="str">
        <v>No</v>
      </c>
      <c r="X108" t="str">
        <v>Existing Customer</v>
      </c>
      <c r="Y108">
        <v>1</v>
      </c>
      <c r="AB108" s="72"/>
      <c r="AC108" s="72"/>
      <c r="AD108" s="72"/>
      <c r="AE108" s="72"/>
      <c r="AL108" s="72"/>
      <c r="AM108" s="72"/>
    </row>
    <row r="109" spans="1:39" ht="15.6" x14ac:dyDescent="0.3">
      <c r="A109" s="80">
        <v>45277</v>
      </c>
      <c r="B109" s="2" t="s">
        <v>123</v>
      </c>
      <c r="C109" s="2" t="s">
        <v>49</v>
      </c>
      <c r="D109" s="2" t="s">
        <v>50</v>
      </c>
      <c r="E109" s="204">
        <v>18500.25</v>
      </c>
      <c r="F109" s="2" t="s">
        <v>56</v>
      </c>
      <c r="G109" s="2" t="s">
        <v>3</v>
      </c>
      <c r="H109" s="2" t="s">
        <v>52</v>
      </c>
      <c r="I109" s="113">
        <f>IF(Table_5[[#This Row],[Sales Rep]]='For Manage'!$E$7,1,0)</f>
        <v>1</v>
      </c>
      <c r="J109" s="113" t="str">
        <f>IF(OR(Table_5[[#This Row],[Customer Name]]="ABC Manufacturing",Table_5[[#This Row],[Customer Name]]="123 Industries"), "Yes", "No")</f>
        <v>No</v>
      </c>
      <c r="K109" s="113" t="str">
        <f>IF(COUNTIFS(Table_5[Customer Name],B109, Table_5[Order Date], "&gt;="&amp;DATE(2021,1,1), Table_5[Order Date], "&lt;="&amp;DATE(2022,12,31))&gt;0, "Existing Customer", "New Customer")</f>
        <v>New Customer</v>
      </c>
      <c r="L109" s="113">
        <f>IF(Table_5[[#This Row],[Country]]='For Manage'!$E$11,1,0)</f>
        <v>1</v>
      </c>
      <c r="M109" s="113"/>
      <c r="N109" s="81">
        <v>44729</v>
      </c>
      <c r="O109" s="73" t="str">
        <v>Thomas Enterprises</v>
      </c>
      <c r="P109" s="74" t="str">
        <v>USA</v>
      </c>
      <c r="Q109" s="74" t="str">
        <v>NA</v>
      </c>
      <c r="R109" s="74">
        <v>650.25</v>
      </c>
      <c r="S109" s="74" t="str">
        <v>Service</v>
      </c>
      <c r="T109" s="74" t="str">
        <v>Sarah Brown</v>
      </c>
      <c r="U109" s="74" t="str">
        <v>USD</v>
      </c>
      <c r="V109">
        <v>1</v>
      </c>
      <c r="W109" t="str">
        <v>No</v>
      </c>
      <c r="X109" t="str">
        <v>Existing Customer</v>
      </c>
      <c r="Y109">
        <v>1</v>
      </c>
      <c r="AB109" s="72"/>
      <c r="AC109" s="72"/>
      <c r="AD109" s="72"/>
      <c r="AE109" s="72"/>
      <c r="AL109" s="72"/>
      <c r="AM109" s="72"/>
    </row>
    <row r="110" spans="1:39" ht="15.6" x14ac:dyDescent="0.3">
      <c r="A110" s="80">
        <v>44206</v>
      </c>
      <c r="B110" s="2" t="s">
        <v>117</v>
      </c>
      <c r="C110" s="2" t="s">
        <v>49</v>
      </c>
      <c r="D110" s="2" t="s">
        <v>50</v>
      </c>
      <c r="E110" s="204">
        <v>500.5</v>
      </c>
      <c r="F110" s="2" t="s">
        <v>51</v>
      </c>
      <c r="G110" s="2" t="s">
        <v>3</v>
      </c>
      <c r="H110" s="2" t="s">
        <v>52</v>
      </c>
      <c r="I110" s="113">
        <f>IF(Table_5[[#This Row],[Sales Rep]]='For Manage'!$E$7,1,0)</f>
        <v>1</v>
      </c>
      <c r="J110" s="113" t="str">
        <f>IF(OR(Table_5[[#This Row],[Customer Name]]="ABC Manufacturing",Table_5[[#This Row],[Customer Name]]="123 Industries"), "Yes", "No")</f>
        <v>No</v>
      </c>
      <c r="K110" s="113" t="str">
        <f>IF(COUNTIFS(Table_5[Customer Name],B110, Table_5[Order Date], "&gt;="&amp;DATE(2021,1,1), Table_5[Order Date], "&lt;="&amp;DATE(2022,12,31))&gt;0, "Existing Customer", "New Customer")</f>
        <v>Existing Customer</v>
      </c>
      <c r="L110" s="113">
        <f>IF(Table_5[[#This Row],[Country]]='For Manage'!$E$11,1,0)</f>
        <v>1</v>
      </c>
      <c r="M110" s="113"/>
      <c r="N110" s="81">
        <v>44729</v>
      </c>
      <c r="O110" s="73" t="str">
        <v>LMN Enterprises</v>
      </c>
      <c r="P110" s="74" t="str">
        <v>USA</v>
      </c>
      <c r="Q110" s="74" t="str">
        <v>NA</v>
      </c>
      <c r="R110" s="74">
        <v>650.25</v>
      </c>
      <c r="S110" s="74" t="str">
        <v>Service</v>
      </c>
      <c r="T110" s="74" t="str">
        <v>Sarah Brown</v>
      </c>
      <c r="U110" s="74" t="str">
        <v>USD</v>
      </c>
      <c r="V110">
        <v>1</v>
      </c>
      <c r="W110" t="str">
        <v>No</v>
      </c>
      <c r="X110" t="str">
        <v>Existing Customer</v>
      </c>
      <c r="Y110">
        <v>1</v>
      </c>
      <c r="AB110" s="72"/>
      <c r="AC110" s="72"/>
      <c r="AD110" s="72"/>
      <c r="AE110" s="72"/>
      <c r="AL110" s="72"/>
      <c r="AM110" s="72"/>
    </row>
    <row r="111" spans="1:39" ht="15.6" x14ac:dyDescent="0.3">
      <c r="A111" s="80">
        <v>44242</v>
      </c>
      <c r="B111" s="2" t="s">
        <v>59</v>
      </c>
      <c r="C111" s="2" t="s">
        <v>49</v>
      </c>
      <c r="D111" s="2" t="s">
        <v>50</v>
      </c>
      <c r="E111" s="204">
        <v>700.75</v>
      </c>
      <c r="F111" s="2" t="s">
        <v>54</v>
      </c>
      <c r="G111" s="2" t="s">
        <v>3</v>
      </c>
      <c r="H111" s="2" t="s">
        <v>52</v>
      </c>
      <c r="I111" s="113">
        <f>IF(Table_5[[#This Row],[Sales Rep]]='For Manage'!$E$7,1,0)</f>
        <v>1</v>
      </c>
      <c r="J111" s="113" t="str">
        <f>IF(OR(Table_5[[#This Row],[Customer Name]]="ABC Manufacturing",Table_5[[#This Row],[Customer Name]]="123 Industries"), "Yes", "No")</f>
        <v>No</v>
      </c>
      <c r="K111" s="113" t="str">
        <f>IF(COUNTIFS(Table_5[Customer Name],B111, Table_5[Order Date], "&gt;="&amp;DATE(2021,1,1), Table_5[Order Date], "&lt;="&amp;DATE(2022,12,31))&gt;0, "Existing Customer", "New Customer")</f>
        <v>Existing Customer</v>
      </c>
      <c r="L111" s="113">
        <f>IF(Table_5[[#This Row],[Country]]='For Manage'!$E$11,1,0)</f>
        <v>1</v>
      </c>
      <c r="M111" s="113"/>
      <c r="N111" s="81">
        <v>44693</v>
      </c>
      <c r="O111" s="73" t="str">
        <v>XYZ Corporation</v>
      </c>
      <c r="P111" s="74" t="str">
        <v>USA</v>
      </c>
      <c r="Q111" s="74" t="str">
        <v>NA</v>
      </c>
      <c r="R111" s="74">
        <v>150000</v>
      </c>
      <c r="S111" s="74" t="str">
        <v>Normal Order</v>
      </c>
      <c r="T111" s="74" t="str">
        <v>Sarah Brown</v>
      </c>
      <c r="U111" s="74" t="str">
        <v>USD</v>
      </c>
      <c r="V111">
        <v>1</v>
      </c>
      <c r="W111" t="str">
        <v>No</v>
      </c>
      <c r="X111" t="str">
        <v>Existing Customer</v>
      </c>
      <c r="Y111">
        <v>1</v>
      </c>
      <c r="AB111" s="72"/>
      <c r="AC111" s="72"/>
      <c r="AD111" s="72"/>
      <c r="AE111" s="72"/>
      <c r="AL111" s="72"/>
      <c r="AM111" s="72"/>
    </row>
    <row r="112" spans="1:39" ht="15.6" x14ac:dyDescent="0.3">
      <c r="A112" s="80">
        <v>44275</v>
      </c>
      <c r="B112" s="2" t="s">
        <v>94</v>
      </c>
      <c r="C112" s="2" t="s">
        <v>49</v>
      </c>
      <c r="D112" s="2" t="s">
        <v>50</v>
      </c>
      <c r="E112" s="204">
        <v>300.25</v>
      </c>
      <c r="F112" s="2" t="s">
        <v>56</v>
      </c>
      <c r="G112" s="2" t="s">
        <v>3</v>
      </c>
      <c r="H112" s="2" t="s">
        <v>52</v>
      </c>
      <c r="I112" s="113">
        <f>IF(Table_5[[#This Row],[Sales Rep]]='For Manage'!$E$7,1,0)</f>
        <v>1</v>
      </c>
      <c r="J112" s="113" t="str">
        <f>IF(OR(Table_5[[#This Row],[Customer Name]]="ABC Manufacturing",Table_5[[#This Row],[Customer Name]]="123 Industries"), "Yes", "No")</f>
        <v>No</v>
      </c>
      <c r="K112" s="113" t="str">
        <f>IF(COUNTIFS(Table_5[Customer Name],B112, Table_5[Order Date], "&gt;="&amp;DATE(2021,1,1), Table_5[Order Date], "&lt;="&amp;DATE(2022,12,31))&gt;0, "Existing Customer", "New Customer")</f>
        <v>Existing Customer</v>
      </c>
      <c r="L112" s="113">
        <f>IF(Table_5[[#This Row],[Country]]='For Manage'!$E$11,1,0)</f>
        <v>1</v>
      </c>
      <c r="M112" s="113"/>
      <c r="N112" s="81">
        <v>44693</v>
      </c>
      <c r="O112" s="73" t="str">
        <v>Lewis Group</v>
      </c>
      <c r="P112" s="74" t="str">
        <v>USA</v>
      </c>
      <c r="Q112" s="74" t="str">
        <v>NA</v>
      </c>
      <c r="R112" s="74">
        <v>150.4</v>
      </c>
      <c r="S112" s="74" t="str">
        <v>Normal Order</v>
      </c>
      <c r="T112" s="74" t="str">
        <v>Sarah Brown</v>
      </c>
      <c r="U112" s="74" t="str">
        <v>USD</v>
      </c>
      <c r="V112">
        <v>1</v>
      </c>
      <c r="W112" t="str">
        <v>No</v>
      </c>
      <c r="X112" t="str">
        <v>Existing Customer</v>
      </c>
      <c r="Y112">
        <v>1</v>
      </c>
      <c r="AB112" s="72"/>
      <c r="AC112" s="72"/>
      <c r="AD112" s="72"/>
      <c r="AE112" s="72"/>
      <c r="AL112" s="72"/>
      <c r="AM112" s="72"/>
    </row>
    <row r="113" spans="1:39" ht="15.6" x14ac:dyDescent="0.3">
      <c r="A113" s="80">
        <v>44291</v>
      </c>
      <c r="B113" s="2" t="s">
        <v>124</v>
      </c>
      <c r="C113" s="2" t="s">
        <v>49</v>
      </c>
      <c r="D113" s="2" t="s">
        <v>50</v>
      </c>
      <c r="E113" s="204">
        <v>900.8</v>
      </c>
      <c r="F113" s="2" t="s">
        <v>51</v>
      </c>
      <c r="G113" s="2" t="s">
        <v>3</v>
      </c>
      <c r="H113" s="2" t="s">
        <v>52</v>
      </c>
      <c r="I113" s="113">
        <f>IF(Table_5[[#This Row],[Sales Rep]]='For Manage'!$E$7,1,0)</f>
        <v>1</v>
      </c>
      <c r="J113" s="113" t="str">
        <f>IF(OR(Table_5[[#This Row],[Customer Name]]="ABC Manufacturing",Table_5[[#This Row],[Customer Name]]="123 Industries"), "Yes", "No")</f>
        <v>No</v>
      </c>
      <c r="K113" s="113" t="str">
        <f>IF(COUNTIFS(Table_5[Customer Name],B113, Table_5[Order Date], "&gt;="&amp;DATE(2021,1,1), Table_5[Order Date], "&lt;="&amp;DATE(2022,12,31))&gt;0, "Existing Customer", "New Customer")</f>
        <v>Existing Customer</v>
      </c>
      <c r="L113" s="113">
        <f>IF(Table_5[[#This Row],[Country]]='For Manage'!$E$11,1,0)</f>
        <v>1</v>
      </c>
      <c r="M113" s="113"/>
      <c r="N113" s="81">
        <v>44693</v>
      </c>
      <c r="O113" s="73" t="str">
        <v>Johnson Incorporated</v>
      </c>
      <c r="P113" s="74" t="str">
        <v>USA</v>
      </c>
      <c r="Q113" s="74" t="str">
        <v>NA</v>
      </c>
      <c r="R113" s="74">
        <v>1500.75</v>
      </c>
      <c r="S113" s="74" t="str">
        <v>Normal Order</v>
      </c>
      <c r="T113" s="74" t="str">
        <v>Sarah Brown</v>
      </c>
      <c r="U113" s="74" t="str">
        <v>USD</v>
      </c>
      <c r="V113">
        <v>1</v>
      </c>
      <c r="W113" t="str">
        <v>No</v>
      </c>
      <c r="X113" t="str">
        <v>Existing Customer</v>
      </c>
      <c r="Y113">
        <v>1</v>
      </c>
      <c r="AB113" s="72"/>
      <c r="AC113" s="72"/>
      <c r="AD113" s="72"/>
      <c r="AE113" s="72"/>
      <c r="AL113" s="72"/>
      <c r="AM113" s="72"/>
    </row>
    <row r="114" spans="1:39" ht="15.6" x14ac:dyDescent="0.3">
      <c r="A114" s="80">
        <v>44326</v>
      </c>
      <c r="B114" s="2" t="s">
        <v>125</v>
      </c>
      <c r="C114" s="2" t="s">
        <v>49</v>
      </c>
      <c r="D114" s="2" t="s">
        <v>50</v>
      </c>
      <c r="E114" s="204">
        <v>400.6</v>
      </c>
      <c r="F114" s="2" t="s">
        <v>54</v>
      </c>
      <c r="G114" s="2" t="s">
        <v>3</v>
      </c>
      <c r="H114" s="2" t="s">
        <v>52</v>
      </c>
      <c r="I114" s="113">
        <f>IF(Table_5[[#This Row],[Sales Rep]]='For Manage'!$E$7,1,0)</f>
        <v>1</v>
      </c>
      <c r="J114" s="113" t="str">
        <f>IF(OR(Table_5[[#This Row],[Customer Name]]="ABC Manufacturing",Table_5[[#This Row],[Customer Name]]="123 Industries"), "Yes", "No")</f>
        <v>No</v>
      </c>
      <c r="K114" s="113" t="str">
        <f>IF(COUNTIFS(Table_5[Customer Name],B114, Table_5[Order Date], "&gt;="&amp;DATE(2021,1,1), Table_5[Order Date], "&lt;="&amp;DATE(2022,12,31))&gt;0, "Existing Customer", "New Customer")</f>
        <v>Existing Customer</v>
      </c>
      <c r="L114" s="113">
        <f>IF(Table_5[[#This Row],[Country]]='For Manage'!$E$11,1,0)</f>
        <v>1</v>
      </c>
      <c r="M114" s="113"/>
      <c r="N114" s="81">
        <v>44693</v>
      </c>
      <c r="O114" s="73" t="str">
        <v>Anderson Corporation</v>
      </c>
      <c r="P114" s="74" t="str">
        <v>USA</v>
      </c>
      <c r="Q114" s="74" t="str">
        <v>NA</v>
      </c>
      <c r="R114" s="74">
        <v>150.65</v>
      </c>
      <c r="S114" s="74" t="str">
        <v>Normal Order</v>
      </c>
      <c r="T114" s="74" t="str">
        <v>Sarah Brown</v>
      </c>
      <c r="U114" s="74" t="str">
        <v>USD</v>
      </c>
      <c r="V114">
        <v>1</v>
      </c>
      <c r="W114" t="str">
        <v>No</v>
      </c>
      <c r="X114" t="str">
        <v>Existing Customer</v>
      </c>
      <c r="Y114">
        <v>1</v>
      </c>
      <c r="AB114" s="72"/>
      <c r="AC114" s="72"/>
      <c r="AD114" s="72"/>
      <c r="AE114" s="72"/>
      <c r="AL114" s="72"/>
      <c r="AM114" s="72"/>
    </row>
    <row r="115" spans="1:39" ht="15.6" x14ac:dyDescent="0.3">
      <c r="A115" s="80">
        <v>44362</v>
      </c>
      <c r="B115" s="2" t="s">
        <v>103</v>
      </c>
      <c r="C115" s="2" t="s">
        <v>49</v>
      </c>
      <c r="D115" s="2" t="s">
        <v>50</v>
      </c>
      <c r="E115" s="204">
        <v>600.35</v>
      </c>
      <c r="F115" s="2" t="s">
        <v>56</v>
      </c>
      <c r="G115" s="2" t="s">
        <v>3</v>
      </c>
      <c r="H115" s="2" t="s">
        <v>52</v>
      </c>
      <c r="I115" s="113">
        <f>IF(Table_5[[#This Row],[Sales Rep]]='For Manage'!$E$7,1,0)</f>
        <v>1</v>
      </c>
      <c r="J115" s="113" t="str">
        <f>IF(OR(Table_5[[#This Row],[Customer Name]]="ABC Manufacturing",Table_5[[#This Row],[Customer Name]]="123 Industries"), "Yes", "No")</f>
        <v>No</v>
      </c>
      <c r="K115" s="113" t="str">
        <f>IF(COUNTIFS(Table_5[Customer Name],B115, Table_5[Order Date], "&gt;="&amp;DATE(2021,1,1), Table_5[Order Date], "&lt;="&amp;DATE(2022,12,31))&gt;0, "Existing Customer", "New Customer")</f>
        <v>Existing Customer</v>
      </c>
      <c r="L115" s="113">
        <f>IF(Table_5[[#This Row],[Country]]='For Manage'!$E$11,1,0)</f>
        <v>1</v>
      </c>
      <c r="M115" s="113"/>
      <c r="N115" s="81">
        <v>44693</v>
      </c>
      <c r="O115" s="73" t="str">
        <v>DEF Industries</v>
      </c>
      <c r="P115" s="74" t="str">
        <v>USA</v>
      </c>
      <c r="Q115" s="74" t="str">
        <v>NA</v>
      </c>
      <c r="R115" s="74">
        <v>150.9</v>
      </c>
      <c r="S115" s="74" t="str">
        <v>Normal Order</v>
      </c>
      <c r="T115" s="74" t="str">
        <v>Sarah Brown</v>
      </c>
      <c r="U115" s="74" t="str">
        <v>USD</v>
      </c>
      <c r="V115">
        <v>1</v>
      </c>
      <c r="W115" t="str">
        <v>No</v>
      </c>
      <c r="X115" t="str">
        <v>Existing Customer</v>
      </c>
      <c r="Y115">
        <v>1</v>
      </c>
      <c r="AB115" s="72"/>
      <c r="AC115" s="72"/>
      <c r="AD115" s="72"/>
      <c r="AE115" s="72"/>
      <c r="AL115" s="72"/>
      <c r="AM115" s="72"/>
    </row>
    <row r="116" spans="1:39" ht="15.6" x14ac:dyDescent="0.3">
      <c r="A116" s="80">
        <v>44397</v>
      </c>
      <c r="B116" s="2" t="s">
        <v>114</v>
      </c>
      <c r="C116" s="2" t="s">
        <v>49</v>
      </c>
      <c r="D116" s="2" t="s">
        <v>50</v>
      </c>
      <c r="E116" s="204">
        <v>800.9</v>
      </c>
      <c r="F116" s="2" t="s">
        <v>51</v>
      </c>
      <c r="G116" s="2" t="s">
        <v>3</v>
      </c>
      <c r="H116" s="2" t="s">
        <v>52</v>
      </c>
      <c r="I116" s="113">
        <f>IF(Table_5[[#This Row],[Sales Rep]]='For Manage'!$E$7,1,0)</f>
        <v>1</v>
      </c>
      <c r="J116" s="113" t="str">
        <f>IF(OR(Table_5[[#This Row],[Customer Name]]="ABC Manufacturing",Table_5[[#This Row],[Customer Name]]="123 Industries"), "Yes", "No")</f>
        <v>No</v>
      </c>
      <c r="K116" s="113" t="str">
        <f>IF(COUNTIFS(Table_5[Customer Name],B116, Table_5[Order Date], "&gt;="&amp;DATE(2021,1,1), Table_5[Order Date], "&lt;="&amp;DATE(2022,12,31))&gt;0, "Existing Customer", "New Customer")</f>
        <v>Existing Customer</v>
      </c>
      <c r="L116" s="113">
        <f>IF(Table_5[[#This Row],[Country]]='For Manage'!$E$11,1,0)</f>
        <v>1</v>
      </c>
      <c r="M116" s="113"/>
      <c r="N116" s="81">
        <v>44669</v>
      </c>
      <c r="O116" s="73" t="str">
        <v>GHI Manufacturing</v>
      </c>
      <c r="P116" s="74" t="str">
        <v>USA</v>
      </c>
      <c r="Q116" s="74" t="str">
        <v>NA</v>
      </c>
      <c r="R116" s="74">
        <v>950</v>
      </c>
      <c r="S116" s="74" t="str">
        <v>Machine Order</v>
      </c>
      <c r="T116" s="74" t="str">
        <v>Sarah Brown</v>
      </c>
      <c r="U116" s="74" t="str">
        <v>USD</v>
      </c>
      <c r="V116">
        <v>1</v>
      </c>
      <c r="W116" t="str">
        <v>No</v>
      </c>
      <c r="X116" t="str">
        <v>Existing Customer</v>
      </c>
      <c r="Y116">
        <v>1</v>
      </c>
      <c r="AB116" s="72"/>
      <c r="AC116" s="72"/>
      <c r="AD116" s="72"/>
      <c r="AE116" s="72"/>
      <c r="AL116" s="72"/>
      <c r="AM116" s="72"/>
    </row>
    <row r="117" spans="1:39" ht="15.6" x14ac:dyDescent="0.3">
      <c r="A117" s="80">
        <v>44433</v>
      </c>
      <c r="B117" s="2" t="s">
        <v>67</v>
      </c>
      <c r="C117" s="2" t="s">
        <v>49</v>
      </c>
      <c r="D117" s="2" t="s">
        <v>50</v>
      </c>
      <c r="E117" s="204">
        <v>200.75</v>
      </c>
      <c r="F117" s="2" t="s">
        <v>54</v>
      </c>
      <c r="G117" s="2" t="s">
        <v>3</v>
      </c>
      <c r="H117" s="2" t="s">
        <v>52</v>
      </c>
      <c r="I117" s="113">
        <f>IF(Table_5[[#This Row],[Sales Rep]]='For Manage'!$E$7,1,0)</f>
        <v>1</v>
      </c>
      <c r="J117" s="113" t="str">
        <f>IF(OR(Table_5[[#This Row],[Customer Name]]="ABC Manufacturing",Table_5[[#This Row],[Customer Name]]="123 Industries"), "Yes", "No")</f>
        <v>No</v>
      </c>
      <c r="K117" s="113" t="str">
        <f>IF(COUNTIFS(Table_5[Customer Name],B117, Table_5[Order Date], "&gt;="&amp;DATE(2021,1,1), Table_5[Order Date], "&lt;="&amp;DATE(2022,12,31))&gt;0, "Existing Customer", "New Customer")</f>
        <v>Existing Customer</v>
      </c>
      <c r="L117" s="113">
        <f>IF(Table_5[[#This Row],[Country]]='For Manage'!$E$11,1,0)</f>
        <v>1</v>
      </c>
      <c r="M117" s="113"/>
      <c r="N117" s="81">
        <v>44658</v>
      </c>
      <c r="O117" s="73" t="str">
        <v>ABC Manufacturing</v>
      </c>
      <c r="P117" s="74" t="str">
        <v>USA</v>
      </c>
      <c r="Q117" s="74" t="str">
        <v>NA</v>
      </c>
      <c r="R117" s="74">
        <v>850000</v>
      </c>
      <c r="S117" s="74" t="str">
        <v>Machine Order</v>
      </c>
      <c r="T117" s="74" t="str">
        <v>Sarah Brown</v>
      </c>
      <c r="U117" s="74" t="str">
        <v>USD</v>
      </c>
      <c r="V117">
        <v>1</v>
      </c>
      <c r="W117" t="str">
        <v>Yes</v>
      </c>
      <c r="X117" t="str">
        <v>Existing Customer</v>
      </c>
      <c r="Y117">
        <v>1</v>
      </c>
      <c r="AB117" s="72"/>
      <c r="AC117" s="72"/>
      <c r="AD117" s="72"/>
      <c r="AE117" s="72"/>
      <c r="AL117" s="72"/>
      <c r="AM117" s="72"/>
    </row>
    <row r="118" spans="1:39" ht="15.6" x14ac:dyDescent="0.3">
      <c r="A118" s="80">
        <v>44469</v>
      </c>
      <c r="B118" s="2" t="s">
        <v>126</v>
      </c>
      <c r="C118" s="2" t="s">
        <v>49</v>
      </c>
      <c r="D118" s="2" t="s">
        <v>50</v>
      </c>
      <c r="E118" s="204">
        <v>1000.2</v>
      </c>
      <c r="F118" s="2" t="s">
        <v>56</v>
      </c>
      <c r="G118" s="2" t="s">
        <v>3</v>
      </c>
      <c r="H118" s="2" t="s">
        <v>52</v>
      </c>
      <c r="I118" s="113">
        <f>IF(Table_5[[#This Row],[Sales Rep]]='For Manage'!$E$7,1,0)</f>
        <v>1</v>
      </c>
      <c r="J118" s="113" t="str">
        <f>IF(OR(Table_5[[#This Row],[Customer Name]]="ABC Manufacturing",Table_5[[#This Row],[Customer Name]]="123 Industries"), "Yes", "No")</f>
        <v>No</v>
      </c>
      <c r="K118" s="113" t="str">
        <f>IF(COUNTIFS(Table_5[Customer Name],B118, Table_5[Order Date], "&gt;="&amp;DATE(2021,1,1), Table_5[Order Date], "&lt;="&amp;DATE(2022,12,31))&gt;0, "Existing Customer", "New Customer")</f>
        <v>Existing Customer</v>
      </c>
      <c r="L118" s="113">
        <f>IF(Table_5[[#This Row],[Country]]='For Manage'!$E$11,1,0)</f>
        <v>1</v>
      </c>
      <c r="M118" s="113"/>
      <c r="N118" s="81">
        <v>44658</v>
      </c>
      <c r="O118" s="73" t="str">
        <v>Thomas Co.</v>
      </c>
      <c r="P118" s="74" t="str">
        <v>USA</v>
      </c>
      <c r="Q118" s="74" t="str">
        <v>NA</v>
      </c>
      <c r="R118" s="74">
        <v>850.35</v>
      </c>
      <c r="S118" s="74" t="str">
        <v>Machine Order</v>
      </c>
      <c r="T118" s="74" t="str">
        <v>Sarah Brown</v>
      </c>
      <c r="U118" s="74" t="str">
        <v>USD</v>
      </c>
      <c r="V118">
        <v>1</v>
      </c>
      <c r="W118" t="str">
        <v>No</v>
      </c>
      <c r="X118" t="str">
        <v>Existing Customer</v>
      </c>
      <c r="Y118">
        <v>1</v>
      </c>
      <c r="AB118" s="72"/>
      <c r="AC118" s="72"/>
      <c r="AD118" s="72"/>
      <c r="AE118" s="72"/>
      <c r="AL118" s="72"/>
      <c r="AM118" s="72"/>
    </row>
    <row r="119" spans="1:39" ht="15.6" x14ac:dyDescent="0.3">
      <c r="A119" s="80">
        <v>44474</v>
      </c>
      <c r="B119" s="2" t="s">
        <v>66</v>
      </c>
      <c r="C119" s="2" t="s">
        <v>49</v>
      </c>
      <c r="D119" s="2" t="s">
        <v>50</v>
      </c>
      <c r="E119" s="204">
        <v>550.45000000000005</v>
      </c>
      <c r="F119" s="2" t="s">
        <v>51</v>
      </c>
      <c r="G119" s="2" t="s">
        <v>3</v>
      </c>
      <c r="H119" s="2" t="s">
        <v>52</v>
      </c>
      <c r="I119" s="113">
        <f>IF(Table_5[[#This Row],[Sales Rep]]='For Manage'!$E$7,1,0)</f>
        <v>1</v>
      </c>
      <c r="J119" s="113" t="str">
        <f>IF(OR(Table_5[[#This Row],[Customer Name]]="ABC Manufacturing",Table_5[[#This Row],[Customer Name]]="123 Industries"), "Yes", "No")</f>
        <v>No</v>
      </c>
      <c r="K119" s="113" t="str">
        <f>IF(COUNTIFS(Table_5[Customer Name],B119, Table_5[Order Date], "&gt;="&amp;DATE(2021,1,1), Table_5[Order Date], "&lt;="&amp;DATE(2022,12,31))&gt;0, "Existing Customer", "New Customer")</f>
        <v>Existing Customer</v>
      </c>
      <c r="L119" s="113">
        <f>IF(Table_5[[#This Row],[Country]]='For Manage'!$E$11,1,0)</f>
        <v>1</v>
      </c>
      <c r="M119" s="113"/>
      <c r="N119" s="81">
        <v>44658</v>
      </c>
      <c r="O119" s="73" t="str">
        <v>Smith &amp; Sons</v>
      </c>
      <c r="P119" s="74" t="str">
        <v>USA</v>
      </c>
      <c r="Q119" s="74" t="str">
        <v>NA</v>
      </c>
      <c r="R119" s="74">
        <v>8500.5</v>
      </c>
      <c r="S119" s="74" t="str">
        <v>Machine Order</v>
      </c>
      <c r="T119" s="74" t="str">
        <v>Sarah Brown</v>
      </c>
      <c r="U119" s="74" t="str">
        <v>USD</v>
      </c>
      <c r="V119">
        <v>1</v>
      </c>
      <c r="W119" t="str">
        <v>No</v>
      </c>
      <c r="X119" t="str">
        <v>Existing Customer</v>
      </c>
      <c r="Y119">
        <v>1</v>
      </c>
      <c r="AB119" s="72"/>
      <c r="AC119" s="72"/>
      <c r="AD119" s="72"/>
      <c r="AE119" s="72"/>
      <c r="AL119" s="72"/>
      <c r="AM119" s="72"/>
    </row>
    <row r="120" spans="1:39" ht="15.6" x14ac:dyDescent="0.3">
      <c r="A120" s="80">
        <v>44510</v>
      </c>
      <c r="B120" s="2" t="s">
        <v>127</v>
      </c>
      <c r="C120" s="2" t="s">
        <v>49</v>
      </c>
      <c r="D120" s="2" t="s">
        <v>50</v>
      </c>
      <c r="E120" s="204">
        <v>450.3</v>
      </c>
      <c r="F120" s="2" t="s">
        <v>54</v>
      </c>
      <c r="G120" s="2" t="s">
        <v>3</v>
      </c>
      <c r="H120" s="2" t="s">
        <v>52</v>
      </c>
      <c r="I120" s="113">
        <f>IF(Table_5[[#This Row],[Sales Rep]]='For Manage'!$E$7,1,0)</f>
        <v>1</v>
      </c>
      <c r="J120" s="113" t="str">
        <f>IF(OR(Table_5[[#This Row],[Customer Name]]="ABC Manufacturing",Table_5[[#This Row],[Customer Name]]="123 Industries"), "Yes", "No")</f>
        <v>No</v>
      </c>
      <c r="K120" s="113" t="str">
        <f>IF(COUNTIFS(Table_5[Customer Name],B120, Table_5[Order Date], "&gt;="&amp;DATE(2021,1,1), Table_5[Order Date], "&lt;="&amp;DATE(2022,12,31))&gt;0, "Existing Customer", "New Customer")</f>
        <v>Existing Customer</v>
      </c>
      <c r="L120" s="113">
        <f>IF(Table_5[[#This Row],[Country]]='For Manage'!$E$11,1,0)</f>
        <v>1</v>
      </c>
      <c r="M120" s="113"/>
      <c r="N120" s="81">
        <v>44658</v>
      </c>
      <c r="O120" s="73" t="str">
        <v>Walker &amp; Sons</v>
      </c>
      <c r="P120" s="74" t="str">
        <v>USA</v>
      </c>
      <c r="Q120" s="74" t="str">
        <v>NA</v>
      </c>
      <c r="R120" s="74">
        <v>850.95</v>
      </c>
      <c r="S120" s="74" t="str">
        <v>Machine Order</v>
      </c>
      <c r="T120" s="74" t="str">
        <v>Sarah Brown</v>
      </c>
      <c r="U120" s="74" t="str">
        <v>USD</v>
      </c>
      <c r="V120">
        <v>1</v>
      </c>
      <c r="W120" t="str">
        <v>No</v>
      </c>
      <c r="X120" t="str">
        <v>Existing Customer</v>
      </c>
      <c r="Y120">
        <v>1</v>
      </c>
      <c r="AB120" s="72"/>
      <c r="AC120" s="72"/>
      <c r="AD120" s="72"/>
      <c r="AE120" s="72"/>
      <c r="AL120" s="72"/>
      <c r="AM120" s="72"/>
    </row>
    <row r="121" spans="1:39" ht="15.6" x14ac:dyDescent="0.3">
      <c r="A121" s="80">
        <v>44545</v>
      </c>
      <c r="B121" s="2" t="s">
        <v>128</v>
      </c>
      <c r="C121" s="2" t="s">
        <v>49</v>
      </c>
      <c r="D121" s="2" t="s">
        <v>50</v>
      </c>
      <c r="E121" s="204">
        <v>350.55</v>
      </c>
      <c r="F121" s="2" t="s">
        <v>56</v>
      </c>
      <c r="G121" s="2" t="s">
        <v>3</v>
      </c>
      <c r="H121" s="2" t="s">
        <v>52</v>
      </c>
      <c r="I121" s="113">
        <f>IF(Table_5[[#This Row],[Sales Rep]]='For Manage'!$E$7,1,0)</f>
        <v>1</v>
      </c>
      <c r="J121" s="113" t="str">
        <f>IF(OR(Table_5[[#This Row],[Customer Name]]="ABC Manufacturing",Table_5[[#This Row],[Customer Name]]="123 Industries"), "Yes", "No")</f>
        <v>No</v>
      </c>
      <c r="K121" s="113" t="str">
        <f>IF(COUNTIFS(Table_5[Customer Name],B121, Table_5[Order Date], "&gt;="&amp;DATE(2021,1,1), Table_5[Order Date], "&lt;="&amp;DATE(2022,12,31))&gt;0, "Existing Customer", "New Customer")</f>
        <v>Existing Customer</v>
      </c>
      <c r="L121" s="113">
        <f>IF(Table_5[[#This Row],[Country]]='For Manage'!$E$11,1,0)</f>
        <v>1</v>
      </c>
      <c r="M121" s="113"/>
      <c r="N121" s="81">
        <v>44658</v>
      </c>
      <c r="O121" s="73" t="str">
        <v>XYZ Corporation</v>
      </c>
      <c r="P121" s="74" t="str">
        <v>USA</v>
      </c>
      <c r="Q121" s="74" t="str">
        <v>NA</v>
      </c>
      <c r="R121" s="74">
        <v>850.2</v>
      </c>
      <c r="S121" s="74" t="str">
        <v>Machine Order</v>
      </c>
      <c r="T121" s="74" t="str">
        <v>Sarah Brown</v>
      </c>
      <c r="U121" s="74" t="str">
        <v>USD</v>
      </c>
      <c r="V121">
        <v>1</v>
      </c>
      <c r="W121" t="str">
        <v>No</v>
      </c>
      <c r="X121" t="str">
        <v>Existing Customer</v>
      </c>
      <c r="Y121">
        <v>1</v>
      </c>
      <c r="AB121" s="72"/>
      <c r="AC121" s="72"/>
      <c r="AD121" s="72"/>
      <c r="AE121" s="72"/>
      <c r="AL121" s="72"/>
      <c r="AM121" s="72"/>
    </row>
    <row r="122" spans="1:39" ht="15.6" x14ac:dyDescent="0.3">
      <c r="A122" s="80">
        <v>44581</v>
      </c>
      <c r="B122" s="2" t="s">
        <v>129</v>
      </c>
      <c r="C122" s="2" t="s">
        <v>49</v>
      </c>
      <c r="D122" s="2" t="s">
        <v>50</v>
      </c>
      <c r="E122" s="204">
        <v>950.7</v>
      </c>
      <c r="F122" s="2" t="s">
        <v>51</v>
      </c>
      <c r="G122" s="2" t="s">
        <v>3</v>
      </c>
      <c r="H122" s="2" t="s">
        <v>52</v>
      </c>
      <c r="I122" s="113">
        <f>IF(Table_5[[#This Row],[Sales Rep]]='For Manage'!$E$7,1,0)</f>
        <v>1</v>
      </c>
      <c r="J122" s="113" t="str">
        <f>IF(OR(Table_5[[#This Row],[Customer Name]]="ABC Manufacturing",Table_5[[#This Row],[Customer Name]]="123 Industries"), "Yes", "No")</f>
        <v>No</v>
      </c>
      <c r="K122" s="113" t="str">
        <f>IF(COUNTIFS(Table_5[Customer Name],B122, Table_5[Order Date], "&gt;="&amp;DATE(2021,1,1), Table_5[Order Date], "&lt;="&amp;DATE(2022,12,31))&gt;0, "Existing Customer", "New Customer")</f>
        <v>Existing Customer</v>
      </c>
      <c r="L122" s="113">
        <f>IF(Table_5[[#This Row],[Country]]='For Manage'!$E$11,1,0)</f>
        <v>1</v>
      </c>
      <c r="M122" s="113"/>
      <c r="N122" s="81">
        <v>44655</v>
      </c>
      <c r="O122" s="73" t="str">
        <v>PQR Inc.</v>
      </c>
      <c r="P122" s="74" t="str">
        <v>USA</v>
      </c>
      <c r="Q122" s="74" t="str">
        <v>NA</v>
      </c>
      <c r="R122" s="74">
        <v>850</v>
      </c>
      <c r="S122" s="74" t="str">
        <v>Machine Order</v>
      </c>
      <c r="T122" s="74" t="str">
        <v>Sarah Brown</v>
      </c>
      <c r="U122" s="74" t="str">
        <v>USD</v>
      </c>
      <c r="V122">
        <v>1</v>
      </c>
      <c r="W122" t="str">
        <v>No</v>
      </c>
      <c r="X122" t="str">
        <v>Existing Customer</v>
      </c>
      <c r="Y122">
        <v>1</v>
      </c>
      <c r="AB122" s="72"/>
      <c r="AC122" s="72"/>
      <c r="AD122" s="72"/>
      <c r="AE122" s="72"/>
      <c r="AL122" s="72"/>
      <c r="AM122" s="72"/>
    </row>
    <row r="123" spans="1:39" ht="15.6" x14ac:dyDescent="0.3">
      <c r="A123" s="80">
        <v>44617</v>
      </c>
      <c r="B123" s="2" t="s">
        <v>71</v>
      </c>
      <c r="C123" s="2" t="s">
        <v>49</v>
      </c>
      <c r="D123" s="2" t="s">
        <v>50</v>
      </c>
      <c r="E123" s="204">
        <v>250.85</v>
      </c>
      <c r="F123" s="2" t="s">
        <v>54</v>
      </c>
      <c r="G123" s="2" t="s">
        <v>3</v>
      </c>
      <c r="H123" s="2" t="s">
        <v>52</v>
      </c>
      <c r="I123" s="113">
        <f>IF(Table_5[[#This Row],[Sales Rep]]='For Manage'!$E$7,1,0)</f>
        <v>1</v>
      </c>
      <c r="J123" s="113" t="str">
        <f>IF(OR(Table_5[[#This Row],[Customer Name]]="ABC Manufacturing",Table_5[[#This Row],[Customer Name]]="123 Industries"), "Yes", "No")</f>
        <v>No</v>
      </c>
      <c r="K123" s="113" t="str">
        <f>IF(COUNTIFS(Table_5[Customer Name],B123, Table_5[Order Date], "&gt;="&amp;DATE(2021,1,1), Table_5[Order Date], "&lt;="&amp;DATE(2022,12,31))&gt;0, "Existing Customer", "New Customer")</f>
        <v>Existing Customer</v>
      </c>
      <c r="L123" s="113">
        <f>IF(Table_5[[#This Row],[Country]]='For Manage'!$E$11,1,0)</f>
        <v>1</v>
      </c>
      <c r="M123" s="113"/>
      <c r="N123" s="81">
        <v>44648</v>
      </c>
      <c r="O123" s="73" t="str">
        <v>LMN Enterprises</v>
      </c>
      <c r="P123" s="74" t="str">
        <v>USA</v>
      </c>
      <c r="Q123" s="74" t="str">
        <v>NA</v>
      </c>
      <c r="R123" s="74">
        <v>900</v>
      </c>
      <c r="S123" s="74" t="str">
        <v>Machine Order</v>
      </c>
      <c r="T123" s="74" t="str">
        <v>Sarah Brown</v>
      </c>
      <c r="U123" s="74" t="str">
        <v>USD</v>
      </c>
      <c r="V123">
        <v>1</v>
      </c>
      <c r="W123" t="str">
        <v>No</v>
      </c>
      <c r="X123" t="str">
        <v>Existing Customer</v>
      </c>
      <c r="Y123">
        <v>1</v>
      </c>
      <c r="AB123" s="72"/>
      <c r="AC123" s="72"/>
      <c r="AD123" s="72"/>
      <c r="AE123" s="72"/>
      <c r="AL123" s="72"/>
      <c r="AM123" s="72"/>
    </row>
    <row r="124" spans="1:39" ht="15.6" x14ac:dyDescent="0.3">
      <c r="A124" s="80">
        <v>44622</v>
      </c>
      <c r="B124" s="2" t="s">
        <v>88</v>
      </c>
      <c r="C124" s="2" t="s">
        <v>49</v>
      </c>
      <c r="D124" s="2" t="s">
        <v>50</v>
      </c>
      <c r="E124" s="204">
        <v>750.4</v>
      </c>
      <c r="F124" s="2" t="s">
        <v>56</v>
      </c>
      <c r="G124" s="2" t="s">
        <v>3</v>
      </c>
      <c r="H124" s="2" t="s">
        <v>52</v>
      </c>
      <c r="I124" s="113">
        <f>IF(Table_5[[#This Row],[Sales Rep]]='For Manage'!$E$7,1,0)</f>
        <v>1</v>
      </c>
      <c r="J124" s="113" t="str">
        <f>IF(OR(Table_5[[#This Row],[Customer Name]]="ABC Manufacturing",Table_5[[#This Row],[Customer Name]]="123 Industries"), "Yes", "No")</f>
        <v>No</v>
      </c>
      <c r="K124" s="113" t="str">
        <f>IF(COUNTIFS(Table_5[Customer Name],B124, Table_5[Order Date], "&gt;="&amp;DATE(2021,1,1), Table_5[Order Date], "&lt;="&amp;DATE(2022,12,31))&gt;0, "Existing Customer", "New Customer")</f>
        <v>Existing Customer</v>
      </c>
      <c r="L124" s="113">
        <f>IF(Table_5[[#This Row],[Country]]='For Manage'!$E$11,1,0)</f>
        <v>1</v>
      </c>
      <c r="M124" s="113"/>
      <c r="N124" s="81">
        <v>44641</v>
      </c>
      <c r="O124" s="73" t="str">
        <v>DEF Industries</v>
      </c>
      <c r="P124" s="74" t="str">
        <v>USA</v>
      </c>
      <c r="Q124" s="74" t="str">
        <v>NA</v>
      </c>
      <c r="R124" s="74">
        <v>750</v>
      </c>
      <c r="S124" s="74" t="str">
        <v>Machine Order</v>
      </c>
      <c r="T124" s="74" t="str">
        <v>Sarah Brown</v>
      </c>
      <c r="U124" s="74" t="str">
        <v>USD</v>
      </c>
      <c r="V124">
        <v>1</v>
      </c>
      <c r="W124" t="str">
        <v>No</v>
      </c>
      <c r="X124" t="str">
        <v>Existing Customer</v>
      </c>
      <c r="Y124">
        <v>1</v>
      </c>
      <c r="AB124" s="72"/>
      <c r="AC124" s="72"/>
      <c r="AD124" s="72"/>
      <c r="AE124" s="72"/>
      <c r="AL124" s="72"/>
      <c r="AM124" s="72"/>
    </row>
    <row r="125" spans="1:39" ht="15.6" x14ac:dyDescent="0.3">
      <c r="A125" s="80">
        <v>44658</v>
      </c>
      <c r="B125" s="2" t="s">
        <v>130</v>
      </c>
      <c r="C125" s="2" t="s">
        <v>49</v>
      </c>
      <c r="D125" s="2" t="s">
        <v>50</v>
      </c>
      <c r="E125" s="204">
        <v>850.95</v>
      </c>
      <c r="F125" s="2" t="s">
        <v>51</v>
      </c>
      <c r="G125" s="2" t="s">
        <v>3</v>
      </c>
      <c r="H125" s="2" t="s">
        <v>52</v>
      </c>
      <c r="I125" s="113">
        <f>IF(Table_5[[#This Row],[Sales Rep]]='For Manage'!$E$7,1,0)</f>
        <v>1</v>
      </c>
      <c r="J125" s="113" t="str">
        <f>IF(OR(Table_5[[#This Row],[Customer Name]]="ABC Manufacturing",Table_5[[#This Row],[Customer Name]]="123 Industries"), "Yes", "No")</f>
        <v>No</v>
      </c>
      <c r="K125" s="113" t="str">
        <f>IF(COUNTIFS(Table_5[Customer Name],B125, Table_5[Order Date], "&gt;="&amp;DATE(2021,1,1), Table_5[Order Date], "&lt;="&amp;DATE(2022,12,31))&gt;0, "Existing Customer", "New Customer")</f>
        <v>Existing Customer</v>
      </c>
      <c r="L125" s="113">
        <f>IF(Table_5[[#This Row],[Country]]='For Manage'!$E$11,1,0)</f>
        <v>1</v>
      </c>
      <c r="M125" s="113"/>
      <c r="N125" s="81">
        <v>44634</v>
      </c>
      <c r="O125" s="73" t="str">
        <v>XYZ Corporation</v>
      </c>
      <c r="P125" s="74" t="str">
        <v>USA</v>
      </c>
      <c r="Q125" s="74" t="str">
        <v>NA</v>
      </c>
      <c r="R125" s="74">
        <v>800</v>
      </c>
      <c r="S125" s="74" t="str">
        <v>Machine Order</v>
      </c>
      <c r="T125" s="74" t="str">
        <v>Sarah Brown</v>
      </c>
      <c r="U125" s="74" t="str">
        <v>USD</v>
      </c>
      <c r="V125">
        <v>1</v>
      </c>
      <c r="W125" t="str">
        <v>No</v>
      </c>
      <c r="X125" t="str">
        <v>Existing Customer</v>
      </c>
      <c r="Y125">
        <v>1</v>
      </c>
      <c r="AB125" s="72"/>
      <c r="AC125" s="72"/>
      <c r="AD125" s="72"/>
      <c r="AE125" s="72"/>
      <c r="AL125" s="72"/>
      <c r="AM125" s="72"/>
    </row>
    <row r="126" spans="1:39" ht="15.6" x14ac:dyDescent="0.3">
      <c r="A126" s="80">
        <v>44693</v>
      </c>
      <c r="B126" s="2" t="s">
        <v>131</v>
      </c>
      <c r="C126" s="2" t="s">
        <v>49</v>
      </c>
      <c r="D126" s="2" t="s">
        <v>50</v>
      </c>
      <c r="E126" s="204">
        <v>150.65</v>
      </c>
      <c r="F126" s="2" t="s">
        <v>54</v>
      </c>
      <c r="G126" s="2" t="s">
        <v>3</v>
      </c>
      <c r="H126" s="2" t="s">
        <v>52</v>
      </c>
      <c r="I126" s="113">
        <f>IF(Table_5[[#This Row],[Sales Rep]]='For Manage'!$E$7,1,0)</f>
        <v>1</v>
      </c>
      <c r="J126" s="113" t="str">
        <f>IF(OR(Table_5[[#This Row],[Customer Name]]="ABC Manufacturing",Table_5[[#This Row],[Customer Name]]="123 Industries"), "Yes", "No")</f>
        <v>No</v>
      </c>
      <c r="K126" s="113" t="str">
        <f>IF(COUNTIFS(Table_5[Customer Name],B126, Table_5[Order Date], "&gt;="&amp;DATE(2021,1,1), Table_5[Order Date], "&lt;="&amp;DATE(2022,12,31))&gt;0, "Existing Customer", "New Customer")</f>
        <v>Existing Customer</v>
      </c>
      <c r="L126" s="113">
        <f>IF(Table_5[[#This Row],[Country]]='For Manage'!$E$11,1,0)</f>
        <v>1</v>
      </c>
      <c r="M126" s="113"/>
      <c r="N126" s="81">
        <v>44627</v>
      </c>
      <c r="O126" s="73" t="str">
        <v>ABC Manufacturing</v>
      </c>
      <c r="P126" s="74" t="str">
        <v>USA</v>
      </c>
      <c r="Q126" s="74" t="str">
        <v>NA</v>
      </c>
      <c r="R126" s="74">
        <v>650</v>
      </c>
      <c r="S126" s="74" t="str">
        <v>Machine Order</v>
      </c>
      <c r="T126" s="74" t="str">
        <v>Sarah Brown</v>
      </c>
      <c r="U126" s="74" t="str">
        <v>USD</v>
      </c>
      <c r="V126">
        <v>1</v>
      </c>
      <c r="W126" t="str">
        <v>Yes</v>
      </c>
      <c r="X126" t="str">
        <v>Existing Customer</v>
      </c>
      <c r="Y126">
        <v>1</v>
      </c>
      <c r="AB126" s="72"/>
      <c r="AC126" s="72"/>
      <c r="AD126" s="72"/>
      <c r="AE126" s="72"/>
      <c r="AL126" s="72"/>
      <c r="AM126" s="72"/>
    </row>
    <row r="127" spans="1:39" ht="15.6" x14ac:dyDescent="0.3">
      <c r="A127" s="80">
        <v>44729</v>
      </c>
      <c r="B127" s="2" t="s">
        <v>132</v>
      </c>
      <c r="C127" s="2" t="s">
        <v>49</v>
      </c>
      <c r="D127" s="2" t="s">
        <v>50</v>
      </c>
      <c r="E127" s="204">
        <v>650.25</v>
      </c>
      <c r="F127" s="2" t="s">
        <v>56</v>
      </c>
      <c r="G127" s="2" t="s">
        <v>3</v>
      </c>
      <c r="H127" s="2" t="s">
        <v>52</v>
      </c>
      <c r="I127" s="113">
        <f>IF(Table_5[[#This Row],[Sales Rep]]='For Manage'!$E$7,1,0)</f>
        <v>1</v>
      </c>
      <c r="J127" s="113" t="str">
        <f>IF(OR(Table_5[[#This Row],[Customer Name]]="ABC Manufacturing",Table_5[[#This Row],[Customer Name]]="123 Industries"), "Yes", "No")</f>
        <v>No</v>
      </c>
      <c r="K127" s="113" t="str">
        <f>IF(COUNTIFS(Table_5[Customer Name],B127, Table_5[Order Date], "&gt;="&amp;DATE(2021,1,1), Table_5[Order Date], "&lt;="&amp;DATE(2022,12,31))&gt;0, "Existing Customer", "New Customer")</f>
        <v>Existing Customer</v>
      </c>
      <c r="L127" s="113">
        <f>IF(Table_5[[#This Row],[Country]]='For Manage'!$E$11,1,0)</f>
        <v>1</v>
      </c>
      <c r="M127" s="113"/>
      <c r="N127" s="81">
        <v>44622</v>
      </c>
      <c r="O127" s="73" t="str">
        <v>PQR Incorporated</v>
      </c>
      <c r="P127" s="74" t="str">
        <v>USA</v>
      </c>
      <c r="Q127" s="74" t="str">
        <v>NA</v>
      </c>
      <c r="R127" s="74">
        <v>750000</v>
      </c>
      <c r="S127" s="74" t="str">
        <v>Service</v>
      </c>
      <c r="T127" s="74" t="str">
        <v>Sarah Brown</v>
      </c>
      <c r="U127" s="74" t="str">
        <v>USD</v>
      </c>
      <c r="V127">
        <v>1</v>
      </c>
      <c r="W127" t="str">
        <v>No</v>
      </c>
      <c r="X127" t="str">
        <v>Existing Customer</v>
      </c>
      <c r="Y127">
        <v>1</v>
      </c>
      <c r="AB127" s="72"/>
      <c r="AC127" s="72"/>
      <c r="AD127" s="72"/>
      <c r="AE127" s="72"/>
      <c r="AL127" s="72"/>
      <c r="AM127" s="72"/>
    </row>
    <row r="128" spans="1:39" ht="15.6" x14ac:dyDescent="0.3">
      <c r="A128" s="80">
        <v>44764</v>
      </c>
      <c r="B128" s="2" t="s">
        <v>133</v>
      </c>
      <c r="C128" s="2" t="s">
        <v>49</v>
      </c>
      <c r="D128" s="2" t="s">
        <v>50</v>
      </c>
      <c r="E128" s="204">
        <v>450.75</v>
      </c>
      <c r="F128" s="2" t="s">
        <v>51</v>
      </c>
      <c r="G128" s="2" t="s">
        <v>3</v>
      </c>
      <c r="H128" s="2" t="s">
        <v>52</v>
      </c>
      <c r="I128" s="113">
        <f>IF(Table_5[[#This Row],[Sales Rep]]='For Manage'!$E$7,1,0)</f>
        <v>1</v>
      </c>
      <c r="J128" s="113" t="str">
        <f>IF(OR(Table_5[[#This Row],[Customer Name]]="ABC Manufacturing",Table_5[[#This Row],[Customer Name]]="123 Industries"), "Yes", "No")</f>
        <v>No</v>
      </c>
      <c r="K128" s="113" t="str">
        <f>IF(COUNTIFS(Table_5[Customer Name],B128, Table_5[Order Date], "&gt;="&amp;DATE(2021,1,1), Table_5[Order Date], "&lt;="&amp;DATE(2022,12,31))&gt;0, "Existing Customer", "New Customer")</f>
        <v>Existing Customer</v>
      </c>
      <c r="L128" s="113">
        <f>IF(Table_5[[#This Row],[Country]]='For Manage'!$E$11,1,0)</f>
        <v>1</v>
      </c>
      <c r="M128" s="113"/>
      <c r="N128" s="81">
        <v>44622</v>
      </c>
      <c r="O128" s="73" t="str">
        <v>Adams Inc.</v>
      </c>
      <c r="P128" s="74" t="str">
        <v>USA</v>
      </c>
      <c r="Q128" s="74" t="str">
        <v>NA</v>
      </c>
      <c r="R128" s="74">
        <v>750.25</v>
      </c>
      <c r="S128" s="74" t="str">
        <v>Service</v>
      </c>
      <c r="T128" s="74" t="str">
        <v>Sarah Brown</v>
      </c>
      <c r="U128" s="74" t="str">
        <v>USD</v>
      </c>
      <c r="V128">
        <v>1</v>
      </c>
      <c r="W128" t="str">
        <v>No</v>
      </c>
      <c r="X128" t="str">
        <v>Existing Customer</v>
      </c>
      <c r="Y128">
        <v>1</v>
      </c>
      <c r="AB128" s="72"/>
      <c r="AC128" s="72"/>
      <c r="AD128" s="72"/>
      <c r="AE128" s="72"/>
      <c r="AL128" s="72"/>
      <c r="AM128" s="72"/>
    </row>
    <row r="129" spans="1:39" ht="15.6" x14ac:dyDescent="0.3">
      <c r="A129" s="80">
        <v>44800</v>
      </c>
      <c r="B129" s="2" t="s">
        <v>134</v>
      </c>
      <c r="C129" s="2" t="s">
        <v>49</v>
      </c>
      <c r="D129" s="2" t="s">
        <v>50</v>
      </c>
      <c r="E129" s="204">
        <v>550.20000000000005</v>
      </c>
      <c r="F129" s="2" t="s">
        <v>54</v>
      </c>
      <c r="G129" s="2" t="s">
        <v>3</v>
      </c>
      <c r="H129" s="2" t="s">
        <v>52</v>
      </c>
      <c r="I129" s="113">
        <f>IF(Table_5[[#This Row],[Sales Rep]]='For Manage'!$E$7,1,0)</f>
        <v>1</v>
      </c>
      <c r="J129" s="113" t="str">
        <f>IF(OR(Table_5[[#This Row],[Customer Name]]="ABC Manufacturing",Table_5[[#This Row],[Customer Name]]="123 Industries"), "Yes", "No")</f>
        <v>No</v>
      </c>
      <c r="K129" s="113" t="str">
        <f>IF(COUNTIFS(Table_5[Customer Name],B129, Table_5[Order Date], "&gt;="&amp;DATE(2021,1,1), Table_5[Order Date], "&lt;="&amp;DATE(2022,12,31))&gt;0, "Existing Customer", "New Customer")</f>
        <v>Existing Customer</v>
      </c>
      <c r="L129" s="113">
        <f>IF(Table_5[[#This Row],[Country]]='For Manage'!$E$11,1,0)</f>
        <v>1</v>
      </c>
      <c r="M129" s="113"/>
      <c r="N129" s="81">
        <v>44622</v>
      </c>
      <c r="O129" s="73" t="str">
        <v>Miller Co.</v>
      </c>
      <c r="P129" s="74" t="str">
        <v>USA</v>
      </c>
      <c r="Q129" s="74" t="str">
        <v>NA</v>
      </c>
      <c r="R129" s="74">
        <v>7500.25</v>
      </c>
      <c r="S129" s="74" t="str">
        <v>Service</v>
      </c>
      <c r="T129" s="74" t="str">
        <v>Sarah Brown</v>
      </c>
      <c r="U129" s="74" t="str">
        <v>USD</v>
      </c>
      <c r="V129">
        <v>1</v>
      </c>
      <c r="W129" t="str">
        <v>No</v>
      </c>
      <c r="X129" t="str">
        <v>Existing Customer</v>
      </c>
      <c r="Y129">
        <v>1</v>
      </c>
      <c r="AB129" s="72"/>
      <c r="AC129" s="72"/>
      <c r="AD129" s="72"/>
      <c r="AE129" s="72"/>
      <c r="AL129" s="72"/>
      <c r="AM129" s="72"/>
    </row>
    <row r="130" spans="1:39" ht="15.6" x14ac:dyDescent="0.3">
      <c r="A130" s="80">
        <v>44805</v>
      </c>
      <c r="B130" s="2" t="s">
        <v>76</v>
      </c>
      <c r="C130" s="2" t="s">
        <v>49</v>
      </c>
      <c r="D130" s="2" t="s">
        <v>50</v>
      </c>
      <c r="E130" s="204">
        <v>950.3</v>
      </c>
      <c r="F130" s="2" t="s">
        <v>56</v>
      </c>
      <c r="G130" s="2" t="s">
        <v>3</v>
      </c>
      <c r="H130" s="2" t="s">
        <v>52</v>
      </c>
      <c r="I130" s="113">
        <f>IF(Table_5[[#This Row],[Sales Rep]]='For Manage'!$E$7,1,0)</f>
        <v>1</v>
      </c>
      <c r="J130" s="113" t="str">
        <f>IF(OR(Table_5[[#This Row],[Customer Name]]="ABC Manufacturing",Table_5[[#This Row],[Customer Name]]="123 Industries"), "Yes", "No")</f>
        <v>No</v>
      </c>
      <c r="K130" s="113" t="str">
        <f>IF(COUNTIFS(Table_5[Customer Name],B130, Table_5[Order Date], "&gt;="&amp;DATE(2021,1,1), Table_5[Order Date], "&lt;="&amp;DATE(2022,12,31))&gt;0, "Existing Customer", "New Customer")</f>
        <v>Existing Customer</v>
      </c>
      <c r="L130" s="113">
        <f>IF(Table_5[[#This Row],[Country]]='For Manage'!$E$11,1,0)</f>
        <v>1</v>
      </c>
      <c r="M130" s="113"/>
      <c r="N130" s="81">
        <v>44622</v>
      </c>
      <c r="O130" s="73" t="str">
        <v>Hill Group</v>
      </c>
      <c r="P130" s="74" t="str">
        <v>USA</v>
      </c>
      <c r="Q130" s="74" t="str">
        <v>NA</v>
      </c>
      <c r="R130" s="74">
        <v>750.4</v>
      </c>
      <c r="S130" s="74" t="str">
        <v>Service</v>
      </c>
      <c r="T130" s="74" t="str">
        <v>Sarah Brown</v>
      </c>
      <c r="U130" s="74" t="str">
        <v>USD</v>
      </c>
      <c r="V130">
        <v>1</v>
      </c>
      <c r="W130" t="str">
        <v>No</v>
      </c>
      <c r="X130" t="str">
        <v>Existing Customer</v>
      </c>
      <c r="Y130">
        <v>1</v>
      </c>
      <c r="AB130" s="72"/>
      <c r="AC130" s="72"/>
      <c r="AD130" s="72"/>
      <c r="AE130" s="72"/>
      <c r="AL130" s="72"/>
      <c r="AM130" s="72"/>
    </row>
    <row r="131" spans="1:39" ht="15.6" x14ac:dyDescent="0.3">
      <c r="A131" s="80">
        <v>44840</v>
      </c>
      <c r="B131" s="2" t="s">
        <v>135</v>
      </c>
      <c r="C131" s="2" t="s">
        <v>49</v>
      </c>
      <c r="D131" s="2" t="s">
        <v>50</v>
      </c>
      <c r="E131" s="204">
        <v>250.45</v>
      </c>
      <c r="F131" s="2" t="s">
        <v>51</v>
      </c>
      <c r="G131" s="2" t="s">
        <v>3</v>
      </c>
      <c r="H131" s="2" t="s">
        <v>52</v>
      </c>
      <c r="I131" s="113">
        <f>IF(Table_5[[#This Row],[Sales Rep]]='For Manage'!$E$7,1,0)</f>
        <v>1</v>
      </c>
      <c r="J131" s="113" t="str">
        <f>IF(OR(Table_5[[#This Row],[Customer Name]]="ABC Manufacturing",Table_5[[#This Row],[Customer Name]]="123 Industries"), "Yes", "No")</f>
        <v>No</v>
      </c>
      <c r="K131" s="113" t="str">
        <f>IF(COUNTIFS(Table_5[Customer Name],B131, Table_5[Order Date], "&gt;="&amp;DATE(2021,1,1), Table_5[Order Date], "&lt;="&amp;DATE(2022,12,31))&gt;0, "Existing Customer", "New Customer")</f>
        <v>Existing Customer</v>
      </c>
      <c r="L131" s="113">
        <f>IF(Table_5[[#This Row],[Country]]='For Manage'!$E$11,1,0)</f>
        <v>1</v>
      </c>
      <c r="M131" s="113"/>
      <c r="N131" s="81">
        <v>44622</v>
      </c>
      <c r="O131" s="73" t="str">
        <v>ABC Manufacturing</v>
      </c>
      <c r="P131" s="74" t="str">
        <v>USA</v>
      </c>
      <c r="Q131" s="74" t="str">
        <v>NA</v>
      </c>
      <c r="R131" s="74">
        <v>750.75</v>
      </c>
      <c r="S131" s="74" t="str">
        <v>Service</v>
      </c>
      <c r="T131" s="74" t="str">
        <v>Sarah Brown</v>
      </c>
      <c r="U131" s="74" t="str">
        <v>USD</v>
      </c>
      <c r="V131">
        <v>1</v>
      </c>
      <c r="W131" t="str">
        <v>Yes</v>
      </c>
      <c r="X131" t="str">
        <v>Existing Customer</v>
      </c>
      <c r="Y131">
        <v>1</v>
      </c>
      <c r="AB131" s="72"/>
      <c r="AC131" s="72"/>
      <c r="AD131" s="72"/>
      <c r="AE131" s="72"/>
      <c r="AL131" s="72"/>
      <c r="AM131" s="72"/>
    </row>
    <row r="132" spans="1:39" ht="15.6" x14ac:dyDescent="0.3">
      <c r="A132" s="80">
        <v>44876</v>
      </c>
      <c r="B132" s="2" t="s">
        <v>136</v>
      </c>
      <c r="C132" s="2" t="s">
        <v>49</v>
      </c>
      <c r="D132" s="2" t="s">
        <v>50</v>
      </c>
      <c r="E132" s="204">
        <v>750.9</v>
      </c>
      <c r="F132" s="2" t="s">
        <v>54</v>
      </c>
      <c r="G132" s="2" t="s">
        <v>3</v>
      </c>
      <c r="H132" s="2" t="s">
        <v>52</v>
      </c>
      <c r="I132" s="113">
        <f>IF(Table_5[[#This Row],[Sales Rep]]='For Manage'!$E$7,1,0)</f>
        <v>1</v>
      </c>
      <c r="J132" s="113" t="str">
        <f>IF(OR(Table_5[[#This Row],[Customer Name]]="ABC Manufacturing",Table_5[[#This Row],[Customer Name]]="123 Industries"), "Yes", "No")</f>
        <v>No</v>
      </c>
      <c r="K132" s="113" t="str">
        <f>IF(COUNTIFS(Table_5[Customer Name],B132, Table_5[Order Date], "&gt;="&amp;DATE(2021,1,1), Table_5[Order Date], "&lt;="&amp;DATE(2022,12,31))&gt;0, "Existing Customer", "New Customer")</f>
        <v>Existing Customer</v>
      </c>
      <c r="L132" s="113">
        <f>IF(Table_5[[#This Row],[Country]]='For Manage'!$E$11,1,0)</f>
        <v>1</v>
      </c>
      <c r="M132" s="113"/>
      <c r="N132" s="81">
        <v>44620</v>
      </c>
      <c r="O132" s="73" t="str">
        <v>EFG Inc.</v>
      </c>
      <c r="P132" s="74" t="str">
        <v>USA</v>
      </c>
      <c r="Q132" s="74" t="str">
        <v>NA</v>
      </c>
      <c r="R132" s="74">
        <v>700</v>
      </c>
      <c r="S132" s="74" t="str">
        <v>Machine Order</v>
      </c>
      <c r="T132" s="74" t="str">
        <v>Sarah Brown</v>
      </c>
      <c r="U132" s="74" t="str">
        <v>USD</v>
      </c>
      <c r="V132">
        <v>1</v>
      </c>
      <c r="W132" t="str">
        <v>No</v>
      </c>
      <c r="X132" t="str">
        <v>Existing Customer</v>
      </c>
      <c r="Y132">
        <v>1</v>
      </c>
      <c r="AB132" s="72"/>
      <c r="AC132" s="72"/>
      <c r="AD132" s="72"/>
      <c r="AE132" s="72"/>
      <c r="AL132" s="72"/>
      <c r="AM132" s="72"/>
    </row>
    <row r="133" spans="1:39" ht="15.6" x14ac:dyDescent="0.3">
      <c r="A133" s="80">
        <v>44911</v>
      </c>
      <c r="B133" s="2" t="s">
        <v>137</v>
      </c>
      <c r="C133" s="2" t="s">
        <v>49</v>
      </c>
      <c r="D133" s="2" t="s">
        <v>50</v>
      </c>
      <c r="E133" s="204">
        <v>650.6</v>
      </c>
      <c r="F133" s="2" t="s">
        <v>56</v>
      </c>
      <c r="G133" s="2" t="s">
        <v>3</v>
      </c>
      <c r="H133" s="2" t="s">
        <v>52</v>
      </c>
      <c r="I133" s="113">
        <f>IF(Table_5[[#This Row],[Sales Rep]]='For Manage'!$E$7,1,0)</f>
        <v>1</v>
      </c>
      <c r="J133" s="113" t="str">
        <f>IF(OR(Table_5[[#This Row],[Customer Name]]="ABC Manufacturing",Table_5[[#This Row],[Customer Name]]="123 Industries"), "Yes", "No")</f>
        <v>No</v>
      </c>
      <c r="K133" s="113" t="str">
        <f>IF(COUNTIFS(Table_5[Customer Name],B133, Table_5[Order Date], "&gt;="&amp;DATE(2021,1,1), Table_5[Order Date], "&lt;="&amp;DATE(2022,12,31))&gt;0, "Existing Customer", "New Customer")</f>
        <v>Existing Customer</v>
      </c>
      <c r="L133" s="113">
        <f>IF(Table_5[[#This Row],[Country]]='For Manage'!$E$11,1,0)</f>
        <v>1</v>
      </c>
      <c r="M133" s="113"/>
      <c r="N133" s="81">
        <v>44617</v>
      </c>
      <c r="O133" s="73" t="str">
        <v>123 Industries</v>
      </c>
      <c r="P133" s="74" t="str">
        <v>USA</v>
      </c>
      <c r="Q133" s="74" t="str">
        <v>NA</v>
      </c>
      <c r="R133" s="74">
        <v>250000</v>
      </c>
      <c r="S133" s="74" t="str">
        <v>Normal Order</v>
      </c>
      <c r="T133" s="74" t="str">
        <v>Sarah Brown</v>
      </c>
      <c r="U133" s="74" t="str">
        <v>USD</v>
      </c>
      <c r="V133">
        <v>1</v>
      </c>
      <c r="W133" t="str">
        <v>Yes</v>
      </c>
      <c r="X133" t="str">
        <v>Existing Customer</v>
      </c>
      <c r="Y133">
        <v>1</v>
      </c>
      <c r="AB133" s="72"/>
      <c r="AC133" s="72"/>
      <c r="AD133" s="72"/>
      <c r="AE133" s="72"/>
      <c r="AL133" s="72"/>
      <c r="AM133" s="72"/>
    </row>
    <row r="134" spans="1:39" ht="15.6" x14ac:dyDescent="0.3">
      <c r="A134" s="80">
        <v>44947</v>
      </c>
      <c r="B134" s="2" t="s">
        <v>138</v>
      </c>
      <c r="C134" s="2" t="s">
        <v>49</v>
      </c>
      <c r="D134" s="2" t="s">
        <v>50</v>
      </c>
      <c r="E134" s="204">
        <v>350.75</v>
      </c>
      <c r="F134" s="2" t="s">
        <v>51</v>
      </c>
      <c r="G134" s="2" t="s">
        <v>3</v>
      </c>
      <c r="H134" s="2" t="s">
        <v>52</v>
      </c>
      <c r="I134" s="113">
        <f>IF(Table_5[[#This Row],[Sales Rep]]='For Manage'!$E$7,1,0)</f>
        <v>1</v>
      </c>
      <c r="J134" s="113" t="str">
        <f>IF(OR(Table_5[[#This Row],[Customer Name]]="ABC Manufacturing",Table_5[[#This Row],[Customer Name]]="123 Industries"), "Yes", "No")</f>
        <v>No</v>
      </c>
      <c r="K134" s="113" t="str">
        <f>IF(COUNTIFS(Table_5[Customer Name],B134, Table_5[Order Date], "&gt;="&amp;DATE(2021,1,1), Table_5[Order Date], "&lt;="&amp;DATE(2022,12,31))&gt;0, "Existing Customer", "New Customer")</f>
        <v>New Customer</v>
      </c>
      <c r="L134" s="113">
        <f>IF(Table_5[[#This Row],[Country]]='For Manage'!$E$11,1,0)</f>
        <v>1</v>
      </c>
      <c r="M134" s="113"/>
      <c r="N134" s="81">
        <v>44617</v>
      </c>
      <c r="O134" s="73" t="str">
        <v>Clark Industries</v>
      </c>
      <c r="P134" s="74" t="str">
        <v>USA</v>
      </c>
      <c r="Q134" s="74" t="str">
        <v>NA</v>
      </c>
      <c r="R134" s="74">
        <v>250.9</v>
      </c>
      <c r="S134" s="74" t="str">
        <v>Normal Order</v>
      </c>
      <c r="T134" s="74" t="str">
        <v>Sarah Brown</v>
      </c>
      <c r="U134" s="74" t="str">
        <v>USD</v>
      </c>
      <c r="V134">
        <v>1</v>
      </c>
      <c r="W134" t="str">
        <v>No</v>
      </c>
      <c r="X134" t="str">
        <v>Existing Customer</v>
      </c>
      <c r="Y134">
        <v>1</v>
      </c>
      <c r="AB134" s="72"/>
      <c r="AC134" s="72"/>
      <c r="AD134" s="72"/>
      <c r="AE134" s="72"/>
      <c r="AL134" s="72"/>
      <c r="AM134" s="72"/>
    </row>
    <row r="135" spans="1:39" ht="15.6" x14ac:dyDescent="0.3">
      <c r="A135" s="80">
        <v>44983</v>
      </c>
      <c r="B135" s="2" t="s">
        <v>139</v>
      </c>
      <c r="C135" s="2" t="s">
        <v>49</v>
      </c>
      <c r="D135" s="2" t="s">
        <v>50</v>
      </c>
      <c r="E135" s="204">
        <v>150.55000000000001</v>
      </c>
      <c r="F135" s="2" t="s">
        <v>54</v>
      </c>
      <c r="G135" s="2" t="s">
        <v>3</v>
      </c>
      <c r="H135" s="2" t="s">
        <v>52</v>
      </c>
      <c r="I135" s="113">
        <f>IF(Table_5[[#This Row],[Sales Rep]]='For Manage'!$E$7,1,0)</f>
        <v>1</v>
      </c>
      <c r="J135" s="113" t="str">
        <f>IF(OR(Table_5[[#This Row],[Customer Name]]="ABC Manufacturing",Table_5[[#This Row],[Customer Name]]="123 Industries"), "Yes", "No")</f>
        <v>No</v>
      </c>
      <c r="K135" s="113" t="str">
        <f>IF(COUNTIFS(Table_5[Customer Name],B135, Table_5[Order Date], "&gt;="&amp;DATE(2021,1,1), Table_5[Order Date], "&lt;="&amp;DATE(2022,12,31))&gt;0, "Existing Customer", "New Customer")</f>
        <v>New Customer</v>
      </c>
      <c r="L135" s="113">
        <f>IF(Table_5[[#This Row],[Country]]='For Manage'!$E$11,1,0)</f>
        <v>1</v>
      </c>
      <c r="M135" s="113"/>
      <c r="N135" s="82">
        <v>44617</v>
      </c>
      <c r="O135" s="68" t="str">
        <v>Davis Corporation</v>
      </c>
      <c r="P135" s="7" t="str">
        <v>USA</v>
      </c>
      <c r="Q135" s="7" t="str">
        <v>NA</v>
      </c>
      <c r="R135" s="7">
        <v>2500.75</v>
      </c>
      <c r="S135" s="7" t="str">
        <v>Normal Order</v>
      </c>
      <c r="T135" s="7" t="str">
        <v>Sarah Brown</v>
      </c>
      <c r="U135" s="7" t="str">
        <v>USD</v>
      </c>
      <c r="V135">
        <v>1</v>
      </c>
      <c r="W135" t="str">
        <v>No</v>
      </c>
      <c r="X135" t="str">
        <v>Existing Customer</v>
      </c>
      <c r="Y135">
        <v>1</v>
      </c>
    </row>
    <row r="136" spans="1:39" ht="15.6" x14ac:dyDescent="0.3">
      <c r="A136" s="80">
        <v>44988</v>
      </c>
      <c r="B136" s="2" t="s">
        <v>140</v>
      </c>
      <c r="C136" s="2" t="s">
        <v>49</v>
      </c>
      <c r="D136" s="2" t="s">
        <v>50</v>
      </c>
      <c r="E136" s="204">
        <v>850.8</v>
      </c>
      <c r="F136" s="2" t="s">
        <v>56</v>
      </c>
      <c r="G136" s="2" t="s">
        <v>3</v>
      </c>
      <c r="H136" s="2" t="s">
        <v>52</v>
      </c>
      <c r="I136" s="113">
        <f>IF(Table_5[[#This Row],[Sales Rep]]='For Manage'!$E$7,1,0)</f>
        <v>1</v>
      </c>
      <c r="J136" s="113" t="str">
        <f>IF(OR(Table_5[[#This Row],[Customer Name]]="ABC Manufacturing",Table_5[[#This Row],[Customer Name]]="123 Industries"), "Yes", "No")</f>
        <v>No</v>
      </c>
      <c r="K136" s="113" t="str">
        <f>IF(COUNTIFS(Table_5[Customer Name],B136, Table_5[Order Date], "&gt;="&amp;DATE(2021,1,1), Table_5[Order Date], "&lt;="&amp;DATE(2022,12,31))&gt;0, "Existing Customer", "New Customer")</f>
        <v>New Customer</v>
      </c>
      <c r="L136" s="113">
        <f>IF(Table_5[[#This Row],[Country]]='For Manage'!$E$11,1,0)</f>
        <v>1</v>
      </c>
      <c r="M136" s="113"/>
      <c r="N136" s="82">
        <v>44617</v>
      </c>
      <c r="O136" s="68" t="str">
        <v>Adams Inc.</v>
      </c>
      <c r="P136" s="7" t="str">
        <v>USA</v>
      </c>
      <c r="Q136" s="7" t="str">
        <v>NA</v>
      </c>
      <c r="R136" s="7">
        <v>250.85</v>
      </c>
      <c r="S136" s="7" t="str">
        <v>Normal Order</v>
      </c>
      <c r="T136" s="7" t="str">
        <v>Sarah Brown</v>
      </c>
      <c r="U136" s="7" t="str">
        <v>USD</v>
      </c>
      <c r="V136">
        <v>1</v>
      </c>
      <c r="W136" t="str">
        <v>No</v>
      </c>
      <c r="X136" t="str">
        <v>Existing Customer</v>
      </c>
      <c r="Y136">
        <v>1</v>
      </c>
    </row>
    <row r="137" spans="1:39" ht="15.6" x14ac:dyDescent="0.3">
      <c r="A137" s="80">
        <v>45024</v>
      </c>
      <c r="B137" s="2" t="s">
        <v>141</v>
      </c>
      <c r="C137" s="2" t="s">
        <v>49</v>
      </c>
      <c r="D137" s="2" t="s">
        <v>50</v>
      </c>
      <c r="E137" s="204">
        <v>450.95</v>
      </c>
      <c r="F137" s="2" t="s">
        <v>51</v>
      </c>
      <c r="G137" s="2" t="s">
        <v>3</v>
      </c>
      <c r="H137" s="2" t="s">
        <v>52</v>
      </c>
      <c r="I137" s="113">
        <f>IF(Table_5[[#This Row],[Sales Rep]]='For Manage'!$E$7,1,0)</f>
        <v>1</v>
      </c>
      <c r="J137" s="113" t="str">
        <f>IF(OR(Table_5[[#This Row],[Customer Name]]="ABC Manufacturing",Table_5[[#This Row],[Customer Name]]="123 Industries"), "Yes", "No")</f>
        <v>No</v>
      </c>
      <c r="K137" s="113" t="str">
        <f>IF(COUNTIFS(Table_5[Customer Name],B137, Table_5[Order Date], "&gt;="&amp;DATE(2021,1,1), Table_5[Order Date], "&lt;="&amp;DATE(2022,12,31))&gt;0, "Existing Customer", "New Customer")</f>
        <v>New Customer</v>
      </c>
      <c r="L137" s="113">
        <f>IF(Table_5[[#This Row],[Country]]='For Manage'!$E$11,1,0)</f>
        <v>1</v>
      </c>
      <c r="M137" s="113"/>
      <c r="N137" s="82">
        <v>44617</v>
      </c>
      <c r="O137" s="68" t="str">
        <v>EFG Inc.</v>
      </c>
      <c r="P137" s="7" t="str">
        <v>USA</v>
      </c>
      <c r="Q137" s="7" t="str">
        <v>NA</v>
      </c>
      <c r="R137" s="7">
        <v>2500.65</v>
      </c>
      <c r="S137" s="7" t="str">
        <v>Normal Order</v>
      </c>
      <c r="T137" s="7" t="str">
        <v>Sarah Brown</v>
      </c>
      <c r="U137" s="7" t="str">
        <v>USD</v>
      </c>
      <c r="V137">
        <v>1</v>
      </c>
      <c r="W137" t="str">
        <v>No</v>
      </c>
      <c r="X137" t="str">
        <v>Existing Customer</v>
      </c>
      <c r="Y137">
        <v>1</v>
      </c>
    </row>
    <row r="138" spans="1:39" ht="15.6" x14ac:dyDescent="0.3">
      <c r="A138" s="80">
        <v>45059</v>
      </c>
      <c r="B138" s="2" t="s">
        <v>142</v>
      </c>
      <c r="C138" s="2" t="s">
        <v>49</v>
      </c>
      <c r="D138" s="2" t="s">
        <v>50</v>
      </c>
      <c r="E138" s="204">
        <v>550.25</v>
      </c>
      <c r="F138" s="2" t="s">
        <v>54</v>
      </c>
      <c r="G138" s="2" t="s">
        <v>3</v>
      </c>
      <c r="H138" s="2" t="s">
        <v>52</v>
      </c>
      <c r="I138" s="113">
        <f>IF(Table_5[[#This Row],[Sales Rep]]='For Manage'!$E$7,1,0)</f>
        <v>1</v>
      </c>
      <c r="J138" s="113" t="str">
        <f>IF(OR(Table_5[[#This Row],[Customer Name]]="ABC Manufacturing",Table_5[[#This Row],[Customer Name]]="123 Industries"), "Yes", "No")</f>
        <v>No</v>
      </c>
      <c r="K138" s="113" t="str">
        <f>IF(COUNTIFS(Table_5[Customer Name],B138, Table_5[Order Date], "&gt;="&amp;DATE(2021,1,1), Table_5[Order Date], "&lt;="&amp;DATE(2022,12,31))&gt;0, "Existing Customer", "New Customer")</f>
        <v>New Customer</v>
      </c>
      <c r="L138" s="113">
        <f>IF(Table_5[[#This Row],[Country]]='For Manage'!$E$11,1,0)</f>
        <v>1</v>
      </c>
      <c r="M138" s="113"/>
      <c r="N138" s="82">
        <v>44613</v>
      </c>
      <c r="O138" s="68" t="str">
        <v>OPQ Manufacturing</v>
      </c>
      <c r="P138" s="7" t="str">
        <v>USA</v>
      </c>
      <c r="Q138" s="7" t="str">
        <v>NA</v>
      </c>
      <c r="R138" s="7">
        <v>550</v>
      </c>
      <c r="S138" s="7" t="str">
        <v>Machine Order</v>
      </c>
      <c r="T138" s="7" t="str">
        <v>Sarah Brown</v>
      </c>
      <c r="U138" s="7" t="str">
        <v>USD</v>
      </c>
      <c r="V138">
        <v>1</v>
      </c>
      <c r="W138" t="str">
        <v>No</v>
      </c>
      <c r="X138" t="str">
        <v>Existing Customer</v>
      </c>
      <c r="Y138">
        <v>1</v>
      </c>
    </row>
    <row r="139" spans="1:39" ht="15.6" x14ac:dyDescent="0.3">
      <c r="A139" s="80">
        <v>45095</v>
      </c>
      <c r="B139" s="2" t="s">
        <v>143</v>
      </c>
      <c r="C139" s="2" t="s">
        <v>49</v>
      </c>
      <c r="D139" s="2" t="s">
        <v>50</v>
      </c>
      <c r="E139" s="204">
        <v>950.5</v>
      </c>
      <c r="F139" s="2" t="s">
        <v>56</v>
      </c>
      <c r="G139" s="2" t="s">
        <v>3</v>
      </c>
      <c r="H139" s="2" t="s">
        <v>52</v>
      </c>
      <c r="I139" s="113">
        <f>IF(Table_5[[#This Row],[Sales Rep]]='For Manage'!$E$7,1,0)</f>
        <v>1</v>
      </c>
      <c r="J139" s="113" t="str">
        <f>IF(OR(Table_5[[#This Row],[Customer Name]]="ABC Manufacturing",Table_5[[#This Row],[Customer Name]]="123 Industries"), "Yes", "No")</f>
        <v>No</v>
      </c>
      <c r="K139" s="113" t="str">
        <f>IF(COUNTIFS(Table_5[Customer Name],B139, Table_5[Order Date], "&gt;="&amp;DATE(2021,1,1), Table_5[Order Date], "&lt;="&amp;DATE(2022,12,31))&gt;0, "Existing Customer", "New Customer")</f>
        <v>New Customer</v>
      </c>
      <c r="L139" s="113">
        <f>IF(Table_5[[#This Row],[Country]]='For Manage'!$E$11,1,0)</f>
        <v>1</v>
      </c>
      <c r="M139" s="113"/>
      <c r="N139" s="82">
        <v>44606</v>
      </c>
      <c r="O139" s="68" t="str">
        <v>STU Corporation</v>
      </c>
      <c r="P139" s="7" t="str">
        <v>USA</v>
      </c>
      <c r="Q139" s="7" t="str">
        <v>NA</v>
      </c>
      <c r="R139" s="7">
        <v>600</v>
      </c>
      <c r="S139" s="7" t="str">
        <v>Machine Order</v>
      </c>
      <c r="T139" s="7" t="str">
        <v>Sarah Brown</v>
      </c>
      <c r="U139" s="7" t="str">
        <v>USD</v>
      </c>
      <c r="V139">
        <v>1</v>
      </c>
      <c r="W139" t="str">
        <v>No</v>
      </c>
      <c r="X139" t="str">
        <v>Existing Customer</v>
      </c>
      <c r="Y139">
        <v>1</v>
      </c>
    </row>
    <row r="140" spans="1:39" ht="15.6" x14ac:dyDescent="0.3">
      <c r="A140" s="80">
        <v>45130</v>
      </c>
      <c r="B140" s="2" t="s">
        <v>83</v>
      </c>
      <c r="C140" s="2" t="s">
        <v>49</v>
      </c>
      <c r="D140" s="2" t="s">
        <v>50</v>
      </c>
      <c r="E140" s="204">
        <v>250.75</v>
      </c>
      <c r="F140" s="2" t="s">
        <v>51</v>
      </c>
      <c r="G140" s="2" t="s">
        <v>3</v>
      </c>
      <c r="H140" s="2" t="s">
        <v>52</v>
      </c>
      <c r="I140" s="113">
        <f>IF(Table_5[[#This Row],[Sales Rep]]='For Manage'!$E$7,1,0)</f>
        <v>1</v>
      </c>
      <c r="J140" s="113" t="str">
        <f>IF(OR(Table_5[[#This Row],[Customer Name]]="ABC Manufacturing",Table_5[[#This Row],[Customer Name]]="123 Industries"), "Yes", "No")</f>
        <v>No</v>
      </c>
      <c r="K140" s="113" t="str">
        <f>IF(COUNTIFS(Table_5[Customer Name],B140, Table_5[Order Date], "&gt;="&amp;DATE(2021,1,1), Table_5[Order Date], "&lt;="&amp;DATE(2022,12,31))&gt;0, "Existing Customer", "New Customer")</f>
        <v>New Customer</v>
      </c>
      <c r="L140" s="113">
        <f>IF(Table_5[[#This Row],[Country]]='For Manage'!$E$11,1,0)</f>
        <v>1</v>
      </c>
      <c r="M140" s="113"/>
      <c r="N140" s="82">
        <v>44599</v>
      </c>
      <c r="O140" s="68" t="str">
        <v>HIJ Industries</v>
      </c>
      <c r="P140" s="7" t="str">
        <v>USA</v>
      </c>
      <c r="Q140" s="7" t="str">
        <v>NA</v>
      </c>
      <c r="R140" s="7">
        <v>450</v>
      </c>
      <c r="S140" s="7" t="str">
        <v>Service</v>
      </c>
      <c r="T140" s="7" t="str">
        <v>Sarah Brown</v>
      </c>
      <c r="U140" s="7" t="str">
        <v>USD</v>
      </c>
      <c r="V140">
        <v>1</v>
      </c>
      <c r="W140" t="str">
        <v>No</v>
      </c>
      <c r="X140" t="str">
        <v>Existing Customer</v>
      </c>
      <c r="Y140">
        <v>1</v>
      </c>
    </row>
    <row r="141" spans="1:39" ht="15.6" x14ac:dyDescent="0.3">
      <c r="A141" s="80">
        <v>45166</v>
      </c>
      <c r="B141" s="2" t="s">
        <v>144</v>
      </c>
      <c r="C141" s="2" t="s">
        <v>49</v>
      </c>
      <c r="D141" s="2" t="s">
        <v>50</v>
      </c>
      <c r="E141" s="204">
        <v>750.2</v>
      </c>
      <c r="F141" s="2" t="s">
        <v>54</v>
      </c>
      <c r="G141" s="2" t="s">
        <v>3</v>
      </c>
      <c r="H141" s="2" t="s">
        <v>52</v>
      </c>
      <c r="I141" s="113">
        <f>IF(Table_5[[#This Row],[Sales Rep]]='For Manage'!$E$7,1,0)</f>
        <v>1</v>
      </c>
      <c r="J141" s="113" t="str">
        <f>IF(OR(Table_5[[#This Row],[Customer Name]]="ABC Manufacturing",Table_5[[#This Row],[Customer Name]]="123 Industries"), "Yes", "No")</f>
        <v>No</v>
      </c>
      <c r="K141" s="113" t="str">
        <f>IF(COUNTIFS(Table_5[Customer Name],B141, Table_5[Order Date], "&gt;="&amp;DATE(2021,1,1), Table_5[Order Date], "&lt;="&amp;DATE(2022,12,31))&gt;0, "Existing Customer", "New Customer")</f>
        <v>New Customer</v>
      </c>
      <c r="L141" s="113">
        <f>IF(Table_5[[#This Row],[Country]]='For Manage'!$E$11,1,0)</f>
        <v>1</v>
      </c>
      <c r="M141" s="113"/>
      <c r="N141" s="82">
        <v>44592</v>
      </c>
      <c r="O141" s="68" t="str">
        <v>MNO Corporation</v>
      </c>
      <c r="P141" s="7" t="str">
        <v>USA</v>
      </c>
      <c r="Q141" s="7" t="str">
        <v>NA</v>
      </c>
      <c r="R141" s="7">
        <v>500</v>
      </c>
      <c r="S141" s="7" t="str">
        <v>Normal Order</v>
      </c>
      <c r="T141" s="7" t="str">
        <v>Sarah Brown</v>
      </c>
      <c r="U141" s="7" t="str">
        <v>USD</v>
      </c>
      <c r="V141">
        <v>1</v>
      </c>
      <c r="W141" t="str">
        <v>No</v>
      </c>
      <c r="X141" t="str">
        <v>Existing Customer</v>
      </c>
      <c r="Y141">
        <v>1</v>
      </c>
    </row>
    <row r="142" spans="1:39" ht="15.6" x14ac:dyDescent="0.3">
      <c r="A142" s="80">
        <v>45171</v>
      </c>
      <c r="B142" s="2" t="s">
        <v>88</v>
      </c>
      <c r="C142" s="2" t="s">
        <v>49</v>
      </c>
      <c r="D142" s="2" t="s">
        <v>50</v>
      </c>
      <c r="E142" s="204">
        <v>650.45000000000005</v>
      </c>
      <c r="F142" s="2" t="s">
        <v>56</v>
      </c>
      <c r="G142" s="2" t="s">
        <v>3</v>
      </c>
      <c r="H142" s="2" t="s">
        <v>52</v>
      </c>
      <c r="I142" s="113">
        <f>IF(Table_5[[#This Row],[Sales Rep]]='For Manage'!$E$7,1,0)</f>
        <v>1</v>
      </c>
      <c r="J142" s="113" t="str">
        <f>IF(OR(Table_5[[#This Row],[Customer Name]]="ABC Manufacturing",Table_5[[#This Row],[Customer Name]]="123 Industries"), "Yes", "No")</f>
        <v>No</v>
      </c>
      <c r="K142" s="113" t="str">
        <f>IF(COUNTIFS(Table_5[Customer Name],B142, Table_5[Order Date], "&gt;="&amp;DATE(2021,1,1), Table_5[Order Date], "&lt;="&amp;DATE(2022,12,31))&gt;0, "Existing Customer", "New Customer")</f>
        <v>Existing Customer</v>
      </c>
      <c r="L142" s="113">
        <f>IF(Table_5[[#This Row],[Country]]='For Manage'!$E$11,1,0)</f>
        <v>1</v>
      </c>
      <c r="M142" s="113"/>
      <c r="N142" s="82">
        <v>44585</v>
      </c>
      <c r="O142" s="68" t="str">
        <v>UVW Inc.</v>
      </c>
      <c r="P142" s="7" t="str">
        <v>USA</v>
      </c>
      <c r="Q142" s="7" t="str">
        <v>NA</v>
      </c>
      <c r="R142" s="7">
        <v>400</v>
      </c>
      <c r="S142" s="7" t="str">
        <v>Machine Order</v>
      </c>
      <c r="T142" s="7" t="str">
        <v>Sarah Brown</v>
      </c>
      <c r="U142" s="7" t="str">
        <v>USD</v>
      </c>
      <c r="V142">
        <v>1</v>
      </c>
      <c r="W142" t="str">
        <v>No</v>
      </c>
      <c r="X142" t="str">
        <v>Existing Customer</v>
      </c>
      <c r="Y142">
        <v>1</v>
      </c>
    </row>
    <row r="143" spans="1:39" ht="15.6" x14ac:dyDescent="0.3">
      <c r="A143" s="80">
        <v>45206</v>
      </c>
      <c r="B143" s="2" t="s">
        <v>145</v>
      </c>
      <c r="C143" s="2" t="s">
        <v>49</v>
      </c>
      <c r="D143" s="2" t="s">
        <v>50</v>
      </c>
      <c r="E143" s="204">
        <v>350.9</v>
      </c>
      <c r="F143" s="2" t="s">
        <v>51</v>
      </c>
      <c r="G143" s="2" t="s">
        <v>3</v>
      </c>
      <c r="H143" s="2" t="s">
        <v>52</v>
      </c>
      <c r="I143" s="113">
        <f>IF(Table_5[[#This Row],[Sales Rep]]='For Manage'!$E$7,1,0)</f>
        <v>1</v>
      </c>
      <c r="J143" s="113" t="str">
        <f>IF(OR(Table_5[[#This Row],[Customer Name]]="ABC Manufacturing",Table_5[[#This Row],[Customer Name]]="123 Industries"), "Yes", "No")</f>
        <v>No</v>
      </c>
      <c r="K143" s="113" t="str">
        <f>IF(COUNTIFS(Table_5[Customer Name],B143, Table_5[Order Date], "&gt;="&amp;DATE(2021,1,1), Table_5[Order Date], "&lt;="&amp;DATE(2022,12,31))&gt;0, "Existing Customer", "New Customer")</f>
        <v>New Customer</v>
      </c>
      <c r="L143" s="113">
        <f>IF(Table_5[[#This Row],[Country]]='For Manage'!$E$11,1,0)</f>
        <v>1</v>
      </c>
      <c r="M143" s="113"/>
      <c r="N143" s="82">
        <v>44581</v>
      </c>
      <c r="O143" s="68" t="str">
        <v>LMN Enterprises</v>
      </c>
      <c r="P143" s="7" t="str">
        <v>USA</v>
      </c>
      <c r="Q143" s="7" t="str">
        <v>NA</v>
      </c>
      <c r="R143" s="7">
        <v>950000</v>
      </c>
      <c r="S143" s="7" t="str">
        <v>Machine Order</v>
      </c>
      <c r="T143" s="7" t="str">
        <v>Sarah Brown</v>
      </c>
      <c r="U143" s="7" t="str">
        <v>USD</v>
      </c>
      <c r="V143">
        <v>1</v>
      </c>
      <c r="W143" t="str">
        <v>No</v>
      </c>
      <c r="X143" t="str">
        <v>Existing Customer</v>
      </c>
      <c r="Y143">
        <v>1</v>
      </c>
    </row>
    <row r="144" spans="1:39" ht="15.6" x14ac:dyDescent="0.3">
      <c r="A144" s="80">
        <v>45242</v>
      </c>
      <c r="B144" s="2" t="s">
        <v>87</v>
      </c>
      <c r="C144" s="2" t="s">
        <v>49</v>
      </c>
      <c r="D144" s="2" t="s">
        <v>50</v>
      </c>
      <c r="E144" s="204">
        <v>150.30000000000001</v>
      </c>
      <c r="F144" s="2" t="s">
        <v>54</v>
      </c>
      <c r="G144" s="2" t="s">
        <v>3</v>
      </c>
      <c r="H144" s="2" t="s">
        <v>52</v>
      </c>
      <c r="I144" s="113">
        <f>IF(Table_5[[#This Row],[Sales Rep]]='For Manage'!$E$7,1,0)</f>
        <v>1</v>
      </c>
      <c r="J144" s="113" t="str">
        <f>IF(OR(Table_5[[#This Row],[Customer Name]]="ABC Manufacturing",Table_5[[#This Row],[Customer Name]]="123 Industries"), "Yes", "No")</f>
        <v>No</v>
      </c>
      <c r="K144" s="113" t="str">
        <f>IF(COUNTIFS(Table_5[Customer Name],B144, Table_5[Order Date], "&gt;="&amp;DATE(2021,1,1), Table_5[Order Date], "&lt;="&amp;DATE(2022,12,31))&gt;0, "Existing Customer", "New Customer")</f>
        <v>New Customer</v>
      </c>
      <c r="L144" s="113">
        <f>IF(Table_5[[#This Row],[Country]]='For Manage'!$E$11,1,0)</f>
        <v>1</v>
      </c>
      <c r="M144" s="113"/>
      <c r="N144" s="82">
        <v>44581</v>
      </c>
      <c r="O144" s="68" t="str">
        <v>Wilson Enterprises</v>
      </c>
      <c r="P144" s="7" t="str">
        <v>USA</v>
      </c>
      <c r="Q144" s="7" t="str">
        <v>NA</v>
      </c>
      <c r="R144" s="7">
        <v>950.6</v>
      </c>
      <c r="S144" s="7" t="str">
        <v>Machine Order</v>
      </c>
      <c r="T144" s="7" t="str">
        <v>Sarah Brown</v>
      </c>
      <c r="U144" s="7" t="str">
        <v>USD</v>
      </c>
      <c r="V144">
        <v>1</v>
      </c>
      <c r="W144" t="str">
        <v>No</v>
      </c>
      <c r="X144" t="str">
        <v>Existing Customer</v>
      </c>
      <c r="Y144">
        <v>1</v>
      </c>
    </row>
    <row r="145" spans="1:25" ht="15.6" x14ac:dyDescent="0.3">
      <c r="A145" s="80">
        <v>45277</v>
      </c>
      <c r="B145" s="2" t="s">
        <v>146</v>
      </c>
      <c r="C145" s="2" t="s">
        <v>49</v>
      </c>
      <c r="D145" s="2" t="s">
        <v>50</v>
      </c>
      <c r="E145" s="204">
        <v>850.6</v>
      </c>
      <c r="F145" s="2" t="s">
        <v>56</v>
      </c>
      <c r="G145" s="2" t="s">
        <v>3</v>
      </c>
      <c r="H145" s="2" t="s">
        <v>52</v>
      </c>
      <c r="I145" s="113">
        <f>IF(Table_5[[#This Row],[Sales Rep]]='For Manage'!$E$7,1,0)</f>
        <v>1</v>
      </c>
      <c r="J145" s="113" t="str">
        <f>IF(OR(Table_5[[#This Row],[Customer Name]]="ABC Manufacturing",Table_5[[#This Row],[Customer Name]]="123 Industries"), "Yes", "No")</f>
        <v>No</v>
      </c>
      <c r="K145" s="113" t="str">
        <f>IF(COUNTIFS(Table_5[Customer Name],B145, Table_5[Order Date], "&gt;="&amp;DATE(2021,1,1), Table_5[Order Date], "&lt;="&amp;DATE(2022,12,31))&gt;0, "Existing Customer", "New Customer")</f>
        <v>New Customer</v>
      </c>
      <c r="L145" s="113">
        <f>IF(Table_5[[#This Row],[Country]]='For Manage'!$E$11,1,0)</f>
        <v>1</v>
      </c>
      <c r="M145" s="113"/>
      <c r="N145" s="82">
        <v>44581</v>
      </c>
      <c r="O145" s="68" t="str">
        <v>Wilson Enterprises</v>
      </c>
      <c r="P145" s="7" t="str">
        <v>USA</v>
      </c>
      <c r="Q145" s="7" t="str">
        <v>NA</v>
      </c>
      <c r="R145" s="7">
        <v>9500.5</v>
      </c>
      <c r="S145" s="7" t="str">
        <v>Machine Order</v>
      </c>
      <c r="T145" s="7" t="str">
        <v>Sarah Brown</v>
      </c>
      <c r="U145" s="7" t="str">
        <v>USD</v>
      </c>
      <c r="V145">
        <v>1</v>
      </c>
      <c r="W145" t="str">
        <v>No</v>
      </c>
      <c r="X145" t="str">
        <v>Existing Customer</v>
      </c>
      <c r="Y145">
        <v>1</v>
      </c>
    </row>
    <row r="146" spans="1:25" ht="15.6" x14ac:dyDescent="0.3">
      <c r="A146" s="80">
        <v>44946</v>
      </c>
      <c r="B146" s="2" t="s">
        <v>138</v>
      </c>
      <c r="C146" s="2" t="s">
        <v>49</v>
      </c>
      <c r="D146" s="2" t="s">
        <v>50</v>
      </c>
      <c r="E146" s="204">
        <v>25000.75</v>
      </c>
      <c r="F146" s="2" t="s">
        <v>51</v>
      </c>
      <c r="G146" s="2" t="s">
        <v>3</v>
      </c>
      <c r="H146" s="2" t="s">
        <v>52</v>
      </c>
      <c r="I146" s="113">
        <f>IF(Table_5[[#This Row],[Sales Rep]]='For Manage'!$E$7,1,0)</f>
        <v>1</v>
      </c>
      <c r="J146" s="113" t="str">
        <f>IF(OR(Table_5[[#This Row],[Customer Name]]="ABC Manufacturing",Table_5[[#This Row],[Customer Name]]="123 Industries"), "Yes", "No")</f>
        <v>No</v>
      </c>
      <c r="K146" s="113" t="str">
        <f>IF(COUNTIFS(Table_5[Customer Name],B146, Table_5[Order Date], "&gt;="&amp;DATE(2021,1,1), Table_5[Order Date], "&lt;="&amp;DATE(2022,12,31))&gt;0, "Existing Customer", "New Customer")</f>
        <v>New Customer</v>
      </c>
      <c r="L146" s="113">
        <f>IF(Table_5[[#This Row],[Country]]='For Manage'!$E$11,1,0)</f>
        <v>1</v>
      </c>
      <c r="M146" s="113"/>
      <c r="N146" s="82">
        <v>44581</v>
      </c>
      <c r="O146" s="68" t="str">
        <v>Clark Enterprises</v>
      </c>
      <c r="P146" s="7" t="str">
        <v>USA</v>
      </c>
      <c r="Q146" s="7" t="str">
        <v>NA</v>
      </c>
      <c r="R146" s="7">
        <v>950.7</v>
      </c>
      <c r="S146" s="7" t="str">
        <v>Machine Order</v>
      </c>
      <c r="T146" s="7" t="str">
        <v>Sarah Brown</v>
      </c>
      <c r="U146" s="7" t="str">
        <v>USD</v>
      </c>
      <c r="V146">
        <v>1</v>
      </c>
      <c r="W146" t="str">
        <v>No</v>
      </c>
      <c r="X146" t="str">
        <v>Existing Customer</v>
      </c>
      <c r="Y146">
        <v>1</v>
      </c>
    </row>
    <row r="147" spans="1:25" ht="15.6" x14ac:dyDescent="0.3">
      <c r="A147" s="80">
        <v>44982</v>
      </c>
      <c r="B147" s="2" t="s">
        <v>139</v>
      </c>
      <c r="C147" s="2" t="s">
        <v>49</v>
      </c>
      <c r="D147" s="2" t="s">
        <v>50</v>
      </c>
      <c r="E147" s="204">
        <v>200050.55</v>
      </c>
      <c r="F147" s="2" t="s">
        <v>54</v>
      </c>
      <c r="G147" s="2" t="s">
        <v>3</v>
      </c>
      <c r="H147" s="2" t="s">
        <v>52</v>
      </c>
      <c r="I147" s="113">
        <f>IF(Table_5[[#This Row],[Sales Rep]]='For Manage'!$E$7,1,0)</f>
        <v>1</v>
      </c>
      <c r="J147" s="113" t="str">
        <f>IF(OR(Table_5[[#This Row],[Customer Name]]="ABC Manufacturing",Table_5[[#This Row],[Customer Name]]="123 Industries"), "Yes", "No")</f>
        <v>No</v>
      </c>
      <c r="K147" s="113" t="str">
        <f>IF(COUNTIFS(Table_5[Customer Name],B147, Table_5[Order Date], "&gt;="&amp;DATE(2021,1,1), Table_5[Order Date], "&lt;="&amp;DATE(2022,12,31))&gt;0, "Existing Customer", "New Customer")</f>
        <v>New Customer</v>
      </c>
      <c r="L147" s="113">
        <f>IF(Table_5[[#This Row],[Country]]='For Manage'!$E$11,1,0)</f>
        <v>1</v>
      </c>
      <c r="M147" s="113"/>
      <c r="N147" s="82">
        <v>44581</v>
      </c>
      <c r="O147" s="68" t="str">
        <v>OPQ Manufacturing</v>
      </c>
      <c r="P147" s="7" t="str">
        <v>USA</v>
      </c>
      <c r="Q147" s="7" t="str">
        <v>NA</v>
      </c>
      <c r="R147" s="7">
        <v>950.55</v>
      </c>
      <c r="S147" s="7" t="str">
        <v>Machine Order</v>
      </c>
      <c r="T147" s="7" t="str">
        <v>Sarah Brown</v>
      </c>
      <c r="U147" s="7" t="str">
        <v>USD</v>
      </c>
      <c r="V147">
        <v>1</v>
      </c>
      <c r="W147" t="str">
        <v>No</v>
      </c>
      <c r="X147" t="str">
        <v>Existing Customer</v>
      </c>
      <c r="Y147">
        <v>1</v>
      </c>
    </row>
    <row r="148" spans="1:25" ht="15.6" x14ac:dyDescent="0.3">
      <c r="A148" s="80">
        <v>44988</v>
      </c>
      <c r="B148" s="2" t="s">
        <v>140</v>
      </c>
      <c r="C148" s="2" t="s">
        <v>49</v>
      </c>
      <c r="D148" s="2" t="s">
        <v>50</v>
      </c>
      <c r="E148" s="204">
        <v>300020.8</v>
      </c>
      <c r="F148" s="2" t="s">
        <v>56</v>
      </c>
      <c r="G148" s="2" t="s">
        <v>3</v>
      </c>
      <c r="H148" s="2" t="s">
        <v>52</v>
      </c>
      <c r="I148" s="113">
        <f>IF(Table_5[[#This Row],[Sales Rep]]='For Manage'!$E$7,1,0)</f>
        <v>1</v>
      </c>
      <c r="J148" s="113" t="str">
        <f>IF(OR(Table_5[[#This Row],[Customer Name]]="ABC Manufacturing",Table_5[[#This Row],[Customer Name]]="123 Industries"), "Yes", "No")</f>
        <v>No</v>
      </c>
      <c r="K148" s="113" t="str">
        <f>IF(COUNTIFS(Table_5[Customer Name],B148, Table_5[Order Date], "&gt;="&amp;DATE(2021,1,1), Table_5[Order Date], "&lt;="&amp;DATE(2022,12,31))&gt;0, "Existing Customer", "New Customer")</f>
        <v>New Customer</v>
      </c>
      <c r="L148" s="113">
        <f>IF(Table_5[[#This Row],[Country]]='For Manage'!$E$11,1,0)</f>
        <v>1</v>
      </c>
      <c r="M148" s="113"/>
      <c r="N148" s="82">
        <v>44545</v>
      </c>
      <c r="O148" s="68" t="str">
        <v>XYZ Corporation</v>
      </c>
      <c r="P148" s="7" t="str">
        <v>USA</v>
      </c>
      <c r="Q148" s="7" t="str">
        <v>NA</v>
      </c>
      <c r="R148" s="7">
        <v>350000</v>
      </c>
      <c r="S148" s="7" t="str">
        <v>Service</v>
      </c>
      <c r="T148" s="7" t="str">
        <v>Sarah Brown</v>
      </c>
      <c r="U148" s="7" t="str">
        <v>USD</v>
      </c>
      <c r="V148">
        <v>1</v>
      </c>
      <c r="W148" t="str">
        <v>No</v>
      </c>
      <c r="X148" t="str">
        <v>Existing Customer</v>
      </c>
      <c r="Y148">
        <v>1</v>
      </c>
    </row>
    <row r="149" spans="1:25" ht="15.6" x14ac:dyDescent="0.3">
      <c r="A149" s="80">
        <v>45024</v>
      </c>
      <c r="B149" s="2" t="s">
        <v>141</v>
      </c>
      <c r="C149" s="2" t="s">
        <v>49</v>
      </c>
      <c r="D149" s="2" t="s">
        <v>50</v>
      </c>
      <c r="E149" s="204">
        <v>220050.95</v>
      </c>
      <c r="F149" s="2" t="s">
        <v>51</v>
      </c>
      <c r="G149" s="2" t="s">
        <v>3</v>
      </c>
      <c r="H149" s="2" t="s">
        <v>52</v>
      </c>
      <c r="I149" s="113">
        <f>IF(Table_5[[#This Row],[Sales Rep]]='For Manage'!$E$7,1,0)</f>
        <v>1</v>
      </c>
      <c r="J149" s="113" t="str">
        <f>IF(OR(Table_5[[#This Row],[Customer Name]]="ABC Manufacturing",Table_5[[#This Row],[Customer Name]]="123 Industries"), "Yes", "No")</f>
        <v>No</v>
      </c>
      <c r="K149" s="113" t="str">
        <f>IF(COUNTIFS(Table_5[Customer Name],B149, Table_5[Order Date], "&gt;="&amp;DATE(2021,1,1), Table_5[Order Date], "&lt;="&amp;DATE(2022,12,31))&gt;0, "Existing Customer", "New Customer")</f>
        <v>New Customer</v>
      </c>
      <c r="L149" s="113">
        <f>IF(Table_5[[#This Row],[Country]]='For Manage'!$E$11,1,0)</f>
        <v>1</v>
      </c>
      <c r="M149" s="113"/>
      <c r="N149" s="82">
        <v>44545</v>
      </c>
      <c r="O149" s="68" t="str">
        <v>White Co.</v>
      </c>
      <c r="P149" s="7" t="str">
        <v>USA</v>
      </c>
      <c r="Q149" s="7" t="str">
        <v>NA</v>
      </c>
      <c r="R149" s="7">
        <v>350.8</v>
      </c>
      <c r="S149" s="7" t="str">
        <v>Service</v>
      </c>
      <c r="T149" s="7" t="str">
        <v>Sarah Brown</v>
      </c>
      <c r="U149" s="7" t="str">
        <v>USD</v>
      </c>
      <c r="V149">
        <v>1</v>
      </c>
      <c r="W149" t="str">
        <v>No</v>
      </c>
      <c r="X149" t="str">
        <v>Existing Customer</v>
      </c>
      <c r="Y149">
        <v>1</v>
      </c>
    </row>
    <row r="150" spans="1:25" ht="15.6" x14ac:dyDescent="0.3">
      <c r="A150" s="80">
        <v>45059</v>
      </c>
      <c r="B150" s="2" t="s">
        <v>142</v>
      </c>
      <c r="C150" s="2" t="s">
        <v>49</v>
      </c>
      <c r="D150" s="2" t="s">
        <v>50</v>
      </c>
      <c r="E150" s="204">
        <v>210000.25</v>
      </c>
      <c r="F150" s="2" t="s">
        <v>54</v>
      </c>
      <c r="G150" s="2" t="s">
        <v>3</v>
      </c>
      <c r="H150" s="2" t="s">
        <v>52</v>
      </c>
      <c r="I150" s="113">
        <f>IF(Table_5[[#This Row],[Sales Rep]]='For Manage'!$E$7,1,0)</f>
        <v>1</v>
      </c>
      <c r="J150" s="113" t="str">
        <f>IF(OR(Table_5[[#This Row],[Customer Name]]="ABC Manufacturing",Table_5[[#This Row],[Customer Name]]="123 Industries"), "Yes", "No")</f>
        <v>No</v>
      </c>
      <c r="K150" s="113" t="str">
        <f>IF(COUNTIFS(Table_5[Customer Name],B150, Table_5[Order Date], "&gt;="&amp;DATE(2021,1,1), Table_5[Order Date], "&lt;="&amp;DATE(2022,12,31))&gt;0, "Existing Customer", "New Customer")</f>
        <v>New Customer</v>
      </c>
      <c r="L150" s="113">
        <f>IF(Table_5[[#This Row],[Country]]='For Manage'!$E$11,1,0)</f>
        <v>1</v>
      </c>
      <c r="M150" s="113"/>
      <c r="N150" s="82">
        <v>44545</v>
      </c>
      <c r="O150" s="68" t="str">
        <v>Brown Co.</v>
      </c>
      <c r="P150" s="7" t="str">
        <v>USA</v>
      </c>
      <c r="Q150" s="7" t="str">
        <v>NA</v>
      </c>
      <c r="R150" s="7">
        <v>3500.25</v>
      </c>
      <c r="S150" s="7" t="str">
        <v>Service</v>
      </c>
      <c r="T150" s="7" t="str">
        <v>Sarah Brown</v>
      </c>
      <c r="U150" s="7" t="str">
        <v>USD</v>
      </c>
      <c r="V150">
        <v>1</v>
      </c>
      <c r="W150" t="str">
        <v>No</v>
      </c>
      <c r="X150" t="str">
        <v>Existing Customer</v>
      </c>
      <c r="Y150">
        <v>1</v>
      </c>
    </row>
    <row r="151" spans="1:25" ht="15.6" x14ac:dyDescent="0.3">
      <c r="A151" s="80">
        <v>45095</v>
      </c>
      <c r="B151" s="2" t="s">
        <v>143</v>
      </c>
      <c r="C151" s="2" t="s">
        <v>49</v>
      </c>
      <c r="D151" s="2" t="s">
        <v>50</v>
      </c>
      <c r="E151" s="204">
        <v>28000.5</v>
      </c>
      <c r="F151" s="2" t="s">
        <v>56</v>
      </c>
      <c r="G151" s="2" t="s">
        <v>3</v>
      </c>
      <c r="H151" s="2" t="s">
        <v>52</v>
      </c>
      <c r="I151" s="113">
        <f>IF(Table_5[[#This Row],[Sales Rep]]='For Manage'!$E$7,1,0)</f>
        <v>1</v>
      </c>
      <c r="J151" s="113" t="str">
        <f>IF(OR(Table_5[[#This Row],[Customer Name]]="ABC Manufacturing",Table_5[[#This Row],[Customer Name]]="123 Industries"), "Yes", "No")</f>
        <v>No</v>
      </c>
      <c r="K151" s="113" t="str">
        <f>IF(COUNTIFS(Table_5[Customer Name],B151, Table_5[Order Date], "&gt;="&amp;DATE(2021,1,1), Table_5[Order Date], "&lt;="&amp;DATE(2022,12,31))&gt;0, "Existing Customer", "New Customer")</f>
        <v>New Customer</v>
      </c>
      <c r="L151" s="113">
        <f>IF(Table_5[[#This Row],[Country]]='For Manage'!$E$11,1,0)</f>
        <v>1</v>
      </c>
      <c r="M151" s="113"/>
      <c r="N151" s="82">
        <v>44545</v>
      </c>
      <c r="O151" s="68" t="str">
        <v>White &amp; Co.</v>
      </c>
      <c r="P151" s="7" t="str">
        <v>USA</v>
      </c>
      <c r="Q151" s="7" t="str">
        <v>NA</v>
      </c>
      <c r="R151" s="7">
        <v>350.55</v>
      </c>
      <c r="S151" s="7" t="str">
        <v>Service</v>
      </c>
      <c r="T151" s="7" t="str">
        <v>Sarah Brown</v>
      </c>
      <c r="U151" s="7" t="str">
        <v>USD</v>
      </c>
      <c r="V151">
        <v>1</v>
      </c>
      <c r="W151" t="str">
        <v>No</v>
      </c>
      <c r="X151" t="str">
        <v>Existing Customer</v>
      </c>
      <c r="Y151">
        <v>1</v>
      </c>
    </row>
    <row r="152" spans="1:25" ht="15.6" x14ac:dyDescent="0.3">
      <c r="A152" s="80">
        <v>45130</v>
      </c>
      <c r="B152" s="2" t="s">
        <v>83</v>
      </c>
      <c r="C152" s="2" t="s">
        <v>49</v>
      </c>
      <c r="D152" s="2" t="s">
        <v>50</v>
      </c>
      <c r="E152" s="204">
        <v>26000.75</v>
      </c>
      <c r="F152" s="2" t="s">
        <v>51</v>
      </c>
      <c r="G152" s="2" t="s">
        <v>3</v>
      </c>
      <c r="H152" s="2" t="s">
        <v>52</v>
      </c>
      <c r="I152" s="113">
        <f>IF(Table_5[[#This Row],[Sales Rep]]='For Manage'!$E$7,1,0)</f>
        <v>1</v>
      </c>
      <c r="J152" s="113" t="str">
        <f>IF(OR(Table_5[[#This Row],[Customer Name]]="ABC Manufacturing",Table_5[[#This Row],[Customer Name]]="123 Industries"), "Yes", "No")</f>
        <v>No</v>
      </c>
      <c r="K152" s="113" t="str">
        <f>IF(COUNTIFS(Table_5[Customer Name],B152, Table_5[Order Date], "&gt;="&amp;DATE(2021,1,1), Table_5[Order Date], "&lt;="&amp;DATE(2022,12,31))&gt;0, "Existing Customer", "New Customer")</f>
        <v>New Customer</v>
      </c>
      <c r="L152" s="113">
        <f>IF(Table_5[[#This Row],[Country]]='For Manage'!$E$11,1,0)</f>
        <v>1</v>
      </c>
      <c r="M152" s="113"/>
      <c r="N152" s="82">
        <v>44545</v>
      </c>
      <c r="O152" s="68" t="str">
        <v>STU Corporation</v>
      </c>
      <c r="P152" s="7" t="str">
        <v>USA</v>
      </c>
      <c r="Q152" s="7" t="str">
        <v>NA</v>
      </c>
      <c r="R152" s="7">
        <v>350.4</v>
      </c>
      <c r="S152" s="7" t="str">
        <v>Service</v>
      </c>
      <c r="T152" s="7" t="str">
        <v>Sarah Brown</v>
      </c>
      <c r="U152" s="7" t="str">
        <v>USD</v>
      </c>
      <c r="V152">
        <v>1</v>
      </c>
      <c r="W152" t="str">
        <v>No</v>
      </c>
      <c r="X152" t="str">
        <v>Existing Customer</v>
      </c>
      <c r="Y152">
        <v>1</v>
      </c>
    </row>
    <row r="153" spans="1:25" ht="15.6" x14ac:dyDescent="0.3">
      <c r="A153" s="80">
        <v>45166</v>
      </c>
      <c r="B153" s="2" t="s">
        <v>144</v>
      </c>
      <c r="C153" s="2" t="s">
        <v>49</v>
      </c>
      <c r="D153" s="2" t="s">
        <v>50</v>
      </c>
      <c r="E153" s="204">
        <v>27000.2</v>
      </c>
      <c r="F153" s="2" t="s">
        <v>54</v>
      </c>
      <c r="G153" s="2" t="s">
        <v>3</v>
      </c>
      <c r="H153" s="2" t="s">
        <v>52</v>
      </c>
      <c r="I153" s="113">
        <f>IF(Table_5[[#This Row],[Sales Rep]]='For Manage'!$E$7,1,0)</f>
        <v>1</v>
      </c>
      <c r="J153" s="113" t="str">
        <f>IF(OR(Table_5[[#This Row],[Customer Name]]="ABC Manufacturing",Table_5[[#This Row],[Customer Name]]="123 Industries"), "Yes", "No")</f>
        <v>No</v>
      </c>
      <c r="K153" s="113" t="str">
        <f>IF(COUNTIFS(Table_5[Customer Name],B153, Table_5[Order Date], "&gt;="&amp;DATE(2021,1,1), Table_5[Order Date], "&lt;="&amp;DATE(2022,12,31))&gt;0, "Existing Customer", "New Customer")</f>
        <v>New Customer</v>
      </c>
      <c r="L153" s="113">
        <f>IF(Table_5[[#This Row],[Country]]='For Manage'!$E$11,1,0)</f>
        <v>1</v>
      </c>
      <c r="M153" s="113"/>
      <c r="N153" s="82">
        <v>44510</v>
      </c>
      <c r="O153" s="68" t="str">
        <v>ABC Manufacturing</v>
      </c>
      <c r="P153" s="7" t="str">
        <v>USA</v>
      </c>
      <c r="Q153" s="7" t="str">
        <v>NA</v>
      </c>
      <c r="R153" s="7">
        <v>450000</v>
      </c>
      <c r="S153" s="7" t="str">
        <v>Normal Order</v>
      </c>
      <c r="T153" s="7" t="str">
        <v>Sarah Brown</v>
      </c>
      <c r="U153" s="7" t="str">
        <v>USD</v>
      </c>
      <c r="V153">
        <v>1</v>
      </c>
      <c r="W153" t="str">
        <v>Yes</v>
      </c>
      <c r="X153" t="str">
        <v>Existing Customer</v>
      </c>
      <c r="Y153">
        <v>1</v>
      </c>
    </row>
    <row r="154" spans="1:25" ht="15.6" x14ac:dyDescent="0.3">
      <c r="A154" s="80">
        <v>45171</v>
      </c>
      <c r="B154" s="2" t="s">
        <v>88</v>
      </c>
      <c r="C154" s="2" t="s">
        <v>49</v>
      </c>
      <c r="D154" s="2" t="s">
        <v>50</v>
      </c>
      <c r="E154" s="204">
        <v>29000.45</v>
      </c>
      <c r="F154" s="2" t="s">
        <v>56</v>
      </c>
      <c r="G154" s="2" t="s">
        <v>3</v>
      </c>
      <c r="H154" s="2" t="s">
        <v>52</v>
      </c>
      <c r="I154" s="113">
        <f>IF(Table_5[[#This Row],[Sales Rep]]='For Manage'!$E$7,1,0)</f>
        <v>1</v>
      </c>
      <c r="J154" s="113" t="str">
        <f>IF(OR(Table_5[[#This Row],[Customer Name]]="ABC Manufacturing",Table_5[[#This Row],[Customer Name]]="123 Industries"), "Yes", "No")</f>
        <v>No</v>
      </c>
      <c r="K154" s="113" t="str">
        <f>IF(COUNTIFS(Table_5[Customer Name],B154, Table_5[Order Date], "&gt;="&amp;DATE(2021,1,1), Table_5[Order Date], "&lt;="&amp;DATE(2022,12,31))&gt;0, "Existing Customer", "New Customer")</f>
        <v>Existing Customer</v>
      </c>
      <c r="L154" s="113">
        <f>IF(Table_5[[#This Row],[Country]]='For Manage'!$E$11,1,0)</f>
        <v>1</v>
      </c>
      <c r="M154" s="113"/>
      <c r="N154" s="82">
        <v>44510</v>
      </c>
      <c r="O154" s="68" t="str">
        <v>Williams Ltd.</v>
      </c>
      <c r="P154" s="7" t="str">
        <v>USA</v>
      </c>
      <c r="Q154" s="7" t="str">
        <v>NA</v>
      </c>
      <c r="R154" s="7">
        <v>450.7</v>
      </c>
      <c r="S154" s="7" t="str">
        <v>Normal Order</v>
      </c>
      <c r="T154" s="7" t="str">
        <v>Sarah Brown</v>
      </c>
      <c r="U154" s="7" t="str">
        <v>USD</v>
      </c>
      <c r="V154">
        <v>1</v>
      </c>
      <c r="W154" t="str">
        <v>No</v>
      </c>
      <c r="X154" t="str">
        <v>Existing Customer</v>
      </c>
      <c r="Y154">
        <v>1</v>
      </c>
    </row>
    <row r="155" spans="1:25" ht="15.6" x14ac:dyDescent="0.3">
      <c r="A155" s="80">
        <v>45206</v>
      </c>
      <c r="B155" s="2" t="s">
        <v>145</v>
      </c>
      <c r="C155" s="2" t="s">
        <v>49</v>
      </c>
      <c r="D155" s="2" t="s">
        <v>50</v>
      </c>
      <c r="E155" s="204">
        <v>24000.9</v>
      </c>
      <c r="F155" s="2" t="s">
        <v>51</v>
      </c>
      <c r="G155" s="2" t="s">
        <v>3</v>
      </c>
      <c r="H155" s="2" t="s">
        <v>52</v>
      </c>
      <c r="I155" s="113">
        <f>IF(Table_5[[#This Row],[Sales Rep]]='For Manage'!$E$7,1,0)</f>
        <v>1</v>
      </c>
      <c r="J155" s="113" t="str">
        <f>IF(OR(Table_5[[#This Row],[Customer Name]]="ABC Manufacturing",Table_5[[#This Row],[Customer Name]]="123 Industries"), "Yes", "No")</f>
        <v>No</v>
      </c>
      <c r="K155" s="113" t="str">
        <f>IF(COUNTIFS(Table_5[Customer Name],B155, Table_5[Order Date], "&gt;="&amp;DATE(2021,1,1), Table_5[Order Date], "&lt;="&amp;DATE(2022,12,31))&gt;0, "Existing Customer", "New Customer")</f>
        <v>New Customer</v>
      </c>
      <c r="L155" s="113">
        <f>IF(Table_5[[#This Row],[Country]]='For Manage'!$E$11,1,0)</f>
        <v>1</v>
      </c>
      <c r="M155" s="113"/>
      <c r="N155" s="82">
        <v>44510</v>
      </c>
      <c r="O155" s="68" t="str">
        <v>Williams Industries</v>
      </c>
      <c r="P155" s="7" t="str">
        <v>USA</v>
      </c>
      <c r="Q155" s="7" t="str">
        <v>NA</v>
      </c>
      <c r="R155" s="7">
        <v>4500.75</v>
      </c>
      <c r="S155" s="7" t="str">
        <v>Normal Order</v>
      </c>
      <c r="T155" s="7" t="str">
        <v>Sarah Brown</v>
      </c>
      <c r="U155" s="7" t="str">
        <v>USD</v>
      </c>
      <c r="V155">
        <v>1</v>
      </c>
      <c r="W155" t="str">
        <v>No</v>
      </c>
      <c r="X155" t="str">
        <v>Existing Customer</v>
      </c>
      <c r="Y155">
        <v>1</v>
      </c>
    </row>
    <row r="156" spans="1:25" ht="15.6" x14ac:dyDescent="0.3">
      <c r="A156" s="80">
        <v>45242</v>
      </c>
      <c r="B156" s="2" t="s">
        <v>87</v>
      </c>
      <c r="C156" s="2" t="s">
        <v>49</v>
      </c>
      <c r="D156" s="2" t="s">
        <v>50</v>
      </c>
      <c r="E156" s="204">
        <v>23000.3</v>
      </c>
      <c r="F156" s="2" t="s">
        <v>54</v>
      </c>
      <c r="G156" s="2" t="s">
        <v>3</v>
      </c>
      <c r="H156" s="2" t="s">
        <v>52</v>
      </c>
      <c r="I156" s="113">
        <f>IF(Table_5[[#This Row],[Sales Rep]]='For Manage'!$E$7,1,0)</f>
        <v>1</v>
      </c>
      <c r="J156" s="113" t="str">
        <f>IF(OR(Table_5[[#This Row],[Customer Name]]="ABC Manufacturing",Table_5[[#This Row],[Customer Name]]="123 Industries"), "Yes", "No")</f>
        <v>No</v>
      </c>
      <c r="K156" s="113" t="str">
        <f>IF(COUNTIFS(Table_5[Customer Name],B156, Table_5[Order Date], "&gt;="&amp;DATE(2021,1,1), Table_5[Order Date], "&lt;="&amp;DATE(2022,12,31))&gt;0, "Existing Customer", "New Customer")</f>
        <v>New Customer</v>
      </c>
      <c r="L156" s="113">
        <f>IF(Table_5[[#This Row],[Country]]='For Manage'!$E$11,1,0)</f>
        <v>1</v>
      </c>
      <c r="M156" s="113"/>
      <c r="N156" s="82">
        <v>44510</v>
      </c>
      <c r="O156" s="68" t="str">
        <v>Johnson &amp; Partners</v>
      </c>
      <c r="P156" s="7" t="str">
        <v>USA</v>
      </c>
      <c r="Q156" s="7" t="str">
        <v>NA</v>
      </c>
      <c r="R156" s="7">
        <v>450.3</v>
      </c>
      <c r="S156" s="7" t="str">
        <v>Normal Order</v>
      </c>
      <c r="T156" s="7" t="str">
        <v>Sarah Brown</v>
      </c>
      <c r="U156" s="7" t="str">
        <v>USD</v>
      </c>
      <c r="V156">
        <v>1</v>
      </c>
      <c r="W156" t="str">
        <v>No</v>
      </c>
      <c r="X156" t="str">
        <v>Existing Customer</v>
      </c>
      <c r="Y156">
        <v>1</v>
      </c>
    </row>
    <row r="157" spans="1:25" ht="15.6" x14ac:dyDescent="0.3">
      <c r="A157" s="80">
        <v>45277</v>
      </c>
      <c r="B157" s="2" t="s">
        <v>146</v>
      </c>
      <c r="C157" s="2" t="s">
        <v>49</v>
      </c>
      <c r="D157" s="2" t="s">
        <v>50</v>
      </c>
      <c r="E157" s="204">
        <v>25000.6</v>
      </c>
      <c r="F157" s="2" t="s">
        <v>56</v>
      </c>
      <c r="G157" s="2" t="s">
        <v>3</v>
      </c>
      <c r="H157" s="2" t="s">
        <v>52</v>
      </c>
      <c r="I157" s="113">
        <f>IF(Table_5[[#This Row],[Sales Rep]]='For Manage'!$E$7,1,0)</f>
        <v>1</v>
      </c>
      <c r="J157" s="113" t="str">
        <f>IF(OR(Table_5[[#This Row],[Customer Name]]="ABC Manufacturing",Table_5[[#This Row],[Customer Name]]="123 Industries"), "Yes", "No")</f>
        <v>No</v>
      </c>
      <c r="K157" s="113" t="str">
        <f>IF(COUNTIFS(Table_5[Customer Name],B157, Table_5[Order Date], "&gt;="&amp;DATE(2021,1,1), Table_5[Order Date], "&lt;="&amp;DATE(2022,12,31))&gt;0, "Existing Customer", "New Customer")</f>
        <v>New Customer</v>
      </c>
      <c r="L157" s="113">
        <f>IF(Table_5[[#This Row],[Country]]='For Manage'!$E$11,1,0)</f>
        <v>1</v>
      </c>
      <c r="M157" s="113"/>
      <c r="N157" s="82">
        <v>44510</v>
      </c>
      <c r="O157" s="68" t="str">
        <v>HIJ Industries</v>
      </c>
      <c r="P157" s="7" t="str">
        <v>USA</v>
      </c>
      <c r="Q157" s="7" t="str">
        <v>NA</v>
      </c>
      <c r="R157" s="7">
        <v>450.3</v>
      </c>
      <c r="S157" s="7" t="str">
        <v>Normal Order</v>
      </c>
      <c r="T157" s="7" t="str">
        <v>Sarah Brown</v>
      </c>
      <c r="U157" s="7" t="str">
        <v>USD</v>
      </c>
      <c r="V157">
        <v>1</v>
      </c>
      <c r="W157" t="str">
        <v>No</v>
      </c>
      <c r="X157" t="str">
        <v>Existing Customer</v>
      </c>
      <c r="Y157">
        <v>1</v>
      </c>
    </row>
    <row r="158" spans="1:25" ht="15.6" x14ac:dyDescent="0.3">
      <c r="A158" s="80">
        <v>44206</v>
      </c>
      <c r="B158" s="2" t="s">
        <v>48</v>
      </c>
      <c r="C158" s="2" t="s">
        <v>49</v>
      </c>
      <c r="D158" s="2" t="s">
        <v>50</v>
      </c>
      <c r="E158" s="204">
        <v>500.25</v>
      </c>
      <c r="F158" s="2" t="s">
        <v>51</v>
      </c>
      <c r="G158" s="2" t="s">
        <v>3</v>
      </c>
      <c r="H158" s="2" t="s">
        <v>52</v>
      </c>
      <c r="I158" s="113">
        <f>IF(Table_5[[#This Row],[Sales Rep]]='For Manage'!$E$7,1,0)</f>
        <v>1</v>
      </c>
      <c r="J158" s="113" t="str">
        <f>IF(OR(Table_5[[#This Row],[Customer Name]]="ABC Manufacturing",Table_5[[#This Row],[Customer Name]]="123 Industries"), "Yes", "No")</f>
        <v>Yes</v>
      </c>
      <c r="K158" s="113" t="str">
        <f>IF(COUNTIFS(Table_5[Customer Name],B158, Table_5[Order Date], "&gt;="&amp;DATE(2021,1,1), Table_5[Order Date], "&lt;="&amp;DATE(2022,12,31))&gt;0, "Existing Customer", "New Customer")</f>
        <v>Existing Customer</v>
      </c>
      <c r="L158" s="113">
        <f>IF(Table_5[[#This Row],[Country]]='For Manage'!$E$11,1,0)</f>
        <v>1</v>
      </c>
      <c r="M158" s="113"/>
      <c r="N158" s="82">
        <v>44474</v>
      </c>
      <c r="O158" s="68" t="str">
        <v>PQR Incorporated</v>
      </c>
      <c r="P158" s="7" t="str">
        <v>USA</v>
      </c>
      <c r="Q158" s="7" t="str">
        <v>NA</v>
      </c>
      <c r="R158" s="7">
        <v>550000</v>
      </c>
      <c r="S158" s="7" t="str">
        <v>Machine Order</v>
      </c>
      <c r="T158" s="7" t="str">
        <v>Sarah Brown</v>
      </c>
      <c r="U158" s="7" t="str">
        <v>USD</v>
      </c>
      <c r="V158">
        <v>1</v>
      </c>
      <c r="W158" t="str">
        <v>No</v>
      </c>
      <c r="X158" t="str">
        <v>Existing Customer</v>
      </c>
      <c r="Y158">
        <v>1</v>
      </c>
    </row>
    <row r="159" spans="1:25" ht="15.6" x14ac:dyDescent="0.3">
      <c r="A159" s="80">
        <v>44242</v>
      </c>
      <c r="B159" s="2" t="s">
        <v>53</v>
      </c>
      <c r="C159" s="2" t="s">
        <v>49</v>
      </c>
      <c r="D159" s="2" t="s">
        <v>50</v>
      </c>
      <c r="E159" s="204">
        <v>700.5</v>
      </c>
      <c r="F159" s="2" t="s">
        <v>54</v>
      </c>
      <c r="G159" s="2" t="s">
        <v>3</v>
      </c>
      <c r="H159" s="2" t="s">
        <v>52</v>
      </c>
      <c r="I159" s="113">
        <f>IF(Table_5[[#This Row],[Sales Rep]]='For Manage'!$E$7,1,0)</f>
        <v>1</v>
      </c>
      <c r="J159" s="113" t="str">
        <f>IF(OR(Table_5[[#This Row],[Customer Name]]="ABC Manufacturing",Table_5[[#This Row],[Customer Name]]="123 Industries"), "Yes", "No")</f>
        <v>No</v>
      </c>
      <c r="K159" s="113" t="str">
        <f>IF(COUNTIFS(Table_5[Customer Name],B159, Table_5[Order Date], "&gt;="&amp;DATE(2021,1,1), Table_5[Order Date], "&lt;="&amp;DATE(2022,12,31))&gt;0, "Existing Customer", "New Customer")</f>
        <v>Existing Customer</v>
      </c>
      <c r="L159" s="113">
        <f>IF(Table_5[[#This Row],[Country]]='For Manage'!$E$11,1,0)</f>
        <v>1</v>
      </c>
      <c r="M159" s="113"/>
      <c r="N159" s="82">
        <v>44474</v>
      </c>
      <c r="O159" s="68" t="str">
        <v>Davis Corporation</v>
      </c>
      <c r="P159" s="7" t="str">
        <v>USA</v>
      </c>
      <c r="Q159" s="7" t="str">
        <v>NA</v>
      </c>
      <c r="R159" s="7">
        <v>550.25</v>
      </c>
      <c r="S159" s="7" t="str">
        <v>Machine Order</v>
      </c>
      <c r="T159" s="7" t="str">
        <v>Sarah Brown</v>
      </c>
      <c r="U159" s="7" t="str">
        <v>USD</v>
      </c>
      <c r="V159">
        <v>1</v>
      </c>
      <c r="W159" t="str">
        <v>No</v>
      </c>
      <c r="X159" t="str">
        <v>Existing Customer</v>
      </c>
      <c r="Y159">
        <v>1</v>
      </c>
    </row>
    <row r="160" spans="1:25" ht="15.6" x14ac:dyDescent="0.3">
      <c r="A160" s="80">
        <v>44275</v>
      </c>
      <c r="B160" s="2" t="s">
        <v>147</v>
      </c>
      <c r="C160" s="2" t="s">
        <v>49</v>
      </c>
      <c r="D160" s="2" t="s">
        <v>50</v>
      </c>
      <c r="E160" s="204">
        <v>3000.75</v>
      </c>
      <c r="F160" s="2" t="s">
        <v>56</v>
      </c>
      <c r="G160" s="2" t="s">
        <v>3</v>
      </c>
      <c r="H160" s="2" t="s">
        <v>52</v>
      </c>
      <c r="I160" s="113">
        <f>IF(Table_5[[#This Row],[Sales Rep]]='For Manage'!$E$7,1,0)</f>
        <v>1</v>
      </c>
      <c r="J160" s="113" t="str">
        <f>IF(OR(Table_5[[#This Row],[Customer Name]]="ABC Manufacturing",Table_5[[#This Row],[Customer Name]]="123 Industries"), "Yes", "No")</f>
        <v>No</v>
      </c>
      <c r="K160" s="113" t="str">
        <f>IF(COUNTIFS(Table_5[Customer Name],B160, Table_5[Order Date], "&gt;="&amp;DATE(2021,1,1), Table_5[Order Date], "&lt;="&amp;DATE(2022,12,31))&gt;0, "Existing Customer", "New Customer")</f>
        <v>Existing Customer</v>
      </c>
      <c r="L160" s="113">
        <f>IF(Table_5[[#This Row],[Country]]='For Manage'!$E$11,1,0)</f>
        <v>1</v>
      </c>
      <c r="M160" s="113"/>
      <c r="N160" s="82">
        <v>44474</v>
      </c>
      <c r="O160" s="68" t="str">
        <v>Davis Incorporated</v>
      </c>
      <c r="P160" s="7" t="str">
        <v>USA</v>
      </c>
      <c r="Q160" s="7" t="str">
        <v>NA</v>
      </c>
      <c r="R160" s="7">
        <v>5500.5</v>
      </c>
      <c r="S160" s="7" t="str">
        <v>Machine Order</v>
      </c>
      <c r="T160" s="7" t="str">
        <v>Sarah Brown</v>
      </c>
      <c r="U160" s="7" t="str">
        <v>USD</v>
      </c>
      <c r="V160">
        <v>1</v>
      </c>
      <c r="W160" t="str">
        <v>No</v>
      </c>
      <c r="X160" t="str">
        <v>Existing Customer</v>
      </c>
      <c r="Y160">
        <v>1</v>
      </c>
    </row>
    <row r="161" spans="1:25" ht="15.6" x14ac:dyDescent="0.3">
      <c r="A161" s="80">
        <v>44291</v>
      </c>
      <c r="B161" s="2" t="s">
        <v>55</v>
      </c>
      <c r="C161" s="2" t="s">
        <v>49</v>
      </c>
      <c r="D161" s="2" t="s">
        <v>50</v>
      </c>
      <c r="E161" s="204">
        <v>900.8</v>
      </c>
      <c r="F161" s="2" t="s">
        <v>51</v>
      </c>
      <c r="G161" s="2" t="s">
        <v>3</v>
      </c>
      <c r="H161" s="2" t="s">
        <v>52</v>
      </c>
      <c r="I161" s="113">
        <f>IF(Table_5[[#This Row],[Sales Rep]]='For Manage'!$E$7,1,0)</f>
        <v>1</v>
      </c>
      <c r="J161" s="113" t="str">
        <f>IF(OR(Table_5[[#This Row],[Customer Name]]="ABC Manufacturing",Table_5[[#This Row],[Customer Name]]="123 Industries"), "Yes", "No")</f>
        <v>No</v>
      </c>
      <c r="K161" s="113" t="str">
        <f>IF(COUNTIFS(Table_5[Customer Name],B161, Table_5[Order Date], "&gt;="&amp;DATE(2021,1,1), Table_5[Order Date], "&lt;="&amp;DATE(2022,12,31))&gt;0, "Existing Customer", "New Customer")</f>
        <v>Existing Customer</v>
      </c>
      <c r="L161" s="113">
        <f>IF(Table_5[[#This Row],[Country]]='For Manage'!$E$11,1,0)</f>
        <v>1</v>
      </c>
      <c r="M161" s="113"/>
      <c r="N161" s="82">
        <v>44474</v>
      </c>
      <c r="O161" s="68" t="str">
        <v>Davis Corporation</v>
      </c>
      <c r="P161" s="7" t="str">
        <v>USA</v>
      </c>
      <c r="Q161" s="7" t="str">
        <v>NA</v>
      </c>
      <c r="R161" s="7">
        <v>550.45000000000005</v>
      </c>
      <c r="S161" s="7" t="str">
        <v>Machine Order</v>
      </c>
      <c r="T161" s="7" t="str">
        <v>Sarah Brown</v>
      </c>
      <c r="U161" s="7" t="str">
        <v>USD</v>
      </c>
      <c r="V161">
        <v>1</v>
      </c>
      <c r="W161" t="str">
        <v>No</v>
      </c>
      <c r="X161" t="str">
        <v>Existing Customer</v>
      </c>
      <c r="Y161">
        <v>1</v>
      </c>
    </row>
    <row r="162" spans="1:25" ht="15.6" x14ac:dyDescent="0.3">
      <c r="A162" s="80">
        <v>44326</v>
      </c>
      <c r="B162" s="2" t="s">
        <v>148</v>
      </c>
      <c r="C162" s="2" t="s">
        <v>49</v>
      </c>
      <c r="D162" s="2" t="s">
        <v>50</v>
      </c>
      <c r="E162" s="204">
        <v>400.6</v>
      </c>
      <c r="F162" s="2" t="s">
        <v>54</v>
      </c>
      <c r="G162" s="2" t="s">
        <v>3</v>
      </c>
      <c r="H162" s="2" t="s">
        <v>52</v>
      </c>
      <c r="I162" s="113">
        <f>IF(Table_5[[#This Row],[Sales Rep]]='For Manage'!$E$7,1,0)</f>
        <v>1</v>
      </c>
      <c r="J162" s="113" t="str">
        <f>IF(OR(Table_5[[#This Row],[Customer Name]]="ABC Manufacturing",Table_5[[#This Row],[Customer Name]]="123 Industries"), "Yes", "No")</f>
        <v>No</v>
      </c>
      <c r="K162" s="113" t="str">
        <f>IF(COUNTIFS(Table_5[Customer Name],B162, Table_5[Order Date], "&gt;="&amp;DATE(2021,1,1), Table_5[Order Date], "&lt;="&amp;DATE(2022,12,31))&gt;0, "Existing Customer", "New Customer")</f>
        <v>Existing Customer</v>
      </c>
      <c r="L162" s="113">
        <f>IF(Table_5[[#This Row],[Country]]='For Manage'!$E$11,1,0)</f>
        <v>1</v>
      </c>
      <c r="M162" s="113"/>
      <c r="N162" s="82">
        <v>44474</v>
      </c>
      <c r="O162" s="68" t="str">
        <v>MNO Corporation</v>
      </c>
      <c r="P162" s="7" t="str">
        <v>USA</v>
      </c>
      <c r="Q162" s="7" t="str">
        <v>NA</v>
      </c>
      <c r="R162" s="7">
        <v>550.85</v>
      </c>
      <c r="S162" s="7" t="str">
        <v>Machine Order</v>
      </c>
      <c r="T162" s="7" t="str">
        <v>Sarah Brown</v>
      </c>
      <c r="U162" s="7" t="str">
        <v>USD</v>
      </c>
      <c r="V162">
        <v>1</v>
      </c>
      <c r="W162" t="str">
        <v>No</v>
      </c>
      <c r="X162" t="str">
        <v>Existing Customer</v>
      </c>
      <c r="Y162">
        <v>1</v>
      </c>
    </row>
    <row r="163" spans="1:25" ht="15.6" x14ac:dyDescent="0.3">
      <c r="A163" s="80">
        <v>44362</v>
      </c>
      <c r="B163" s="2" t="s">
        <v>149</v>
      </c>
      <c r="C163" s="2" t="s">
        <v>49</v>
      </c>
      <c r="D163" s="2" t="s">
        <v>50</v>
      </c>
      <c r="E163" s="204">
        <v>600.35</v>
      </c>
      <c r="F163" s="2" t="s">
        <v>56</v>
      </c>
      <c r="G163" s="2" t="s">
        <v>3</v>
      </c>
      <c r="H163" s="2" t="s">
        <v>52</v>
      </c>
      <c r="I163" s="113">
        <f>IF(Table_5[[#This Row],[Sales Rep]]='For Manage'!$E$7,1,0)</f>
        <v>1</v>
      </c>
      <c r="J163" s="113" t="str">
        <f>IF(OR(Table_5[[#This Row],[Customer Name]]="ABC Manufacturing",Table_5[[#This Row],[Customer Name]]="123 Industries"), "Yes", "No")</f>
        <v>No</v>
      </c>
      <c r="K163" s="113" t="str">
        <f>IF(COUNTIFS(Table_5[Customer Name],B163, Table_5[Order Date], "&gt;="&amp;DATE(2021,1,1), Table_5[Order Date], "&lt;="&amp;DATE(2022,12,31))&gt;0, "Existing Customer", "New Customer")</f>
        <v>Existing Customer</v>
      </c>
      <c r="L163" s="113">
        <f>IF(Table_5[[#This Row],[Country]]='For Manage'!$E$11,1,0)</f>
        <v>1</v>
      </c>
      <c r="M163" s="113"/>
      <c r="N163" s="82">
        <v>44469</v>
      </c>
      <c r="O163" s="68" t="str">
        <v>123 Industries</v>
      </c>
      <c r="P163" s="7" t="str">
        <v>USA</v>
      </c>
      <c r="Q163" s="7" t="str">
        <v>NA</v>
      </c>
      <c r="R163" s="7">
        <v>1000000</v>
      </c>
      <c r="S163" s="7" t="str">
        <v>Service</v>
      </c>
      <c r="T163" s="7" t="str">
        <v>Sarah Brown</v>
      </c>
      <c r="U163" s="7" t="str">
        <v>USD</v>
      </c>
      <c r="V163">
        <v>1</v>
      </c>
      <c r="W163" t="str">
        <v>Yes</v>
      </c>
      <c r="X163" t="str">
        <v>Existing Customer</v>
      </c>
      <c r="Y163">
        <v>1</v>
      </c>
    </row>
    <row r="164" spans="1:25" ht="15.6" x14ac:dyDescent="0.3">
      <c r="A164" s="80">
        <v>44397</v>
      </c>
      <c r="B164" s="2" t="s">
        <v>150</v>
      </c>
      <c r="C164" s="2" t="s">
        <v>49</v>
      </c>
      <c r="D164" s="2" t="s">
        <v>50</v>
      </c>
      <c r="E164" s="204">
        <v>800.45</v>
      </c>
      <c r="F164" s="2" t="s">
        <v>51</v>
      </c>
      <c r="G164" s="2" t="s">
        <v>3</v>
      </c>
      <c r="H164" s="2" t="s">
        <v>52</v>
      </c>
      <c r="I164" s="113">
        <f>IF(Table_5[[#This Row],[Sales Rep]]='For Manage'!$E$7,1,0)</f>
        <v>1</v>
      </c>
      <c r="J164" s="113" t="str">
        <f>IF(OR(Table_5[[#This Row],[Customer Name]]="ABC Manufacturing",Table_5[[#This Row],[Customer Name]]="123 Industries"), "Yes", "No")</f>
        <v>No</v>
      </c>
      <c r="K164" s="113" t="str">
        <f>IF(COUNTIFS(Table_5[Customer Name],B164, Table_5[Order Date], "&gt;="&amp;DATE(2021,1,1), Table_5[Order Date], "&lt;="&amp;DATE(2022,12,31))&gt;0, "Existing Customer", "New Customer")</f>
        <v>Existing Customer</v>
      </c>
      <c r="L164" s="113">
        <f>IF(Table_5[[#This Row],[Country]]='For Manage'!$E$11,1,0)</f>
        <v>1</v>
      </c>
      <c r="M164" s="113"/>
      <c r="N164" s="82">
        <v>44469</v>
      </c>
      <c r="O164" s="68" t="str">
        <v>Martinez Industries</v>
      </c>
      <c r="P164" s="7" t="str">
        <v>USA</v>
      </c>
      <c r="Q164" s="7" t="str">
        <v>NA</v>
      </c>
      <c r="R164" s="7">
        <v>1000.45</v>
      </c>
      <c r="S164" s="7" t="str">
        <v>Service</v>
      </c>
      <c r="T164" s="7" t="str">
        <v>Sarah Brown</v>
      </c>
      <c r="U164" s="7" t="str">
        <v>USD</v>
      </c>
      <c r="V164">
        <v>1</v>
      </c>
      <c r="W164" t="str">
        <v>No</v>
      </c>
      <c r="X164" t="str">
        <v>Existing Customer</v>
      </c>
      <c r="Y164">
        <v>1</v>
      </c>
    </row>
    <row r="165" spans="1:25" ht="15.6" x14ac:dyDescent="0.3">
      <c r="A165" s="80">
        <v>44433</v>
      </c>
      <c r="B165" s="2" t="s">
        <v>151</v>
      </c>
      <c r="C165" s="2" t="s">
        <v>49</v>
      </c>
      <c r="D165" s="2" t="s">
        <v>50</v>
      </c>
      <c r="E165" s="204">
        <v>200.95</v>
      </c>
      <c r="F165" s="2" t="s">
        <v>54</v>
      </c>
      <c r="G165" s="2" t="s">
        <v>3</v>
      </c>
      <c r="H165" s="2" t="s">
        <v>52</v>
      </c>
      <c r="I165" s="113">
        <f>IF(Table_5[[#This Row],[Sales Rep]]='For Manage'!$E$7,1,0)</f>
        <v>1</v>
      </c>
      <c r="J165" s="113" t="str">
        <f>IF(OR(Table_5[[#This Row],[Customer Name]]="ABC Manufacturing",Table_5[[#This Row],[Customer Name]]="123 Industries"), "Yes", "No")</f>
        <v>No</v>
      </c>
      <c r="K165" s="113" t="str">
        <f>IF(COUNTIFS(Table_5[Customer Name],B165, Table_5[Order Date], "&gt;="&amp;DATE(2021,1,1), Table_5[Order Date], "&lt;="&amp;DATE(2022,12,31))&gt;0, "Existing Customer", "New Customer")</f>
        <v>Existing Customer</v>
      </c>
      <c r="L165" s="113">
        <f>IF(Table_5[[#This Row],[Country]]='For Manage'!$E$11,1,0)</f>
        <v>1</v>
      </c>
      <c r="M165" s="113"/>
      <c r="N165" s="82">
        <v>44469</v>
      </c>
      <c r="O165" s="68" t="str">
        <v>Martinez Corporation</v>
      </c>
      <c r="P165" s="7" t="str">
        <v>USA</v>
      </c>
      <c r="Q165" s="7" t="str">
        <v>NA</v>
      </c>
      <c r="R165" s="7">
        <v>10000.25</v>
      </c>
      <c r="S165" s="7" t="str">
        <v>Service</v>
      </c>
      <c r="T165" s="7" t="str">
        <v>Sarah Brown</v>
      </c>
      <c r="U165" s="7" t="str">
        <v>USD</v>
      </c>
      <c r="V165">
        <v>1</v>
      </c>
      <c r="W165" t="str">
        <v>No</v>
      </c>
      <c r="X165" t="str">
        <v>Existing Customer</v>
      </c>
      <c r="Y165">
        <v>1</v>
      </c>
    </row>
    <row r="166" spans="1:25" ht="15.6" x14ac:dyDescent="0.3">
      <c r="A166" s="80">
        <v>44469</v>
      </c>
      <c r="B166" s="2" t="s">
        <v>152</v>
      </c>
      <c r="C166" s="2" t="s">
        <v>49</v>
      </c>
      <c r="D166" s="2" t="s">
        <v>50</v>
      </c>
      <c r="E166" s="204">
        <v>1000.7</v>
      </c>
      <c r="F166" s="2" t="s">
        <v>56</v>
      </c>
      <c r="G166" s="2" t="s">
        <v>3</v>
      </c>
      <c r="H166" s="2" t="s">
        <v>52</v>
      </c>
      <c r="I166" s="113">
        <f>IF(Table_5[[#This Row],[Sales Rep]]='For Manage'!$E$7,1,0)</f>
        <v>1</v>
      </c>
      <c r="J166" s="113" t="str">
        <f>IF(OR(Table_5[[#This Row],[Customer Name]]="ABC Manufacturing",Table_5[[#This Row],[Customer Name]]="123 Industries"), "Yes", "No")</f>
        <v>No</v>
      </c>
      <c r="K166" s="113" t="str">
        <f>IF(COUNTIFS(Table_5[Customer Name],B166, Table_5[Order Date], "&gt;="&amp;DATE(2021,1,1), Table_5[Order Date], "&lt;="&amp;DATE(2022,12,31))&gt;0, "Existing Customer", "New Customer")</f>
        <v>Existing Customer</v>
      </c>
      <c r="L166" s="113">
        <f>IF(Table_5[[#This Row],[Country]]='For Manage'!$E$11,1,0)</f>
        <v>1</v>
      </c>
      <c r="M166" s="113"/>
      <c r="N166" s="82">
        <v>44469</v>
      </c>
      <c r="O166" s="68" t="str">
        <v>Martinez Group</v>
      </c>
      <c r="P166" s="7" t="str">
        <v>USA</v>
      </c>
      <c r="Q166" s="7" t="str">
        <v>NA</v>
      </c>
      <c r="R166" s="7">
        <v>1000.2</v>
      </c>
      <c r="S166" s="7" t="str">
        <v>Service</v>
      </c>
      <c r="T166" s="7" t="str">
        <v>Sarah Brown</v>
      </c>
      <c r="U166" s="7" t="str">
        <v>USD</v>
      </c>
      <c r="V166">
        <v>1</v>
      </c>
      <c r="W166" t="str">
        <v>No</v>
      </c>
      <c r="X166" t="str">
        <v>Existing Customer</v>
      </c>
      <c r="Y166">
        <v>1</v>
      </c>
    </row>
    <row r="167" spans="1:25" ht="15.6" x14ac:dyDescent="0.3">
      <c r="A167" s="80">
        <v>44474</v>
      </c>
      <c r="B167" s="2" t="s">
        <v>153</v>
      </c>
      <c r="C167" s="2" t="s">
        <v>49</v>
      </c>
      <c r="D167" s="2" t="s">
        <v>50</v>
      </c>
      <c r="E167" s="204">
        <v>550.85</v>
      </c>
      <c r="F167" s="2" t="s">
        <v>51</v>
      </c>
      <c r="G167" s="2" t="s">
        <v>3</v>
      </c>
      <c r="H167" s="2" t="s">
        <v>52</v>
      </c>
      <c r="I167" s="113">
        <f>IF(Table_5[[#This Row],[Sales Rep]]='For Manage'!$E$7,1,0)</f>
        <v>1</v>
      </c>
      <c r="J167" s="113" t="str">
        <f>IF(OR(Table_5[[#This Row],[Customer Name]]="ABC Manufacturing",Table_5[[#This Row],[Customer Name]]="123 Industries"), "Yes", "No")</f>
        <v>No</v>
      </c>
      <c r="K167" s="113" t="str">
        <f>IF(COUNTIFS(Table_5[Customer Name],B167, Table_5[Order Date], "&gt;="&amp;DATE(2021,1,1), Table_5[Order Date], "&lt;="&amp;DATE(2022,12,31))&gt;0, "Existing Customer", "New Customer")</f>
        <v>Existing Customer</v>
      </c>
      <c r="L167" s="113">
        <f>IF(Table_5[[#This Row],[Country]]='For Manage'!$E$11,1,0)</f>
        <v>1</v>
      </c>
      <c r="M167" s="113"/>
      <c r="N167" s="82">
        <v>44469</v>
      </c>
      <c r="O167" s="68" t="str">
        <v>UVW Inc.</v>
      </c>
      <c r="P167" s="7" t="str">
        <v>USA</v>
      </c>
      <c r="Q167" s="7" t="str">
        <v>NA</v>
      </c>
      <c r="R167" s="7">
        <v>1000.7</v>
      </c>
      <c r="S167" s="7" t="str">
        <v>Service</v>
      </c>
      <c r="T167" s="7" t="str">
        <v>Sarah Brown</v>
      </c>
      <c r="U167" s="7" t="str">
        <v>USD</v>
      </c>
      <c r="V167">
        <v>1</v>
      </c>
      <c r="W167" t="str">
        <v>No</v>
      </c>
      <c r="X167" t="str">
        <v>Existing Customer</v>
      </c>
      <c r="Y167">
        <v>1</v>
      </c>
    </row>
    <row r="168" spans="1:25" ht="15.6" x14ac:dyDescent="0.3">
      <c r="A168" s="80">
        <v>44510</v>
      </c>
      <c r="B168" s="2" t="s">
        <v>154</v>
      </c>
      <c r="C168" s="2" t="s">
        <v>49</v>
      </c>
      <c r="D168" s="2" t="s">
        <v>50</v>
      </c>
      <c r="E168" s="204">
        <v>450.3</v>
      </c>
      <c r="F168" s="2" t="s">
        <v>54</v>
      </c>
      <c r="G168" s="2" t="s">
        <v>3</v>
      </c>
      <c r="H168" s="2" t="s">
        <v>52</v>
      </c>
      <c r="I168" s="113">
        <f>IF(Table_5[[#This Row],[Sales Rep]]='For Manage'!$E$7,1,0)</f>
        <v>1</v>
      </c>
      <c r="J168" s="113" t="str">
        <f>IF(OR(Table_5[[#This Row],[Customer Name]]="ABC Manufacturing",Table_5[[#This Row],[Customer Name]]="123 Industries"), "Yes", "No")</f>
        <v>No</v>
      </c>
      <c r="K168" s="113" t="str">
        <f>IF(COUNTIFS(Table_5[Customer Name],B168, Table_5[Order Date], "&gt;="&amp;DATE(2021,1,1), Table_5[Order Date], "&lt;="&amp;DATE(2022,12,31))&gt;0, "Existing Customer", "New Customer")</f>
        <v>Existing Customer</v>
      </c>
      <c r="L168" s="113">
        <f>IF(Table_5[[#This Row],[Country]]='For Manage'!$E$11,1,0)</f>
        <v>1</v>
      </c>
      <c r="M168" s="113"/>
      <c r="N168" s="82">
        <v>44433</v>
      </c>
      <c r="O168" s="68" t="str">
        <v>LMN Enterprises</v>
      </c>
      <c r="P168" s="7" t="str">
        <v>USA</v>
      </c>
      <c r="Q168" s="7" t="str">
        <v>NA</v>
      </c>
      <c r="R168" s="7">
        <v>200000</v>
      </c>
      <c r="S168" s="7" t="str">
        <v>Normal Order</v>
      </c>
      <c r="T168" s="7" t="str">
        <v>Sarah Brown</v>
      </c>
      <c r="U168" s="7" t="str">
        <v>USD</v>
      </c>
      <c r="V168">
        <v>1</v>
      </c>
      <c r="W168" t="str">
        <v>No</v>
      </c>
      <c r="X168" t="str">
        <v>Existing Customer</v>
      </c>
      <c r="Y168">
        <v>1</v>
      </c>
    </row>
    <row r="169" spans="1:25" ht="15.6" x14ac:dyDescent="0.3">
      <c r="A169" s="80">
        <v>44545</v>
      </c>
      <c r="B169" s="2" t="s">
        <v>155</v>
      </c>
      <c r="C169" s="2" t="s">
        <v>49</v>
      </c>
      <c r="D169" s="2" t="s">
        <v>50</v>
      </c>
      <c r="E169" s="204">
        <v>350.4</v>
      </c>
      <c r="F169" s="2" t="s">
        <v>56</v>
      </c>
      <c r="G169" s="2" t="s">
        <v>3</v>
      </c>
      <c r="H169" s="2" t="s">
        <v>52</v>
      </c>
      <c r="I169" s="113">
        <f>IF(Table_5[[#This Row],[Sales Rep]]='For Manage'!$E$7,1,0)</f>
        <v>1</v>
      </c>
      <c r="J169" s="113" t="str">
        <f>IF(OR(Table_5[[#This Row],[Customer Name]]="ABC Manufacturing",Table_5[[#This Row],[Customer Name]]="123 Industries"), "Yes", "No")</f>
        <v>No</v>
      </c>
      <c r="K169" s="113" t="str">
        <f>IF(COUNTIFS(Table_5[Customer Name],B169, Table_5[Order Date], "&gt;="&amp;DATE(2021,1,1), Table_5[Order Date], "&lt;="&amp;DATE(2022,12,31))&gt;0, "Existing Customer", "New Customer")</f>
        <v>Existing Customer</v>
      </c>
      <c r="L169" s="113">
        <f>IF(Table_5[[#This Row],[Country]]='For Manage'!$E$11,1,0)</f>
        <v>1</v>
      </c>
      <c r="M169" s="113"/>
      <c r="N169" s="82">
        <v>44433</v>
      </c>
      <c r="O169" s="68" t="str">
        <v>Miller Enterprises</v>
      </c>
      <c r="P169" s="7" t="str">
        <v>USA</v>
      </c>
      <c r="Q169" s="7" t="str">
        <v>NA</v>
      </c>
      <c r="R169" s="7">
        <v>200.75</v>
      </c>
      <c r="S169" s="7" t="str">
        <v>Normal Order</v>
      </c>
      <c r="T169" s="7" t="str">
        <v>Sarah Brown</v>
      </c>
      <c r="U169" s="7" t="str">
        <v>USD</v>
      </c>
      <c r="V169">
        <v>1</v>
      </c>
      <c r="W169" t="str">
        <v>No</v>
      </c>
      <c r="X169" t="str">
        <v>Existing Customer</v>
      </c>
      <c r="Y169">
        <v>1</v>
      </c>
    </row>
    <row r="170" spans="1:25" ht="15.6" x14ac:dyDescent="0.3">
      <c r="A170" s="80">
        <v>44581</v>
      </c>
      <c r="B170" s="2" t="s">
        <v>156</v>
      </c>
      <c r="C170" s="2" t="s">
        <v>49</v>
      </c>
      <c r="D170" s="2" t="s">
        <v>50</v>
      </c>
      <c r="E170" s="204">
        <v>950.55</v>
      </c>
      <c r="F170" s="2" t="s">
        <v>51</v>
      </c>
      <c r="G170" s="2" t="s">
        <v>3</v>
      </c>
      <c r="H170" s="2" t="s">
        <v>52</v>
      </c>
      <c r="I170" s="113">
        <f>IF(Table_5[[#This Row],[Sales Rep]]='For Manage'!$E$7,1,0)</f>
        <v>1</v>
      </c>
      <c r="J170" s="113" t="str">
        <f>IF(OR(Table_5[[#This Row],[Customer Name]]="ABC Manufacturing",Table_5[[#This Row],[Customer Name]]="123 Industries"), "Yes", "No")</f>
        <v>No</v>
      </c>
      <c r="K170" s="113" t="str">
        <f>IF(COUNTIFS(Table_5[Customer Name],B170, Table_5[Order Date], "&gt;="&amp;DATE(2021,1,1), Table_5[Order Date], "&lt;="&amp;DATE(2022,12,31))&gt;0, "Existing Customer", "New Customer")</f>
        <v>Existing Customer</v>
      </c>
      <c r="L170" s="113">
        <f>IF(Table_5[[#This Row],[Country]]='For Manage'!$E$11,1,0)</f>
        <v>1</v>
      </c>
      <c r="M170" s="113"/>
      <c r="N170" s="82">
        <v>44433</v>
      </c>
      <c r="O170" s="68" t="str">
        <v>Miller Enterprises</v>
      </c>
      <c r="P170" s="7" t="str">
        <v>USA</v>
      </c>
      <c r="Q170" s="7" t="str">
        <v>NA</v>
      </c>
      <c r="R170" s="7">
        <v>2000.75</v>
      </c>
      <c r="S170" s="7" t="str">
        <v>Normal Order</v>
      </c>
      <c r="T170" s="7" t="str">
        <v>Sarah Brown</v>
      </c>
      <c r="U170" s="7" t="str">
        <v>USD</v>
      </c>
      <c r="V170">
        <v>1</v>
      </c>
      <c r="W170" t="str">
        <v>No</v>
      </c>
      <c r="X170" t="str">
        <v>Existing Customer</v>
      </c>
      <c r="Y170">
        <v>1</v>
      </c>
    </row>
    <row r="171" spans="1:25" ht="15.6" x14ac:dyDescent="0.3">
      <c r="A171" s="80">
        <v>44617</v>
      </c>
      <c r="B171" s="2" t="s">
        <v>157</v>
      </c>
      <c r="C171" s="2" t="s">
        <v>49</v>
      </c>
      <c r="D171" s="2" t="s">
        <v>50</v>
      </c>
      <c r="E171" s="204">
        <v>2500.65</v>
      </c>
      <c r="F171" s="2" t="s">
        <v>54</v>
      </c>
      <c r="G171" s="2" t="s">
        <v>3</v>
      </c>
      <c r="H171" s="2" t="s">
        <v>52</v>
      </c>
      <c r="I171" s="113">
        <f>IF(Table_5[[#This Row],[Sales Rep]]='For Manage'!$E$7,1,0)</f>
        <v>1</v>
      </c>
      <c r="J171" s="113" t="str">
        <f>IF(OR(Table_5[[#This Row],[Customer Name]]="ABC Manufacturing",Table_5[[#This Row],[Customer Name]]="123 Industries"), "Yes", "No")</f>
        <v>No</v>
      </c>
      <c r="K171" s="113" t="str">
        <f>IF(COUNTIFS(Table_5[Customer Name],B171, Table_5[Order Date], "&gt;="&amp;DATE(2021,1,1), Table_5[Order Date], "&lt;="&amp;DATE(2022,12,31))&gt;0, "Existing Customer", "New Customer")</f>
        <v>Existing Customer</v>
      </c>
      <c r="L171" s="113">
        <f>IF(Table_5[[#This Row],[Country]]='For Manage'!$E$11,1,0)</f>
        <v>1</v>
      </c>
      <c r="M171" s="113"/>
      <c r="N171" s="82">
        <v>44433</v>
      </c>
      <c r="O171" s="68" t="str">
        <v>Williams Ltd.</v>
      </c>
      <c r="P171" s="7" t="str">
        <v>USA</v>
      </c>
      <c r="Q171" s="7" t="str">
        <v>NA</v>
      </c>
      <c r="R171" s="7">
        <v>200.75</v>
      </c>
      <c r="S171" s="7" t="str">
        <v>Normal Order</v>
      </c>
      <c r="T171" s="7" t="str">
        <v>Sarah Brown</v>
      </c>
      <c r="U171" s="7" t="str">
        <v>USD</v>
      </c>
      <c r="V171">
        <v>1</v>
      </c>
      <c r="W171" t="str">
        <v>No</v>
      </c>
      <c r="X171" t="str">
        <v>Existing Customer</v>
      </c>
      <c r="Y171">
        <v>1</v>
      </c>
    </row>
    <row r="172" spans="1:25" ht="15.6" x14ac:dyDescent="0.3">
      <c r="A172" s="80">
        <v>44622</v>
      </c>
      <c r="B172" s="2" t="s">
        <v>48</v>
      </c>
      <c r="C172" s="2" t="s">
        <v>49</v>
      </c>
      <c r="D172" s="2" t="s">
        <v>50</v>
      </c>
      <c r="E172" s="204">
        <v>750.75</v>
      </c>
      <c r="F172" s="2" t="s">
        <v>56</v>
      </c>
      <c r="G172" s="2" t="s">
        <v>3</v>
      </c>
      <c r="H172" s="2" t="s">
        <v>52</v>
      </c>
      <c r="I172" s="113">
        <f>IF(Table_5[[#This Row],[Sales Rep]]='For Manage'!$E$7,1,0)</f>
        <v>1</v>
      </c>
      <c r="J172" s="113" t="str">
        <f>IF(OR(Table_5[[#This Row],[Customer Name]]="ABC Manufacturing",Table_5[[#This Row],[Customer Name]]="123 Industries"), "Yes", "No")</f>
        <v>Yes</v>
      </c>
      <c r="K172" s="113" t="str">
        <f>IF(COUNTIFS(Table_5[Customer Name],B172, Table_5[Order Date], "&gt;="&amp;DATE(2021,1,1), Table_5[Order Date], "&lt;="&amp;DATE(2022,12,31))&gt;0, "Existing Customer", "New Customer")</f>
        <v>Existing Customer</v>
      </c>
      <c r="L172" s="113">
        <f>IF(Table_5[[#This Row],[Country]]='For Manage'!$E$11,1,0)</f>
        <v>1</v>
      </c>
      <c r="M172" s="113"/>
      <c r="N172" s="82">
        <v>44433</v>
      </c>
      <c r="O172" s="68" t="str">
        <v>JKL Enterprises</v>
      </c>
      <c r="P172" s="7" t="str">
        <v>USA</v>
      </c>
      <c r="Q172" s="7" t="str">
        <v>NA</v>
      </c>
      <c r="R172" s="7">
        <v>200.95</v>
      </c>
      <c r="S172" s="7" t="str">
        <v>Normal Order</v>
      </c>
      <c r="T172" s="7" t="str">
        <v>Sarah Brown</v>
      </c>
      <c r="U172" s="7" t="str">
        <v>USD</v>
      </c>
      <c r="V172">
        <v>1</v>
      </c>
      <c r="W172" t="str">
        <v>No</v>
      </c>
      <c r="X172" t="str">
        <v>Existing Customer</v>
      </c>
      <c r="Y172">
        <v>1</v>
      </c>
    </row>
    <row r="173" spans="1:25" ht="15.6" x14ac:dyDescent="0.3">
      <c r="A173" s="80">
        <v>44658</v>
      </c>
      <c r="B173" s="2" t="s">
        <v>53</v>
      </c>
      <c r="C173" s="2" t="s">
        <v>49</v>
      </c>
      <c r="D173" s="2" t="s">
        <v>50</v>
      </c>
      <c r="E173" s="204">
        <v>850.2</v>
      </c>
      <c r="F173" s="2" t="s">
        <v>51</v>
      </c>
      <c r="G173" s="2" t="s">
        <v>3</v>
      </c>
      <c r="H173" s="2" t="s">
        <v>52</v>
      </c>
      <c r="I173" s="113">
        <f>IF(Table_5[[#This Row],[Sales Rep]]='For Manage'!$E$7,1,0)</f>
        <v>1</v>
      </c>
      <c r="J173" s="113" t="str">
        <f>IF(OR(Table_5[[#This Row],[Customer Name]]="ABC Manufacturing",Table_5[[#This Row],[Customer Name]]="123 Industries"), "Yes", "No")</f>
        <v>No</v>
      </c>
      <c r="K173" s="113" t="str">
        <f>IF(COUNTIFS(Table_5[Customer Name],B173, Table_5[Order Date], "&gt;="&amp;DATE(2021,1,1), Table_5[Order Date], "&lt;="&amp;DATE(2022,12,31))&gt;0, "Existing Customer", "New Customer")</f>
        <v>Existing Customer</v>
      </c>
      <c r="L173" s="113">
        <f>IF(Table_5[[#This Row],[Country]]='For Manage'!$E$11,1,0)</f>
        <v>1</v>
      </c>
      <c r="M173" s="113"/>
      <c r="N173" s="82">
        <v>44397</v>
      </c>
      <c r="O173" s="68" t="str">
        <v>XYZ Corporation</v>
      </c>
      <c r="P173" s="7" t="str">
        <v>USA</v>
      </c>
      <c r="Q173" s="7" t="str">
        <v>NA</v>
      </c>
      <c r="R173" s="7">
        <v>800000</v>
      </c>
      <c r="S173" s="7" t="str">
        <v>Machine Order</v>
      </c>
      <c r="T173" s="7" t="str">
        <v>Sarah Brown</v>
      </c>
      <c r="U173" s="7" t="str">
        <v>USD</v>
      </c>
      <c r="V173">
        <v>1</v>
      </c>
      <c r="W173" t="str">
        <v>No</v>
      </c>
      <c r="X173" t="str">
        <v>Existing Customer</v>
      </c>
      <c r="Y173">
        <v>1</v>
      </c>
    </row>
    <row r="174" spans="1:25" ht="15.6" x14ac:dyDescent="0.3">
      <c r="A174" s="80">
        <v>44693</v>
      </c>
      <c r="B174" s="2" t="s">
        <v>147</v>
      </c>
      <c r="C174" s="2" t="s">
        <v>49</v>
      </c>
      <c r="D174" s="2" t="s">
        <v>50</v>
      </c>
      <c r="E174" s="204">
        <v>150.9</v>
      </c>
      <c r="F174" s="2" t="s">
        <v>54</v>
      </c>
      <c r="G174" s="2" t="s">
        <v>3</v>
      </c>
      <c r="H174" s="2" t="s">
        <v>52</v>
      </c>
      <c r="I174" s="113">
        <f>IF(Table_5[[#This Row],[Sales Rep]]='For Manage'!$E$7,1,0)</f>
        <v>1</v>
      </c>
      <c r="J174" s="113" t="str">
        <f>IF(OR(Table_5[[#This Row],[Customer Name]]="ABC Manufacturing",Table_5[[#This Row],[Customer Name]]="123 Industries"), "Yes", "No")</f>
        <v>No</v>
      </c>
      <c r="K174" s="113" t="str">
        <f>IF(COUNTIFS(Table_5[Customer Name],B174, Table_5[Order Date], "&gt;="&amp;DATE(2021,1,1), Table_5[Order Date], "&lt;="&amp;DATE(2022,12,31))&gt;0, "Existing Customer", "New Customer")</f>
        <v>Existing Customer</v>
      </c>
      <c r="L174" s="113">
        <f>IF(Table_5[[#This Row],[Country]]='For Manage'!$E$11,1,0)</f>
        <v>1</v>
      </c>
      <c r="M174" s="113"/>
      <c r="N174" s="82">
        <v>44397</v>
      </c>
      <c r="O174" s="68" t="str">
        <v>Taylor Inc.</v>
      </c>
      <c r="P174" s="7" t="str">
        <v>USA</v>
      </c>
      <c r="Q174" s="7" t="str">
        <v>NA</v>
      </c>
      <c r="R174" s="7">
        <v>800.9</v>
      </c>
      <c r="S174" s="7" t="str">
        <v>Machine Order</v>
      </c>
      <c r="T174" s="7" t="str">
        <v>Sarah Brown</v>
      </c>
      <c r="U174" s="7" t="str">
        <v>USD</v>
      </c>
      <c r="V174">
        <v>1</v>
      </c>
      <c r="W174" t="str">
        <v>No</v>
      </c>
      <c r="X174" t="str">
        <v>Existing Customer</v>
      </c>
      <c r="Y174">
        <v>1</v>
      </c>
    </row>
    <row r="175" spans="1:25" ht="15.6" x14ac:dyDescent="0.3">
      <c r="A175" s="80">
        <v>44729</v>
      </c>
      <c r="B175" s="2" t="s">
        <v>55</v>
      </c>
      <c r="C175" s="2" t="s">
        <v>49</v>
      </c>
      <c r="D175" s="2" t="s">
        <v>50</v>
      </c>
      <c r="E175" s="204">
        <v>650.25</v>
      </c>
      <c r="F175" s="2" t="s">
        <v>56</v>
      </c>
      <c r="G175" s="2" t="s">
        <v>3</v>
      </c>
      <c r="H175" s="2" t="s">
        <v>52</v>
      </c>
      <c r="I175" s="113">
        <f>IF(Table_5[[#This Row],[Sales Rep]]='For Manage'!$E$7,1,0)</f>
        <v>1</v>
      </c>
      <c r="J175" s="113" t="str">
        <f>IF(OR(Table_5[[#This Row],[Customer Name]]="ABC Manufacturing",Table_5[[#This Row],[Customer Name]]="123 Industries"), "Yes", "No")</f>
        <v>No</v>
      </c>
      <c r="K175" s="113" t="str">
        <f>IF(COUNTIFS(Table_5[Customer Name],B175, Table_5[Order Date], "&gt;="&amp;DATE(2021,1,1), Table_5[Order Date], "&lt;="&amp;DATE(2022,12,31))&gt;0, "Existing Customer", "New Customer")</f>
        <v>Existing Customer</v>
      </c>
      <c r="L175" s="113">
        <f>IF(Table_5[[#This Row],[Country]]='For Manage'!$E$11,1,0)</f>
        <v>1</v>
      </c>
      <c r="M175" s="113"/>
      <c r="N175" s="82">
        <v>44397</v>
      </c>
      <c r="O175" s="68" t="str">
        <v>Taylor &amp; Sons</v>
      </c>
      <c r="P175" s="7" t="str">
        <v>USA</v>
      </c>
      <c r="Q175" s="7" t="str">
        <v>NA</v>
      </c>
      <c r="R175" s="7">
        <v>8000.5</v>
      </c>
      <c r="S175" s="7" t="str">
        <v>Machine Order</v>
      </c>
      <c r="T175" s="7" t="str">
        <v>Sarah Brown</v>
      </c>
      <c r="U175" s="7" t="str">
        <v>USD</v>
      </c>
      <c r="V175">
        <v>1</v>
      </c>
      <c r="W175" t="str">
        <v>No</v>
      </c>
      <c r="X175" t="str">
        <v>Existing Customer</v>
      </c>
      <c r="Y175">
        <v>1</v>
      </c>
    </row>
    <row r="176" spans="1:25" ht="15.6" x14ac:dyDescent="0.3">
      <c r="A176" s="80">
        <v>44764</v>
      </c>
      <c r="B176" s="2" t="s">
        <v>148</v>
      </c>
      <c r="C176" s="2" t="s">
        <v>49</v>
      </c>
      <c r="D176" s="2" t="s">
        <v>50</v>
      </c>
      <c r="E176" s="204">
        <v>450.5</v>
      </c>
      <c r="F176" s="2" t="s">
        <v>51</v>
      </c>
      <c r="G176" s="2" t="s">
        <v>3</v>
      </c>
      <c r="H176" s="2" t="s">
        <v>52</v>
      </c>
      <c r="I176" s="113">
        <f>IF(Table_5[[#This Row],[Sales Rep]]='For Manage'!$E$7,1,0)</f>
        <v>1</v>
      </c>
      <c r="J176" s="113" t="str">
        <f>IF(OR(Table_5[[#This Row],[Customer Name]]="ABC Manufacturing",Table_5[[#This Row],[Customer Name]]="123 Industries"), "Yes", "No")</f>
        <v>No</v>
      </c>
      <c r="K176" s="113" t="str">
        <f>IF(COUNTIFS(Table_5[Customer Name],B176, Table_5[Order Date], "&gt;="&amp;DATE(2021,1,1), Table_5[Order Date], "&lt;="&amp;DATE(2022,12,31))&gt;0, "Existing Customer", "New Customer")</f>
        <v>Existing Customer</v>
      </c>
      <c r="L176" s="113">
        <f>IF(Table_5[[#This Row],[Country]]='For Manage'!$E$11,1,0)</f>
        <v>1</v>
      </c>
      <c r="M176" s="113"/>
      <c r="N176" s="82">
        <v>44397</v>
      </c>
      <c r="O176" s="68" t="str">
        <v>Taylor &amp; Co.</v>
      </c>
      <c r="P176" s="7" t="str">
        <v>USA</v>
      </c>
      <c r="Q176" s="7" t="str">
        <v>NA</v>
      </c>
      <c r="R176" s="7">
        <v>800.9</v>
      </c>
      <c r="S176" s="7" t="str">
        <v>Machine Order</v>
      </c>
      <c r="T176" s="7" t="str">
        <v>Sarah Brown</v>
      </c>
      <c r="U176" s="7" t="str">
        <v>USD</v>
      </c>
      <c r="V176">
        <v>1</v>
      </c>
      <c r="W176" t="str">
        <v>No</v>
      </c>
      <c r="X176" t="str">
        <v>Existing Customer</v>
      </c>
      <c r="Y176">
        <v>1</v>
      </c>
    </row>
    <row r="177" spans="1:25" ht="15.6" x14ac:dyDescent="0.3">
      <c r="A177" s="80">
        <v>44800</v>
      </c>
      <c r="B177" s="2" t="s">
        <v>149</v>
      </c>
      <c r="C177" s="2" t="s">
        <v>49</v>
      </c>
      <c r="D177" s="2" t="s">
        <v>50</v>
      </c>
      <c r="E177" s="204">
        <v>550.79999999999995</v>
      </c>
      <c r="F177" s="2" t="s">
        <v>54</v>
      </c>
      <c r="G177" s="2" t="s">
        <v>3</v>
      </c>
      <c r="H177" s="2" t="s">
        <v>52</v>
      </c>
      <c r="I177" s="113">
        <f>IF(Table_5[[#This Row],[Sales Rep]]='For Manage'!$E$7,1,0)</f>
        <v>1</v>
      </c>
      <c r="J177" s="113" t="str">
        <f>IF(OR(Table_5[[#This Row],[Customer Name]]="ABC Manufacturing",Table_5[[#This Row],[Customer Name]]="123 Industries"), "Yes", "No")</f>
        <v>No</v>
      </c>
      <c r="K177" s="113" t="str">
        <f>IF(COUNTIFS(Table_5[Customer Name],B177, Table_5[Order Date], "&gt;="&amp;DATE(2021,1,1), Table_5[Order Date], "&lt;="&amp;DATE(2022,12,31))&gt;0, "Existing Customer", "New Customer")</f>
        <v>Existing Customer</v>
      </c>
      <c r="L177" s="113">
        <f>IF(Table_5[[#This Row],[Country]]='For Manage'!$E$11,1,0)</f>
        <v>1</v>
      </c>
      <c r="M177" s="113"/>
      <c r="N177" s="82">
        <v>44397</v>
      </c>
      <c r="O177" s="68" t="str">
        <v>GHI Manufacturing</v>
      </c>
      <c r="P177" s="7" t="str">
        <v>USA</v>
      </c>
      <c r="Q177" s="7" t="str">
        <v>NA</v>
      </c>
      <c r="R177" s="7">
        <v>800.45</v>
      </c>
      <c r="S177" s="7" t="str">
        <v>Machine Order</v>
      </c>
      <c r="T177" s="7" t="str">
        <v>Sarah Brown</v>
      </c>
      <c r="U177" s="7" t="str">
        <v>USD</v>
      </c>
      <c r="V177">
        <v>1</v>
      </c>
      <c r="W177" t="str">
        <v>No</v>
      </c>
      <c r="X177" t="str">
        <v>Existing Customer</v>
      </c>
      <c r="Y177">
        <v>1</v>
      </c>
    </row>
    <row r="178" spans="1:25" ht="15.6" x14ac:dyDescent="0.3">
      <c r="A178" s="80">
        <v>44805</v>
      </c>
      <c r="B178" s="2" t="s">
        <v>150</v>
      </c>
      <c r="C178" s="2" t="s">
        <v>49</v>
      </c>
      <c r="D178" s="2" t="s">
        <v>50</v>
      </c>
      <c r="E178" s="204">
        <v>950.4</v>
      </c>
      <c r="F178" s="2" t="s">
        <v>56</v>
      </c>
      <c r="G178" s="2" t="s">
        <v>3</v>
      </c>
      <c r="H178" s="2" t="s">
        <v>52</v>
      </c>
      <c r="I178" s="113">
        <f>IF(Table_5[[#This Row],[Sales Rep]]='For Manage'!$E$7,1,0)</f>
        <v>1</v>
      </c>
      <c r="J178" s="113" t="str">
        <f>IF(OR(Table_5[[#This Row],[Customer Name]]="ABC Manufacturing",Table_5[[#This Row],[Customer Name]]="123 Industries"), "Yes", "No")</f>
        <v>No</v>
      </c>
      <c r="K178" s="113" t="str">
        <f>IF(COUNTIFS(Table_5[Customer Name],B178, Table_5[Order Date], "&gt;="&amp;DATE(2021,1,1), Table_5[Order Date], "&lt;="&amp;DATE(2022,12,31))&gt;0, "Existing Customer", "New Customer")</f>
        <v>Existing Customer</v>
      </c>
      <c r="L178" s="113">
        <f>IF(Table_5[[#This Row],[Country]]='For Manage'!$E$11,1,0)</f>
        <v>1</v>
      </c>
      <c r="M178" s="113"/>
      <c r="N178" s="82">
        <v>44362</v>
      </c>
      <c r="O178" s="68" t="str">
        <v>ABC Manufacturing</v>
      </c>
      <c r="P178" s="7" t="str">
        <v>USA</v>
      </c>
      <c r="Q178" s="7" t="str">
        <v>NA</v>
      </c>
      <c r="R178" s="7">
        <v>600000</v>
      </c>
      <c r="S178" s="7" t="str">
        <v>Service</v>
      </c>
      <c r="T178" s="7" t="str">
        <v>Sarah Brown</v>
      </c>
      <c r="U178" s="7" t="str">
        <v>USD</v>
      </c>
      <c r="V178">
        <v>1</v>
      </c>
      <c r="W178" t="str">
        <v>Yes</v>
      </c>
      <c r="X178" t="str">
        <v>Existing Customer</v>
      </c>
      <c r="Y178">
        <v>1</v>
      </c>
    </row>
    <row r="179" spans="1:25" ht="15.6" x14ac:dyDescent="0.3">
      <c r="A179" s="80">
        <v>44840</v>
      </c>
      <c r="B179" s="2" t="s">
        <v>151</v>
      </c>
      <c r="C179" s="2" t="s">
        <v>49</v>
      </c>
      <c r="D179" s="2" t="s">
        <v>50</v>
      </c>
      <c r="E179" s="204">
        <v>250.7</v>
      </c>
      <c r="F179" s="2" t="s">
        <v>51</v>
      </c>
      <c r="G179" s="2" t="s">
        <v>3</v>
      </c>
      <c r="H179" s="2" t="s">
        <v>52</v>
      </c>
      <c r="I179" s="113">
        <f>IF(Table_5[[#This Row],[Sales Rep]]='For Manage'!$E$7,1,0)</f>
        <v>1</v>
      </c>
      <c r="J179" s="113" t="str">
        <f>IF(OR(Table_5[[#This Row],[Customer Name]]="ABC Manufacturing",Table_5[[#This Row],[Customer Name]]="123 Industries"), "Yes", "No")</f>
        <v>No</v>
      </c>
      <c r="K179" s="113" t="str">
        <f>IF(COUNTIFS(Table_5[Customer Name],B179, Table_5[Order Date], "&gt;="&amp;DATE(2021,1,1), Table_5[Order Date], "&lt;="&amp;DATE(2022,12,31))&gt;0, "Existing Customer", "New Customer")</f>
        <v>Existing Customer</v>
      </c>
      <c r="L179" s="113">
        <f>IF(Table_5[[#This Row],[Country]]='For Manage'!$E$11,1,0)</f>
        <v>1</v>
      </c>
      <c r="M179" s="113"/>
      <c r="N179" s="82">
        <v>44362</v>
      </c>
      <c r="O179" s="68" t="str">
        <v>Johnson Group</v>
      </c>
      <c r="P179" s="7" t="str">
        <v>USA</v>
      </c>
      <c r="Q179" s="7" t="str">
        <v>NA</v>
      </c>
      <c r="R179" s="7">
        <v>600.35</v>
      </c>
      <c r="S179" s="7" t="str">
        <v>Service</v>
      </c>
      <c r="T179" s="7" t="str">
        <v>Sarah Brown</v>
      </c>
      <c r="U179" s="7" t="str">
        <v>USD</v>
      </c>
      <c r="V179">
        <v>1</v>
      </c>
      <c r="W179" t="str">
        <v>No</v>
      </c>
      <c r="X179" t="str">
        <v>Existing Customer</v>
      </c>
      <c r="Y179">
        <v>1</v>
      </c>
    </row>
    <row r="180" spans="1:25" ht="15.6" x14ac:dyDescent="0.3">
      <c r="A180" s="80">
        <v>44876</v>
      </c>
      <c r="B180" s="2" t="s">
        <v>152</v>
      </c>
      <c r="C180" s="2" t="s">
        <v>49</v>
      </c>
      <c r="D180" s="2" t="s">
        <v>50</v>
      </c>
      <c r="E180" s="204">
        <v>750.6</v>
      </c>
      <c r="F180" s="2" t="s">
        <v>54</v>
      </c>
      <c r="G180" s="2" t="s">
        <v>3</v>
      </c>
      <c r="H180" s="2" t="s">
        <v>52</v>
      </c>
      <c r="I180" s="113">
        <f>IF(Table_5[[#This Row],[Sales Rep]]='For Manage'!$E$7,1,0)</f>
        <v>1</v>
      </c>
      <c r="J180" s="113" t="str">
        <f>IF(OR(Table_5[[#This Row],[Customer Name]]="ABC Manufacturing",Table_5[[#This Row],[Customer Name]]="123 Industries"), "Yes", "No")</f>
        <v>No</v>
      </c>
      <c r="K180" s="113" t="str">
        <f>IF(COUNTIFS(Table_5[Customer Name],B180, Table_5[Order Date], "&gt;="&amp;DATE(2021,1,1), Table_5[Order Date], "&lt;="&amp;DATE(2022,12,31))&gt;0, "Existing Customer", "New Customer")</f>
        <v>Existing Customer</v>
      </c>
      <c r="L180" s="113">
        <f>IF(Table_5[[#This Row],[Country]]='For Manage'!$E$11,1,0)</f>
        <v>1</v>
      </c>
      <c r="M180" s="113"/>
      <c r="N180" s="82">
        <v>44362</v>
      </c>
      <c r="O180" s="68" t="str">
        <v>Wilson Solutions</v>
      </c>
      <c r="P180" s="7" t="str">
        <v>USA</v>
      </c>
      <c r="Q180" s="7" t="str">
        <v>NA</v>
      </c>
      <c r="R180" s="7">
        <v>6000.25</v>
      </c>
      <c r="S180" s="7" t="str">
        <v>Service</v>
      </c>
      <c r="T180" s="7" t="str">
        <v>Sarah Brown</v>
      </c>
      <c r="U180" s="7" t="str">
        <v>USD</v>
      </c>
      <c r="V180">
        <v>1</v>
      </c>
      <c r="W180" t="str">
        <v>No</v>
      </c>
      <c r="X180" t="str">
        <v>Existing Customer</v>
      </c>
      <c r="Y180">
        <v>1</v>
      </c>
    </row>
    <row r="181" spans="1:25" ht="15.6" x14ac:dyDescent="0.3">
      <c r="A181" s="80">
        <v>44911</v>
      </c>
      <c r="B181" s="2" t="s">
        <v>153</v>
      </c>
      <c r="C181" s="2" t="s">
        <v>49</v>
      </c>
      <c r="D181" s="2" t="s">
        <v>50</v>
      </c>
      <c r="E181" s="204">
        <v>650.35</v>
      </c>
      <c r="F181" s="2" t="s">
        <v>56</v>
      </c>
      <c r="G181" s="2" t="s">
        <v>3</v>
      </c>
      <c r="H181" s="2" t="s">
        <v>52</v>
      </c>
      <c r="I181" s="113">
        <f>IF(Table_5[[#This Row],[Sales Rep]]='For Manage'!$E$7,1,0)</f>
        <v>1</v>
      </c>
      <c r="J181" s="113" t="str">
        <f>IF(OR(Table_5[[#This Row],[Customer Name]]="ABC Manufacturing",Table_5[[#This Row],[Customer Name]]="123 Industries"), "Yes", "No")</f>
        <v>No</v>
      </c>
      <c r="K181" s="113" t="str">
        <f>IF(COUNTIFS(Table_5[Customer Name],B181, Table_5[Order Date], "&gt;="&amp;DATE(2021,1,1), Table_5[Order Date], "&lt;="&amp;DATE(2022,12,31))&gt;0, "Existing Customer", "New Customer")</f>
        <v>Existing Customer</v>
      </c>
      <c r="L181" s="113">
        <f>IF(Table_5[[#This Row],[Country]]='For Manage'!$E$11,1,0)</f>
        <v>1</v>
      </c>
      <c r="M181" s="113"/>
      <c r="N181" s="82">
        <v>44362</v>
      </c>
      <c r="O181" s="68" t="str">
        <v>Miller Co.</v>
      </c>
      <c r="P181" s="7" t="str">
        <v>USA</v>
      </c>
      <c r="Q181" s="7" t="str">
        <v>NA</v>
      </c>
      <c r="R181" s="7">
        <v>600.35</v>
      </c>
      <c r="S181" s="7" t="str">
        <v>Service</v>
      </c>
      <c r="T181" s="7" t="str">
        <v>Sarah Brown</v>
      </c>
      <c r="U181" s="7" t="str">
        <v>USD</v>
      </c>
      <c r="V181">
        <v>1</v>
      </c>
      <c r="W181" t="str">
        <v>No</v>
      </c>
      <c r="X181" t="str">
        <v>Existing Customer</v>
      </c>
      <c r="Y181">
        <v>1</v>
      </c>
    </row>
    <row r="182" spans="1:25" ht="15.6" x14ac:dyDescent="0.3">
      <c r="A182" s="80">
        <v>44947</v>
      </c>
      <c r="B182" s="2" t="s">
        <v>154</v>
      </c>
      <c r="C182" s="2" t="s">
        <v>49</v>
      </c>
      <c r="D182" s="2" t="s">
        <v>50</v>
      </c>
      <c r="E182" s="204">
        <v>350.45</v>
      </c>
      <c r="F182" s="2" t="s">
        <v>51</v>
      </c>
      <c r="G182" s="2" t="s">
        <v>3</v>
      </c>
      <c r="H182" s="2" t="s">
        <v>52</v>
      </c>
      <c r="I182" s="113">
        <f>IF(Table_5[[#This Row],[Sales Rep]]='For Manage'!$E$7,1,0)</f>
        <v>1</v>
      </c>
      <c r="J182" s="113" t="str">
        <f>IF(OR(Table_5[[#This Row],[Customer Name]]="ABC Manufacturing",Table_5[[#This Row],[Customer Name]]="123 Industries"), "Yes", "No")</f>
        <v>No</v>
      </c>
      <c r="K182" s="113" t="str">
        <f>IF(COUNTIFS(Table_5[Customer Name],B182, Table_5[Order Date], "&gt;="&amp;DATE(2021,1,1), Table_5[Order Date], "&lt;="&amp;DATE(2022,12,31))&gt;0, "Existing Customer", "New Customer")</f>
        <v>Existing Customer</v>
      </c>
      <c r="L182" s="113">
        <f>IF(Table_5[[#This Row],[Country]]='For Manage'!$E$11,1,0)</f>
        <v>1</v>
      </c>
      <c r="M182" s="113"/>
      <c r="N182" s="82">
        <v>44362</v>
      </c>
      <c r="O182" s="68" t="str">
        <v>RST Corporation</v>
      </c>
      <c r="P182" s="7" t="str">
        <v>USA</v>
      </c>
      <c r="Q182" s="7" t="str">
        <v>NA</v>
      </c>
      <c r="R182" s="7">
        <v>600.35</v>
      </c>
      <c r="S182" s="7" t="str">
        <v>Service</v>
      </c>
      <c r="T182" s="7" t="str">
        <v>Sarah Brown</v>
      </c>
      <c r="U182" s="7" t="str">
        <v>USD</v>
      </c>
      <c r="V182">
        <v>1</v>
      </c>
      <c r="W182" t="str">
        <v>No</v>
      </c>
      <c r="X182" t="str">
        <v>Existing Customer</v>
      </c>
      <c r="Y182">
        <v>1</v>
      </c>
    </row>
    <row r="183" spans="1:25" ht="15.6" x14ac:dyDescent="0.3">
      <c r="A183" s="80">
        <v>44983</v>
      </c>
      <c r="B183" s="2" t="s">
        <v>155</v>
      </c>
      <c r="C183" s="2" t="s">
        <v>49</v>
      </c>
      <c r="D183" s="2" t="s">
        <v>50</v>
      </c>
      <c r="E183" s="204">
        <v>150.55000000000001</v>
      </c>
      <c r="F183" s="2" t="s">
        <v>54</v>
      </c>
      <c r="G183" s="2" t="s">
        <v>3</v>
      </c>
      <c r="H183" s="2" t="s">
        <v>52</v>
      </c>
      <c r="I183" s="113">
        <f>IF(Table_5[[#This Row],[Sales Rep]]='For Manage'!$E$7,1,0)</f>
        <v>1</v>
      </c>
      <c r="J183" s="113" t="str">
        <f>IF(OR(Table_5[[#This Row],[Customer Name]]="ABC Manufacturing",Table_5[[#This Row],[Customer Name]]="123 Industries"), "Yes", "No")</f>
        <v>No</v>
      </c>
      <c r="K183" s="113" t="str">
        <f>IF(COUNTIFS(Table_5[Customer Name],B183, Table_5[Order Date], "&gt;="&amp;DATE(2021,1,1), Table_5[Order Date], "&lt;="&amp;DATE(2022,12,31))&gt;0, "Existing Customer", "New Customer")</f>
        <v>Existing Customer</v>
      </c>
      <c r="L183" s="113">
        <f>IF(Table_5[[#This Row],[Country]]='For Manage'!$E$11,1,0)</f>
        <v>1</v>
      </c>
      <c r="M183" s="113"/>
      <c r="N183" s="82">
        <v>44326</v>
      </c>
      <c r="O183" s="68" t="str">
        <v>PQR Incorporated</v>
      </c>
      <c r="P183" s="7" t="str">
        <v>USA</v>
      </c>
      <c r="Q183" s="7" t="str">
        <v>NA</v>
      </c>
      <c r="R183" s="7">
        <v>400000</v>
      </c>
      <c r="S183" s="7" t="str">
        <v>Normal Order</v>
      </c>
      <c r="T183" s="7" t="str">
        <v>Sarah Brown</v>
      </c>
      <c r="U183" s="7" t="str">
        <v>USD</v>
      </c>
      <c r="V183">
        <v>1</v>
      </c>
      <c r="W183" t="str">
        <v>No</v>
      </c>
      <c r="X183" t="str">
        <v>Existing Customer</v>
      </c>
      <c r="Y183">
        <v>1</v>
      </c>
    </row>
    <row r="184" spans="1:25" ht="15.6" x14ac:dyDescent="0.3">
      <c r="A184" s="80">
        <v>44988</v>
      </c>
      <c r="B184" s="2" t="s">
        <v>156</v>
      </c>
      <c r="C184" s="2" t="s">
        <v>49</v>
      </c>
      <c r="D184" s="2" t="s">
        <v>50</v>
      </c>
      <c r="E184" s="204">
        <v>850.25</v>
      </c>
      <c r="F184" s="2" t="s">
        <v>56</v>
      </c>
      <c r="G184" s="2" t="s">
        <v>3</v>
      </c>
      <c r="H184" s="2" t="s">
        <v>52</v>
      </c>
      <c r="I184" s="113">
        <f>IF(Table_5[[#This Row],[Sales Rep]]='For Manage'!$E$7,1,0)</f>
        <v>1</v>
      </c>
      <c r="J184" s="113" t="str">
        <f>IF(OR(Table_5[[#This Row],[Customer Name]]="ABC Manufacturing",Table_5[[#This Row],[Customer Name]]="123 Industries"), "Yes", "No")</f>
        <v>No</v>
      </c>
      <c r="K184" s="113" t="str">
        <f>IF(COUNTIFS(Table_5[Customer Name],B184, Table_5[Order Date], "&gt;="&amp;DATE(2021,1,1), Table_5[Order Date], "&lt;="&amp;DATE(2022,12,31))&gt;0, "Existing Customer", "New Customer")</f>
        <v>Existing Customer</v>
      </c>
      <c r="L184" s="113">
        <f>IF(Table_5[[#This Row],[Country]]='For Manage'!$E$11,1,0)</f>
        <v>1</v>
      </c>
      <c r="M184" s="113"/>
      <c r="N184" s="82">
        <v>44326</v>
      </c>
      <c r="O184" s="68" t="str">
        <v>Brown Co.</v>
      </c>
      <c r="P184" s="7" t="str">
        <v>USA</v>
      </c>
      <c r="Q184" s="7" t="str">
        <v>NA</v>
      </c>
      <c r="R184" s="7">
        <v>400.6</v>
      </c>
      <c r="S184" s="7" t="str">
        <v>Normal Order</v>
      </c>
      <c r="T184" s="7" t="str">
        <v>Sarah Brown</v>
      </c>
      <c r="U184" s="7" t="str">
        <v>USD</v>
      </c>
      <c r="V184">
        <v>1</v>
      </c>
      <c r="W184" t="str">
        <v>No</v>
      </c>
      <c r="X184" t="str">
        <v>Existing Customer</v>
      </c>
      <c r="Y184">
        <v>1</v>
      </c>
    </row>
    <row r="185" spans="1:25" ht="15.6" x14ac:dyDescent="0.3">
      <c r="A185" s="80">
        <v>45024</v>
      </c>
      <c r="B185" s="2" t="s">
        <v>157</v>
      </c>
      <c r="C185" s="2" t="s">
        <v>49</v>
      </c>
      <c r="D185" s="2" t="s">
        <v>50</v>
      </c>
      <c r="E185" s="204">
        <v>450.6</v>
      </c>
      <c r="F185" s="2" t="s">
        <v>51</v>
      </c>
      <c r="G185" s="2" t="s">
        <v>3</v>
      </c>
      <c r="H185" s="2" t="s">
        <v>52</v>
      </c>
      <c r="I185" s="113">
        <f>IF(Table_5[[#This Row],[Sales Rep]]='For Manage'!$E$7,1,0)</f>
        <v>1</v>
      </c>
      <c r="J185" s="113" t="str">
        <f>IF(OR(Table_5[[#This Row],[Customer Name]]="ABC Manufacturing",Table_5[[#This Row],[Customer Name]]="123 Industries"), "Yes", "No")</f>
        <v>No</v>
      </c>
      <c r="K185" s="113" t="str">
        <f>IF(COUNTIFS(Table_5[Customer Name],B185, Table_5[Order Date], "&gt;="&amp;DATE(2021,1,1), Table_5[Order Date], "&lt;="&amp;DATE(2022,12,31))&gt;0, "Existing Customer", "New Customer")</f>
        <v>Existing Customer</v>
      </c>
      <c r="L185" s="113">
        <f>IF(Table_5[[#This Row],[Country]]='For Manage'!$E$11,1,0)</f>
        <v>1</v>
      </c>
      <c r="M185" s="113"/>
      <c r="N185" s="82">
        <v>44326</v>
      </c>
      <c r="O185" s="68" t="str">
        <v>Brown Manufacturing</v>
      </c>
      <c r="P185" s="7" t="str">
        <v>USA</v>
      </c>
      <c r="Q185" s="7" t="str">
        <v>NA</v>
      </c>
      <c r="R185" s="7">
        <v>4000.75</v>
      </c>
      <c r="S185" s="7" t="str">
        <v>Normal Order</v>
      </c>
      <c r="T185" s="7" t="str">
        <v>Sarah Brown</v>
      </c>
      <c r="U185" s="7" t="str">
        <v>USD</v>
      </c>
      <c r="V185">
        <v>1</v>
      </c>
      <c r="W185" t="str">
        <v>No</v>
      </c>
      <c r="X185" t="str">
        <v>Existing Customer</v>
      </c>
      <c r="Y185">
        <v>1</v>
      </c>
    </row>
    <row r="186" spans="1:25" ht="15.6" x14ac:dyDescent="0.3">
      <c r="A186" s="80">
        <v>45059</v>
      </c>
      <c r="B186" s="2" t="s">
        <v>48</v>
      </c>
      <c r="C186" s="2" t="s">
        <v>49</v>
      </c>
      <c r="D186" s="2" t="s">
        <v>50</v>
      </c>
      <c r="E186" s="204">
        <v>550.85</v>
      </c>
      <c r="F186" s="2" t="s">
        <v>54</v>
      </c>
      <c r="G186" s="2" t="s">
        <v>3</v>
      </c>
      <c r="H186" s="2" t="s">
        <v>52</v>
      </c>
      <c r="I186" s="113">
        <f>IF(Table_5[[#This Row],[Sales Rep]]='For Manage'!$E$7,1,0)</f>
        <v>1</v>
      </c>
      <c r="J186" s="113" t="str">
        <f>IF(OR(Table_5[[#This Row],[Customer Name]]="ABC Manufacturing",Table_5[[#This Row],[Customer Name]]="123 Industries"), "Yes", "No")</f>
        <v>Yes</v>
      </c>
      <c r="K186" s="113" t="str">
        <f>IF(COUNTIFS(Table_5[Customer Name],B186, Table_5[Order Date], "&gt;="&amp;DATE(2021,1,1), Table_5[Order Date], "&lt;="&amp;DATE(2022,12,31))&gt;0, "Existing Customer", "New Customer")</f>
        <v>Existing Customer</v>
      </c>
      <c r="L186" s="113">
        <f>IF(Table_5[[#This Row],[Country]]='For Manage'!$E$11,1,0)</f>
        <v>1</v>
      </c>
      <c r="M186" s="113"/>
      <c r="N186" s="82">
        <v>44326</v>
      </c>
      <c r="O186" s="68" t="str">
        <v>Brown Industries</v>
      </c>
      <c r="P186" s="7" t="str">
        <v>USA</v>
      </c>
      <c r="Q186" s="7" t="str">
        <v>NA</v>
      </c>
      <c r="R186" s="7">
        <v>400.6</v>
      </c>
      <c r="S186" s="7" t="str">
        <v>Normal Order</v>
      </c>
      <c r="T186" s="7" t="str">
        <v>Sarah Brown</v>
      </c>
      <c r="U186" s="7" t="str">
        <v>USD</v>
      </c>
      <c r="V186">
        <v>1</v>
      </c>
      <c r="W186" t="str">
        <v>No</v>
      </c>
      <c r="X186" t="str">
        <v>Existing Customer</v>
      </c>
      <c r="Y186">
        <v>1</v>
      </c>
    </row>
    <row r="187" spans="1:25" ht="15.6" x14ac:dyDescent="0.3">
      <c r="A187" s="80">
        <v>45095</v>
      </c>
      <c r="B187" s="2" t="s">
        <v>53</v>
      </c>
      <c r="C187" s="2" t="s">
        <v>49</v>
      </c>
      <c r="D187" s="2" t="s">
        <v>50</v>
      </c>
      <c r="E187" s="204">
        <v>950.7</v>
      </c>
      <c r="F187" s="2" t="s">
        <v>56</v>
      </c>
      <c r="G187" s="2" t="s">
        <v>3</v>
      </c>
      <c r="H187" s="2" t="s">
        <v>52</v>
      </c>
      <c r="I187" s="113">
        <f>IF(Table_5[[#This Row],[Sales Rep]]='For Manage'!$E$7,1,0)</f>
        <v>1</v>
      </c>
      <c r="J187" s="113" t="str">
        <f>IF(OR(Table_5[[#This Row],[Customer Name]]="ABC Manufacturing",Table_5[[#This Row],[Customer Name]]="123 Industries"), "Yes", "No")</f>
        <v>No</v>
      </c>
      <c r="K187" s="113" t="str">
        <f>IF(COUNTIFS(Table_5[Customer Name],B187, Table_5[Order Date], "&gt;="&amp;DATE(2021,1,1), Table_5[Order Date], "&lt;="&amp;DATE(2022,12,31))&gt;0, "Existing Customer", "New Customer")</f>
        <v>Existing Customer</v>
      </c>
      <c r="L187" s="113">
        <f>IF(Table_5[[#This Row],[Country]]='For Manage'!$E$11,1,0)</f>
        <v>1</v>
      </c>
      <c r="M187" s="113"/>
      <c r="N187" s="82">
        <v>44326</v>
      </c>
      <c r="O187" s="68" t="str">
        <v>PQR Inc.</v>
      </c>
      <c r="P187" s="7" t="str">
        <v>USA</v>
      </c>
      <c r="Q187" s="7" t="str">
        <v>NA</v>
      </c>
      <c r="R187" s="7">
        <v>400.6</v>
      </c>
      <c r="S187" s="7" t="str">
        <v>Normal Order</v>
      </c>
      <c r="T187" s="7" t="str">
        <v>Sarah Brown</v>
      </c>
      <c r="U187" s="7" t="str">
        <v>USD</v>
      </c>
      <c r="V187">
        <v>1</v>
      </c>
      <c r="W187" t="str">
        <v>No</v>
      </c>
      <c r="X187" t="str">
        <v>Existing Customer</v>
      </c>
      <c r="Y187">
        <v>1</v>
      </c>
    </row>
    <row r="188" spans="1:25" ht="15.6" x14ac:dyDescent="0.3">
      <c r="A188" s="80">
        <v>45130</v>
      </c>
      <c r="B188" s="2" t="s">
        <v>147</v>
      </c>
      <c r="C188" s="2" t="s">
        <v>49</v>
      </c>
      <c r="D188" s="2" t="s">
        <v>50</v>
      </c>
      <c r="E188" s="204">
        <v>250.8</v>
      </c>
      <c r="F188" s="2" t="s">
        <v>51</v>
      </c>
      <c r="G188" s="2" t="s">
        <v>3</v>
      </c>
      <c r="H188" s="2" t="s">
        <v>52</v>
      </c>
      <c r="I188" s="113">
        <f>IF(Table_5[[#This Row],[Sales Rep]]='For Manage'!$E$7,1,0)</f>
        <v>1</v>
      </c>
      <c r="J188" s="113" t="str">
        <f>IF(OR(Table_5[[#This Row],[Customer Name]]="ABC Manufacturing",Table_5[[#This Row],[Customer Name]]="123 Industries"), "Yes", "No")</f>
        <v>No</v>
      </c>
      <c r="K188" s="113" t="str">
        <f>IF(COUNTIFS(Table_5[Customer Name],B188, Table_5[Order Date], "&gt;="&amp;DATE(2021,1,1), Table_5[Order Date], "&lt;="&amp;DATE(2022,12,31))&gt;0, "Existing Customer", "New Customer")</f>
        <v>Existing Customer</v>
      </c>
      <c r="L188" s="113">
        <f>IF(Table_5[[#This Row],[Country]]='For Manage'!$E$11,1,0)</f>
        <v>1</v>
      </c>
      <c r="M188" s="113"/>
      <c r="N188" s="82">
        <v>44291</v>
      </c>
      <c r="O188" s="68" t="str">
        <v>123 Industries</v>
      </c>
      <c r="P188" s="7" t="str">
        <v>USA</v>
      </c>
      <c r="Q188" s="7" t="str">
        <v>NA</v>
      </c>
      <c r="R188" s="7">
        <v>900000</v>
      </c>
      <c r="S188" s="7" t="str">
        <v>Machine Order</v>
      </c>
      <c r="T188" s="7" t="str">
        <v>Sarah Brown</v>
      </c>
      <c r="U188" s="7" t="str">
        <v>USD</v>
      </c>
      <c r="V188">
        <v>1</v>
      </c>
      <c r="W188" t="str">
        <v>Yes</v>
      </c>
      <c r="X188" t="str">
        <v>Existing Customer</v>
      </c>
      <c r="Y188">
        <v>1</v>
      </c>
    </row>
    <row r="189" spans="1:25" ht="15.6" x14ac:dyDescent="0.3">
      <c r="A189" s="80">
        <v>45166</v>
      </c>
      <c r="B189" s="2" t="s">
        <v>55</v>
      </c>
      <c r="C189" s="2" t="s">
        <v>49</v>
      </c>
      <c r="D189" s="2" t="s">
        <v>50</v>
      </c>
      <c r="E189" s="204">
        <v>750.9</v>
      </c>
      <c r="F189" s="2" t="s">
        <v>54</v>
      </c>
      <c r="G189" s="2" t="s">
        <v>3</v>
      </c>
      <c r="H189" s="2" t="s">
        <v>52</v>
      </c>
      <c r="I189" s="113">
        <f>IF(Table_5[[#This Row],[Sales Rep]]='For Manage'!$E$7,1,0)</f>
        <v>1</v>
      </c>
      <c r="J189" s="113" t="str">
        <f>IF(OR(Table_5[[#This Row],[Customer Name]]="ABC Manufacturing",Table_5[[#This Row],[Customer Name]]="123 Industries"), "Yes", "No")</f>
        <v>No</v>
      </c>
      <c r="K189" s="113" t="str">
        <f>IF(COUNTIFS(Table_5[Customer Name],B189, Table_5[Order Date], "&gt;="&amp;DATE(2021,1,1), Table_5[Order Date], "&lt;="&amp;DATE(2022,12,31))&gt;0, "Existing Customer", "New Customer")</f>
        <v>Existing Customer</v>
      </c>
      <c r="L189" s="113">
        <f>IF(Table_5[[#This Row],[Country]]='For Manage'!$E$11,1,0)</f>
        <v>1</v>
      </c>
      <c r="M189" s="113"/>
      <c r="N189" s="82">
        <v>44291</v>
      </c>
      <c r="O189" s="68" t="str">
        <v>Doe Industries</v>
      </c>
      <c r="P189" s="7" t="str">
        <v>USA</v>
      </c>
      <c r="Q189" s="7" t="str">
        <v>NA</v>
      </c>
      <c r="R189" s="7">
        <v>900.8</v>
      </c>
      <c r="S189" s="7" t="str">
        <v>Machine Order</v>
      </c>
      <c r="T189" s="7" t="str">
        <v>Sarah Brown</v>
      </c>
      <c r="U189" s="7" t="str">
        <v>USD</v>
      </c>
      <c r="V189">
        <v>1</v>
      </c>
      <c r="W189" t="str">
        <v>No</v>
      </c>
      <c r="X189" t="str">
        <v>Existing Customer</v>
      </c>
      <c r="Y189">
        <v>1</v>
      </c>
    </row>
    <row r="190" spans="1:25" ht="15.6" x14ac:dyDescent="0.3">
      <c r="A190" s="80">
        <v>45171</v>
      </c>
      <c r="B190" s="2" t="s">
        <v>148</v>
      </c>
      <c r="C190" s="2" t="s">
        <v>49</v>
      </c>
      <c r="D190" s="2" t="s">
        <v>50</v>
      </c>
      <c r="E190" s="204">
        <v>650.95000000000005</v>
      </c>
      <c r="F190" s="2" t="s">
        <v>56</v>
      </c>
      <c r="G190" s="2" t="s">
        <v>3</v>
      </c>
      <c r="H190" s="2" t="s">
        <v>52</v>
      </c>
      <c r="I190" s="113">
        <f>IF(Table_5[[#This Row],[Sales Rep]]='For Manage'!$E$7,1,0)</f>
        <v>1</v>
      </c>
      <c r="J190" s="113" t="str">
        <f>IF(OR(Table_5[[#This Row],[Customer Name]]="ABC Manufacturing",Table_5[[#This Row],[Customer Name]]="123 Industries"), "Yes", "No")</f>
        <v>No</v>
      </c>
      <c r="K190" s="113" t="str">
        <f>IF(COUNTIFS(Table_5[Customer Name],B190, Table_5[Order Date], "&gt;="&amp;DATE(2021,1,1), Table_5[Order Date], "&lt;="&amp;DATE(2022,12,31))&gt;0, "Existing Customer", "New Customer")</f>
        <v>Existing Customer</v>
      </c>
      <c r="L190" s="113">
        <f>IF(Table_5[[#This Row],[Country]]='For Manage'!$E$11,1,0)</f>
        <v>1</v>
      </c>
      <c r="M190" s="113"/>
      <c r="N190" s="82">
        <v>44291</v>
      </c>
      <c r="O190" s="68" t="str">
        <v>Jones Co.</v>
      </c>
      <c r="P190" s="7" t="str">
        <v>USA</v>
      </c>
      <c r="Q190" s="7" t="str">
        <v>NA</v>
      </c>
      <c r="R190" s="7">
        <v>9000</v>
      </c>
      <c r="S190" s="7" t="str">
        <v>Machine Order</v>
      </c>
      <c r="T190" s="7" t="str">
        <v>Sarah Brown</v>
      </c>
      <c r="U190" s="7" t="str">
        <v>USD</v>
      </c>
      <c r="V190">
        <v>1</v>
      </c>
      <c r="W190" t="str">
        <v>No</v>
      </c>
      <c r="X190" t="str">
        <v>Existing Customer</v>
      </c>
      <c r="Y190">
        <v>1</v>
      </c>
    </row>
    <row r="191" spans="1:25" ht="15.6" x14ac:dyDescent="0.3">
      <c r="A191" s="80">
        <v>45206</v>
      </c>
      <c r="B191" s="2" t="s">
        <v>149</v>
      </c>
      <c r="C191" s="2" t="s">
        <v>49</v>
      </c>
      <c r="D191" s="2" t="s">
        <v>50</v>
      </c>
      <c r="E191" s="204">
        <v>350.25</v>
      </c>
      <c r="F191" s="2" t="s">
        <v>51</v>
      </c>
      <c r="G191" s="2" t="s">
        <v>3</v>
      </c>
      <c r="H191" s="2" t="s">
        <v>52</v>
      </c>
      <c r="I191" s="113">
        <f>IF(Table_5[[#This Row],[Sales Rep]]='For Manage'!$E$7,1,0)</f>
        <v>1</v>
      </c>
      <c r="J191" s="113" t="str">
        <f>IF(OR(Table_5[[#This Row],[Customer Name]]="ABC Manufacturing",Table_5[[#This Row],[Customer Name]]="123 Industries"), "Yes", "No")</f>
        <v>No</v>
      </c>
      <c r="K191" s="113" t="str">
        <f>IF(COUNTIFS(Table_5[Customer Name],B191, Table_5[Order Date], "&gt;="&amp;DATE(2021,1,1), Table_5[Order Date], "&lt;="&amp;DATE(2022,12,31))&gt;0, "Existing Customer", "New Customer")</f>
        <v>Existing Customer</v>
      </c>
      <c r="L191" s="113">
        <f>IF(Table_5[[#This Row],[Country]]='For Manage'!$E$11,1,0)</f>
        <v>1</v>
      </c>
      <c r="M191" s="113"/>
      <c r="N191" s="82">
        <v>44291</v>
      </c>
      <c r="O191" s="68" t="str">
        <v>Jones Inc.</v>
      </c>
      <c r="P191" s="7" t="str">
        <v>USA</v>
      </c>
      <c r="Q191" s="7" t="str">
        <v>NA</v>
      </c>
      <c r="R191" s="7">
        <v>900.8</v>
      </c>
      <c r="S191" s="7" t="str">
        <v>Machine Order</v>
      </c>
      <c r="T191" s="7" t="str">
        <v>Sarah Brown</v>
      </c>
      <c r="U191" s="7" t="str">
        <v>USD</v>
      </c>
      <c r="V191">
        <v>1</v>
      </c>
      <c r="W191" t="str">
        <v>No</v>
      </c>
      <c r="X191" t="str">
        <v>Existing Customer</v>
      </c>
      <c r="Y191">
        <v>1</v>
      </c>
    </row>
    <row r="192" spans="1:25" ht="15.6" x14ac:dyDescent="0.3">
      <c r="A192" s="80">
        <v>45242</v>
      </c>
      <c r="B192" s="2" t="s">
        <v>150</v>
      </c>
      <c r="C192" s="2" t="s">
        <v>49</v>
      </c>
      <c r="D192" s="2" t="s">
        <v>50</v>
      </c>
      <c r="E192" s="204">
        <v>150.75</v>
      </c>
      <c r="F192" s="2" t="s">
        <v>54</v>
      </c>
      <c r="G192" s="2" t="s">
        <v>3</v>
      </c>
      <c r="H192" s="2" t="s">
        <v>52</v>
      </c>
      <c r="I192" s="113">
        <f>IF(Table_5[[#This Row],[Sales Rep]]='For Manage'!$E$7,1,0)</f>
        <v>1</v>
      </c>
      <c r="J192" s="113" t="str">
        <f>IF(OR(Table_5[[#This Row],[Customer Name]]="ABC Manufacturing",Table_5[[#This Row],[Customer Name]]="123 Industries"), "Yes", "No")</f>
        <v>No</v>
      </c>
      <c r="K192" s="113" t="str">
        <f>IF(COUNTIFS(Table_5[Customer Name],B192, Table_5[Order Date], "&gt;="&amp;DATE(2021,1,1), Table_5[Order Date], "&lt;="&amp;DATE(2022,12,31))&gt;0, "Existing Customer", "New Customer")</f>
        <v>Existing Customer</v>
      </c>
      <c r="L192" s="113">
        <f>IF(Table_5[[#This Row],[Country]]='For Manage'!$E$11,1,0)</f>
        <v>1</v>
      </c>
      <c r="M192" s="113"/>
      <c r="N192" s="82">
        <v>44291</v>
      </c>
      <c r="O192" s="68" t="str">
        <v>LMN Enterprises</v>
      </c>
      <c r="P192" s="7" t="str">
        <v>USA</v>
      </c>
      <c r="Q192" s="7" t="str">
        <v>NA</v>
      </c>
      <c r="R192" s="7">
        <v>900.8</v>
      </c>
      <c r="S192" s="7" t="str">
        <v>Machine Order</v>
      </c>
      <c r="T192" s="7" t="str">
        <v>Sarah Brown</v>
      </c>
      <c r="U192" s="7" t="str">
        <v>USD</v>
      </c>
      <c r="V192">
        <v>1</v>
      </c>
      <c r="W192" t="str">
        <v>No</v>
      </c>
      <c r="X192" t="str">
        <v>Existing Customer</v>
      </c>
      <c r="Y192">
        <v>1</v>
      </c>
    </row>
    <row r="193" spans="1:26" ht="15.6" x14ac:dyDescent="0.3">
      <c r="A193" s="80">
        <v>45277</v>
      </c>
      <c r="B193" s="2" t="s">
        <v>151</v>
      </c>
      <c r="C193" s="2" t="s">
        <v>49</v>
      </c>
      <c r="D193" s="2" t="s">
        <v>50</v>
      </c>
      <c r="E193" s="204">
        <v>850.65</v>
      </c>
      <c r="F193" s="2" t="s">
        <v>56</v>
      </c>
      <c r="G193" s="2" t="s">
        <v>3</v>
      </c>
      <c r="H193" s="2" t="s">
        <v>52</v>
      </c>
      <c r="I193" s="113">
        <f>IF(Table_5[[#This Row],[Sales Rep]]='For Manage'!$E$7,1,0)</f>
        <v>1</v>
      </c>
      <c r="J193" s="113" t="str">
        <f>IF(OR(Table_5[[#This Row],[Customer Name]]="ABC Manufacturing",Table_5[[#This Row],[Customer Name]]="123 Industries"), "Yes", "No")</f>
        <v>No</v>
      </c>
      <c r="K193" s="113" t="str">
        <f>IF(COUNTIFS(Table_5[Customer Name],B193, Table_5[Order Date], "&gt;="&amp;DATE(2021,1,1), Table_5[Order Date], "&lt;="&amp;DATE(2022,12,31))&gt;0, "Existing Customer", "New Customer")</f>
        <v>Existing Customer</v>
      </c>
      <c r="L193" s="113">
        <f>IF(Table_5[[#This Row],[Country]]='For Manage'!$E$11,1,0)</f>
        <v>1</v>
      </c>
      <c r="M193" s="113"/>
      <c r="N193" s="82">
        <v>44275</v>
      </c>
      <c r="O193" s="68" t="str">
        <v>LMN Enterprises</v>
      </c>
      <c r="P193" s="7" t="str">
        <v>USA</v>
      </c>
      <c r="Q193" s="7" t="str">
        <v>NA</v>
      </c>
      <c r="R193" s="7">
        <v>300000</v>
      </c>
      <c r="S193" s="7" t="str">
        <v>Service</v>
      </c>
      <c r="T193" s="7" t="str">
        <v>Sarah Brown</v>
      </c>
      <c r="U193" s="7" t="str">
        <v>USD</v>
      </c>
      <c r="V193">
        <v>1</v>
      </c>
      <c r="W193" t="str">
        <v>No</v>
      </c>
      <c r="X193" t="str">
        <v>Existing Customer</v>
      </c>
      <c r="Y193">
        <v>1</v>
      </c>
    </row>
    <row r="194" spans="1:26" ht="15.6" x14ac:dyDescent="0.3">
      <c r="A194" s="80">
        <v>44585</v>
      </c>
      <c r="B194" s="2" t="s">
        <v>152</v>
      </c>
      <c r="C194" s="2" t="s">
        <v>49</v>
      </c>
      <c r="D194" s="2" t="s">
        <v>50</v>
      </c>
      <c r="E194" s="204">
        <v>400</v>
      </c>
      <c r="F194" s="2" t="s">
        <v>51</v>
      </c>
      <c r="G194" s="2" t="s">
        <v>3</v>
      </c>
      <c r="H194" s="2" t="s">
        <v>52</v>
      </c>
      <c r="I194" s="113">
        <f>IF(Table_5[[#This Row],[Sales Rep]]='For Manage'!$E$7,1,0)</f>
        <v>1</v>
      </c>
      <c r="J194" s="113" t="str">
        <f>IF(OR(Table_5[[#This Row],[Customer Name]]="ABC Manufacturing",Table_5[[#This Row],[Customer Name]]="123 Industries"), "Yes", "No")</f>
        <v>No</v>
      </c>
      <c r="K194" s="113" t="str">
        <f>IF(COUNTIFS(Table_5[Customer Name],B194, Table_5[Order Date], "&gt;="&amp;DATE(2021,1,1), Table_5[Order Date], "&lt;="&amp;DATE(2022,12,31))&gt;0, "Existing Customer", "New Customer")</f>
        <v>Existing Customer</v>
      </c>
      <c r="L194" s="113">
        <f>IF(Table_5[[#This Row],[Country]]='For Manage'!$E$11,1,0)</f>
        <v>1</v>
      </c>
      <c r="M194" s="113"/>
      <c r="N194" s="82">
        <v>44275</v>
      </c>
      <c r="O194" s="68" t="str">
        <v>Smith Enterprises</v>
      </c>
      <c r="P194" s="7" t="str">
        <v>USA</v>
      </c>
      <c r="Q194" s="7" t="str">
        <v>NA</v>
      </c>
      <c r="R194" s="7">
        <v>300.25</v>
      </c>
      <c r="S194" s="7" t="str">
        <v>Service</v>
      </c>
      <c r="T194" s="7" t="str">
        <v>Sarah Brown</v>
      </c>
      <c r="U194" s="7" t="str">
        <v>USD</v>
      </c>
      <c r="V194">
        <v>1</v>
      </c>
      <c r="W194" t="str">
        <v>No</v>
      </c>
      <c r="X194" t="str">
        <v>Existing Customer</v>
      </c>
      <c r="Y194">
        <v>1</v>
      </c>
    </row>
    <row r="195" spans="1:26" ht="15.6" x14ac:dyDescent="0.3">
      <c r="A195" s="80">
        <v>44592</v>
      </c>
      <c r="B195" s="2" t="s">
        <v>153</v>
      </c>
      <c r="C195" s="2" t="s">
        <v>49</v>
      </c>
      <c r="D195" s="2" t="s">
        <v>50</v>
      </c>
      <c r="E195" s="204">
        <v>500</v>
      </c>
      <c r="F195" s="2" t="s">
        <v>54</v>
      </c>
      <c r="G195" s="2" t="s">
        <v>3</v>
      </c>
      <c r="H195" s="2" t="s">
        <v>52</v>
      </c>
      <c r="I195" s="113">
        <f>IF(Table_5[[#This Row],[Sales Rep]]='For Manage'!$E$7,1,0)</f>
        <v>1</v>
      </c>
      <c r="J195" s="113" t="str">
        <f>IF(OR(Table_5[[#This Row],[Customer Name]]="ABC Manufacturing",Table_5[[#This Row],[Customer Name]]="123 Industries"), "Yes", "No")</f>
        <v>No</v>
      </c>
      <c r="K195" s="113" t="str">
        <f>IF(COUNTIFS(Table_5[Customer Name],B195, Table_5[Order Date], "&gt;="&amp;DATE(2021,1,1), Table_5[Order Date], "&lt;="&amp;DATE(2022,12,31))&gt;0, "Existing Customer", "New Customer")</f>
        <v>Existing Customer</v>
      </c>
      <c r="L195" s="113">
        <f>IF(Table_5[[#This Row],[Country]]='For Manage'!$E$11,1,0)</f>
        <v>1</v>
      </c>
      <c r="M195" s="113"/>
      <c r="N195" s="82">
        <v>44275</v>
      </c>
      <c r="O195" s="68" t="str">
        <v>Roberts Enterprises</v>
      </c>
      <c r="P195" s="7" t="str">
        <v>USA</v>
      </c>
      <c r="Q195" s="7" t="str">
        <v>NA</v>
      </c>
      <c r="R195" s="7">
        <v>3000.5</v>
      </c>
      <c r="S195" s="7" t="str">
        <v>Service</v>
      </c>
      <c r="T195" s="7" t="str">
        <v>Sarah Brown</v>
      </c>
      <c r="U195" s="7" t="str">
        <v>USD</v>
      </c>
      <c r="V195">
        <v>1</v>
      </c>
      <c r="W195" t="str">
        <v>No</v>
      </c>
      <c r="X195" t="str">
        <v>Existing Customer</v>
      </c>
      <c r="Y195">
        <v>1</v>
      </c>
    </row>
    <row r="196" spans="1:26" ht="15.6" x14ac:dyDescent="0.3">
      <c r="A196" s="80">
        <v>44599</v>
      </c>
      <c r="B196" s="2" t="s">
        <v>154</v>
      </c>
      <c r="C196" s="2" t="s">
        <v>49</v>
      </c>
      <c r="D196" s="2" t="s">
        <v>50</v>
      </c>
      <c r="E196" s="204">
        <v>450</v>
      </c>
      <c r="F196" s="2" t="s">
        <v>56</v>
      </c>
      <c r="G196" s="2" t="s">
        <v>3</v>
      </c>
      <c r="H196" s="2" t="s">
        <v>52</v>
      </c>
      <c r="I196" s="113">
        <f>IF(Table_5[[#This Row],[Sales Rep]]='For Manage'!$E$7,1,0)</f>
        <v>1</v>
      </c>
      <c r="J196" s="113" t="str">
        <f>IF(OR(Table_5[[#This Row],[Customer Name]]="ABC Manufacturing",Table_5[[#This Row],[Customer Name]]="123 Industries"), "Yes", "No")</f>
        <v>No</v>
      </c>
      <c r="K196" s="113" t="str">
        <f>IF(COUNTIFS(Table_5[Customer Name],B196, Table_5[Order Date], "&gt;="&amp;DATE(2021,1,1), Table_5[Order Date], "&lt;="&amp;DATE(2022,12,31))&gt;0, "Existing Customer", "New Customer")</f>
        <v>Existing Customer</v>
      </c>
      <c r="L196" s="113">
        <f>IF(Table_5[[#This Row],[Country]]='For Manage'!$E$11,1,0)</f>
        <v>1</v>
      </c>
      <c r="M196" s="113"/>
      <c r="N196" s="82">
        <v>44275</v>
      </c>
      <c r="O196" s="68" t="str">
        <v>Doe Corporation</v>
      </c>
      <c r="P196" s="7" t="str">
        <v>USA</v>
      </c>
      <c r="Q196" s="7" t="str">
        <v>NA</v>
      </c>
      <c r="R196" s="7">
        <v>300.25</v>
      </c>
      <c r="S196" s="7" t="str">
        <v>Service</v>
      </c>
      <c r="T196" s="7" t="str">
        <v>Sarah Brown</v>
      </c>
      <c r="U196" s="7" t="str">
        <v>USD</v>
      </c>
      <c r="V196">
        <v>1</v>
      </c>
      <c r="W196" t="str">
        <v>No</v>
      </c>
      <c r="X196" t="str">
        <v>Existing Customer</v>
      </c>
      <c r="Y196">
        <v>1</v>
      </c>
    </row>
    <row r="197" spans="1:26" ht="15.6" x14ac:dyDescent="0.3">
      <c r="A197" s="80">
        <v>44606</v>
      </c>
      <c r="B197" s="2" t="s">
        <v>155</v>
      </c>
      <c r="C197" s="2" t="s">
        <v>49</v>
      </c>
      <c r="D197" s="2" t="s">
        <v>50</v>
      </c>
      <c r="E197" s="204">
        <v>600</v>
      </c>
      <c r="F197" s="2" t="s">
        <v>51</v>
      </c>
      <c r="G197" s="2" t="s">
        <v>3</v>
      </c>
      <c r="H197" s="2" t="s">
        <v>52</v>
      </c>
      <c r="I197" s="113">
        <f>IF(Table_5[[#This Row],[Sales Rep]]='For Manage'!$E$7,1,0)</f>
        <v>1</v>
      </c>
      <c r="J197" s="113" t="str">
        <f>IF(OR(Table_5[[#This Row],[Customer Name]]="ABC Manufacturing",Table_5[[#This Row],[Customer Name]]="123 Industries"), "Yes", "No")</f>
        <v>No</v>
      </c>
      <c r="K197" s="113" t="str">
        <f>IF(COUNTIFS(Table_5[Customer Name],B197, Table_5[Order Date], "&gt;="&amp;DATE(2021,1,1), Table_5[Order Date], "&lt;="&amp;DATE(2022,12,31))&gt;0, "Existing Customer", "New Customer")</f>
        <v>Existing Customer</v>
      </c>
      <c r="L197" s="113">
        <f>IF(Table_5[[#This Row],[Country]]='For Manage'!$E$11,1,0)</f>
        <v>1</v>
      </c>
      <c r="M197" s="113"/>
      <c r="N197" s="82">
        <v>44275</v>
      </c>
      <c r="O197" s="68" t="str">
        <v>DEF Industries</v>
      </c>
      <c r="P197" s="7" t="str">
        <v>USA</v>
      </c>
      <c r="Q197" s="7" t="str">
        <v>NA</v>
      </c>
      <c r="R197" s="7">
        <v>3000.75</v>
      </c>
      <c r="S197" s="7" t="str">
        <v>Service</v>
      </c>
      <c r="T197" s="7" t="str">
        <v>Sarah Brown</v>
      </c>
      <c r="U197" s="7" t="str">
        <v>USD</v>
      </c>
      <c r="V197">
        <v>1</v>
      </c>
      <c r="W197" t="str">
        <v>No</v>
      </c>
      <c r="X197" t="str">
        <v>Existing Customer</v>
      </c>
      <c r="Y197">
        <v>1</v>
      </c>
    </row>
    <row r="198" spans="1:26" ht="15.6" x14ac:dyDescent="0.3">
      <c r="A198" s="80">
        <v>44613</v>
      </c>
      <c r="B198" s="2" t="s">
        <v>156</v>
      </c>
      <c r="C198" s="2" t="s">
        <v>49</v>
      </c>
      <c r="D198" s="2" t="s">
        <v>50</v>
      </c>
      <c r="E198" s="204">
        <v>550</v>
      </c>
      <c r="F198" s="2" t="s">
        <v>51</v>
      </c>
      <c r="G198" s="2" t="s">
        <v>3</v>
      </c>
      <c r="H198" s="2" t="s">
        <v>52</v>
      </c>
      <c r="I198" s="113">
        <f>IF(Table_5[[#This Row],[Sales Rep]]='For Manage'!$E$7,1,0)</f>
        <v>1</v>
      </c>
      <c r="J198" s="113" t="str">
        <f>IF(OR(Table_5[[#This Row],[Customer Name]]="ABC Manufacturing",Table_5[[#This Row],[Customer Name]]="123 Industries"), "Yes", "No")</f>
        <v>No</v>
      </c>
      <c r="K198" s="113" t="str">
        <f>IF(COUNTIFS(Table_5[Customer Name],B198, Table_5[Order Date], "&gt;="&amp;DATE(2021,1,1), Table_5[Order Date], "&lt;="&amp;DATE(2022,12,31))&gt;0, "Existing Customer", "New Customer")</f>
        <v>Existing Customer</v>
      </c>
      <c r="L198" s="113">
        <f>IF(Table_5[[#This Row],[Country]]='For Manage'!$E$11,1,0)</f>
        <v>1</v>
      </c>
      <c r="M198" s="171"/>
      <c r="N198" s="81">
        <v>44242</v>
      </c>
      <c r="O198" s="73" t="str">
        <v>XYZ Corporation</v>
      </c>
      <c r="P198" s="74" t="str">
        <v>USA</v>
      </c>
      <c r="Q198" s="74" t="str">
        <v>NA</v>
      </c>
      <c r="R198" s="74">
        <v>700000</v>
      </c>
      <c r="S198" s="78" t="str">
        <v>Normal Order</v>
      </c>
      <c r="T198" s="74" t="str">
        <v>Sarah Brown</v>
      </c>
      <c r="U198" s="74" t="str">
        <v>USD</v>
      </c>
      <c r="V198" s="71">
        <v>1</v>
      </c>
      <c r="W198" s="71" t="str">
        <v>No</v>
      </c>
      <c r="X198" s="71" t="str">
        <v>Existing Customer</v>
      </c>
      <c r="Y198" s="71">
        <v>1</v>
      </c>
    </row>
    <row r="199" spans="1:26" ht="15.6" x14ac:dyDescent="0.3">
      <c r="A199" s="80">
        <v>44620</v>
      </c>
      <c r="B199" s="2" t="s">
        <v>157</v>
      </c>
      <c r="C199" s="2" t="s">
        <v>49</v>
      </c>
      <c r="D199" s="2" t="s">
        <v>50</v>
      </c>
      <c r="E199" s="204">
        <v>700</v>
      </c>
      <c r="F199" s="2" t="s">
        <v>51</v>
      </c>
      <c r="G199" s="2" t="s">
        <v>3</v>
      </c>
      <c r="H199" s="2" t="s">
        <v>52</v>
      </c>
      <c r="I199" s="113">
        <f>IF(Table_5[[#This Row],[Sales Rep]]='For Manage'!$E$7,1,0)</f>
        <v>1</v>
      </c>
      <c r="J199" s="113" t="str">
        <f>IF(OR(Table_5[[#This Row],[Customer Name]]="ABC Manufacturing",Table_5[[#This Row],[Customer Name]]="123 Industries"), "Yes", "No")</f>
        <v>No</v>
      </c>
      <c r="K199" s="113" t="str">
        <f>IF(COUNTIFS(Table_5[Customer Name],B199, Table_5[Order Date], "&gt;="&amp;DATE(2021,1,1), Table_5[Order Date], "&lt;="&amp;DATE(2022,12,31))&gt;0, "Existing Customer", "New Customer")</f>
        <v>Existing Customer</v>
      </c>
      <c r="L199" s="113">
        <f>IF(Table_5[[#This Row],[Country]]='For Manage'!$E$11,1,0)</f>
        <v>1</v>
      </c>
      <c r="M199" s="171"/>
      <c r="N199" s="81">
        <v>44242</v>
      </c>
      <c r="O199" s="73" t="str">
        <v>XYZ Corporation</v>
      </c>
      <c r="P199" s="74" t="str">
        <v>USA</v>
      </c>
      <c r="Q199" s="74" t="str">
        <v>NA</v>
      </c>
      <c r="R199" s="74">
        <v>700.75</v>
      </c>
      <c r="S199" s="75" t="str">
        <v>Normal Order</v>
      </c>
      <c r="T199" s="74" t="str">
        <v>Sarah Brown</v>
      </c>
      <c r="U199" s="74" t="str">
        <v>USD</v>
      </c>
      <c r="V199" s="71">
        <v>1</v>
      </c>
      <c r="W199" s="71" t="str">
        <v>No</v>
      </c>
      <c r="X199" s="71" t="str">
        <v>Existing Customer</v>
      </c>
      <c r="Y199" s="71">
        <v>1</v>
      </c>
    </row>
    <row r="200" spans="1:26" ht="15.6" x14ac:dyDescent="0.3">
      <c r="A200" s="80">
        <v>44627</v>
      </c>
      <c r="B200" s="2" t="s">
        <v>48</v>
      </c>
      <c r="C200" s="2" t="s">
        <v>49</v>
      </c>
      <c r="D200" s="2" t="s">
        <v>50</v>
      </c>
      <c r="E200" s="204">
        <v>650</v>
      </c>
      <c r="F200" s="2" t="s">
        <v>51</v>
      </c>
      <c r="G200" s="2" t="s">
        <v>3</v>
      </c>
      <c r="H200" s="2" t="s">
        <v>52</v>
      </c>
      <c r="I200" s="113">
        <f>IF(Table_5[[#This Row],[Sales Rep]]='For Manage'!$E$7,1,0)</f>
        <v>1</v>
      </c>
      <c r="J200" s="113" t="str">
        <f>IF(OR(Table_5[[#This Row],[Customer Name]]="ABC Manufacturing",Table_5[[#This Row],[Customer Name]]="123 Industries"), "Yes", "No")</f>
        <v>Yes</v>
      </c>
      <c r="K200" s="113" t="str">
        <f>IF(COUNTIFS(Table_5[Customer Name],B200, Table_5[Order Date], "&gt;="&amp;DATE(2021,1,1), Table_5[Order Date], "&lt;="&amp;DATE(2022,12,31))&gt;0, "Existing Customer", "New Customer")</f>
        <v>Existing Customer</v>
      </c>
      <c r="L200" s="113">
        <f>IF(Table_5[[#This Row],[Country]]='For Manage'!$E$11,1,0)</f>
        <v>1</v>
      </c>
      <c r="M200" s="171"/>
      <c r="N200" s="81">
        <v>44242</v>
      </c>
      <c r="O200" s="73" t="str">
        <v>Doe Corporation</v>
      </c>
      <c r="P200" s="74" t="str">
        <v>USA</v>
      </c>
      <c r="Q200" s="74" t="str">
        <v>NA</v>
      </c>
      <c r="R200" s="74">
        <v>7000.75</v>
      </c>
      <c r="S200" s="75" t="str">
        <v>Normal Order</v>
      </c>
      <c r="T200" s="74" t="str">
        <v>Sarah Brown</v>
      </c>
      <c r="U200" s="74" t="str">
        <v>USD</v>
      </c>
      <c r="V200" s="71">
        <v>1</v>
      </c>
      <c r="W200" s="71" t="str">
        <v>No</v>
      </c>
      <c r="X200" s="71" t="str">
        <v>Existing Customer</v>
      </c>
      <c r="Y200" s="71">
        <v>1</v>
      </c>
    </row>
    <row r="201" spans="1:26" ht="15.6" x14ac:dyDescent="0.3">
      <c r="A201" s="80">
        <v>44634</v>
      </c>
      <c r="B201" s="2" t="s">
        <v>53</v>
      </c>
      <c r="C201" s="2" t="s">
        <v>49</v>
      </c>
      <c r="D201" s="2" t="s">
        <v>50</v>
      </c>
      <c r="E201" s="204">
        <v>800</v>
      </c>
      <c r="F201" s="2" t="s">
        <v>51</v>
      </c>
      <c r="G201" s="2" t="s">
        <v>3</v>
      </c>
      <c r="H201" s="2" t="s">
        <v>52</v>
      </c>
      <c r="I201" s="113">
        <f>IF(Table_5[[#This Row],[Sales Rep]]='For Manage'!$E$7,1,0)</f>
        <v>1</v>
      </c>
      <c r="J201" s="113" t="str">
        <f>IF(OR(Table_5[[#This Row],[Customer Name]]="ABC Manufacturing",Table_5[[#This Row],[Customer Name]]="123 Industries"), "Yes", "No")</f>
        <v>No</v>
      </c>
      <c r="K201" s="113" t="str">
        <f>IF(COUNTIFS(Table_5[Customer Name],B201, Table_5[Order Date], "&gt;="&amp;DATE(2021,1,1), Table_5[Order Date], "&lt;="&amp;DATE(2022,12,31))&gt;0, "Existing Customer", "New Customer")</f>
        <v>Existing Customer</v>
      </c>
      <c r="L201" s="113">
        <f>IF(Table_5[[#This Row],[Country]]='For Manage'!$E$11,1,0)</f>
        <v>1</v>
      </c>
      <c r="M201" s="171"/>
      <c r="N201" s="81">
        <v>44242</v>
      </c>
      <c r="O201" s="73" t="str">
        <v>Smith Enterprises</v>
      </c>
      <c r="P201" s="74" t="str">
        <v>USA</v>
      </c>
      <c r="Q201" s="74" t="str">
        <v>NA</v>
      </c>
      <c r="R201" s="74">
        <v>700.75</v>
      </c>
      <c r="S201" s="75" t="str">
        <v>Normal Order</v>
      </c>
      <c r="T201" s="74" t="str">
        <v>Sarah Brown</v>
      </c>
      <c r="U201" s="74" t="str">
        <v>USD</v>
      </c>
      <c r="V201" s="71">
        <v>1</v>
      </c>
      <c r="W201" s="71" t="str">
        <v>No</v>
      </c>
      <c r="X201" s="71" t="str">
        <v>Existing Customer</v>
      </c>
      <c r="Y201" s="71">
        <v>1</v>
      </c>
    </row>
    <row r="202" spans="1:26" ht="15.6" x14ac:dyDescent="0.3">
      <c r="A202" s="80">
        <v>44641</v>
      </c>
      <c r="B202" s="2" t="s">
        <v>147</v>
      </c>
      <c r="C202" s="2" t="s">
        <v>49</v>
      </c>
      <c r="D202" s="2" t="s">
        <v>50</v>
      </c>
      <c r="E202" s="204">
        <v>750</v>
      </c>
      <c r="F202" s="2" t="s">
        <v>51</v>
      </c>
      <c r="G202" s="2" t="s">
        <v>3</v>
      </c>
      <c r="H202" s="2" t="s">
        <v>52</v>
      </c>
      <c r="I202" s="113">
        <f>IF(Table_5[[#This Row],[Sales Rep]]='For Manage'!$E$7,1,0)</f>
        <v>1</v>
      </c>
      <c r="J202" s="113" t="str">
        <f>IF(OR(Table_5[[#This Row],[Customer Name]]="ABC Manufacturing",Table_5[[#This Row],[Customer Name]]="123 Industries"), "Yes", "No")</f>
        <v>No</v>
      </c>
      <c r="K202" s="113" t="str">
        <f>IF(COUNTIFS(Table_5[Customer Name],B202, Table_5[Order Date], "&gt;="&amp;DATE(2021,1,1), Table_5[Order Date], "&lt;="&amp;DATE(2022,12,31))&gt;0, "Existing Customer", "New Customer")</f>
        <v>Existing Customer</v>
      </c>
      <c r="L202" s="113">
        <f>IF(Table_5[[#This Row],[Country]]='For Manage'!$E$11,1,0)</f>
        <v>1</v>
      </c>
      <c r="M202" s="171"/>
      <c r="N202" s="81">
        <v>44242</v>
      </c>
      <c r="O202" s="73" t="str">
        <v>XYZ Corporation</v>
      </c>
      <c r="P202" s="74" t="str">
        <v>USA</v>
      </c>
      <c r="Q202" s="74" t="str">
        <v>NA</v>
      </c>
      <c r="R202" s="74">
        <v>700.5</v>
      </c>
      <c r="S202" s="75" t="str">
        <v>Normal Order</v>
      </c>
      <c r="T202" s="74" t="str">
        <v>Sarah Brown</v>
      </c>
      <c r="U202" s="74" t="str">
        <v>USD</v>
      </c>
      <c r="V202" s="71">
        <v>1</v>
      </c>
      <c r="W202" s="71" t="str">
        <v>No</v>
      </c>
      <c r="X202" s="71" t="str">
        <v>Existing Customer</v>
      </c>
      <c r="Y202" s="71">
        <v>1</v>
      </c>
    </row>
    <row r="203" spans="1:26" ht="15.6" x14ac:dyDescent="0.3">
      <c r="A203" s="80">
        <v>44648</v>
      </c>
      <c r="B203" s="2" t="s">
        <v>55</v>
      </c>
      <c r="C203" s="2" t="s">
        <v>49</v>
      </c>
      <c r="D203" s="2" t="s">
        <v>50</v>
      </c>
      <c r="E203" s="204">
        <v>900</v>
      </c>
      <c r="F203" s="2" t="s">
        <v>51</v>
      </c>
      <c r="G203" s="2" t="s">
        <v>3</v>
      </c>
      <c r="H203" s="2" t="s">
        <v>52</v>
      </c>
      <c r="I203" s="113">
        <f>IF(Table_5[[#This Row],[Sales Rep]]='For Manage'!$E$7,1,0)</f>
        <v>1</v>
      </c>
      <c r="J203" s="113" t="str">
        <f>IF(OR(Table_5[[#This Row],[Customer Name]]="ABC Manufacturing",Table_5[[#This Row],[Customer Name]]="123 Industries"), "Yes", "No")</f>
        <v>No</v>
      </c>
      <c r="K203" s="113" t="str">
        <f>IF(COUNTIFS(Table_5[Customer Name],B203, Table_5[Order Date], "&gt;="&amp;DATE(2021,1,1), Table_5[Order Date], "&lt;="&amp;DATE(2022,12,31))&gt;0, "Existing Customer", "New Customer")</f>
        <v>Existing Customer</v>
      </c>
      <c r="L203" s="113">
        <f>IF(Table_5[[#This Row],[Country]]='For Manage'!$E$11,1,0)</f>
        <v>1</v>
      </c>
      <c r="M203" s="171"/>
      <c r="N203" s="81">
        <v>44206</v>
      </c>
      <c r="O203" s="73" t="str">
        <v>ABC Manufacturing</v>
      </c>
      <c r="P203" s="74" t="str">
        <v>USA</v>
      </c>
      <c r="Q203" s="74" t="str">
        <v>NA</v>
      </c>
      <c r="R203" s="74">
        <v>500000</v>
      </c>
      <c r="S203" s="75" t="str">
        <v>Machine Order</v>
      </c>
      <c r="T203" s="74" t="str">
        <v>Sarah Brown</v>
      </c>
      <c r="U203" s="74" t="str">
        <v>USD</v>
      </c>
      <c r="V203" s="71">
        <v>1</v>
      </c>
      <c r="W203" s="71" t="str">
        <v>Yes</v>
      </c>
      <c r="X203" s="71" t="str">
        <v>Existing Customer</v>
      </c>
      <c r="Y203" s="71">
        <v>1</v>
      </c>
    </row>
    <row r="204" spans="1:26" ht="15.6" x14ac:dyDescent="0.3">
      <c r="A204" s="80">
        <v>44655</v>
      </c>
      <c r="B204" s="2" t="s">
        <v>148</v>
      </c>
      <c r="C204" s="2" t="s">
        <v>49</v>
      </c>
      <c r="D204" s="2" t="s">
        <v>50</v>
      </c>
      <c r="E204" s="204">
        <v>850</v>
      </c>
      <c r="F204" s="2" t="s">
        <v>51</v>
      </c>
      <c r="G204" s="2" t="s">
        <v>3</v>
      </c>
      <c r="H204" s="2" t="s">
        <v>52</v>
      </c>
      <c r="I204" s="113">
        <f>IF(Table_5[[#This Row],[Sales Rep]]='For Manage'!$E$7,1,0)</f>
        <v>1</v>
      </c>
      <c r="J204" s="113" t="str">
        <f>IF(OR(Table_5[[#This Row],[Customer Name]]="ABC Manufacturing",Table_5[[#This Row],[Customer Name]]="123 Industries"), "Yes", "No")</f>
        <v>No</v>
      </c>
      <c r="K204" s="113" t="str">
        <f>IF(COUNTIFS(Table_5[Customer Name],B204, Table_5[Order Date], "&gt;="&amp;DATE(2021,1,1), Table_5[Order Date], "&lt;="&amp;DATE(2022,12,31))&gt;0, "Existing Customer", "New Customer")</f>
        <v>Existing Customer</v>
      </c>
      <c r="L204" s="113">
        <f>IF(Table_5[[#This Row],[Country]]='For Manage'!$E$11,1,0)</f>
        <v>1</v>
      </c>
      <c r="M204" s="171"/>
      <c r="N204" s="81">
        <v>44206</v>
      </c>
      <c r="O204" s="73" t="str">
        <v>ABC Manufacturing</v>
      </c>
      <c r="P204" s="74" t="str">
        <v>USA</v>
      </c>
      <c r="Q204" s="74" t="str">
        <v>NA</v>
      </c>
      <c r="R204" s="74">
        <v>500500</v>
      </c>
      <c r="S204" s="75" t="str">
        <v>Machine Order</v>
      </c>
      <c r="T204" s="74" t="str">
        <v>Sarah Brown</v>
      </c>
      <c r="U204" s="74" t="str">
        <v>USD</v>
      </c>
      <c r="V204" s="71">
        <v>1</v>
      </c>
      <c r="W204" s="71" t="str">
        <v>Yes</v>
      </c>
      <c r="X204" s="71" t="str">
        <v>Existing Customer</v>
      </c>
      <c r="Y204" s="71">
        <v>1</v>
      </c>
    </row>
    <row r="205" spans="1:26" ht="15.6" x14ac:dyDescent="0.3">
      <c r="A205" s="80">
        <v>44669</v>
      </c>
      <c r="B205" s="2" t="s">
        <v>150</v>
      </c>
      <c r="C205" s="2" t="s">
        <v>49</v>
      </c>
      <c r="D205" s="2" t="s">
        <v>50</v>
      </c>
      <c r="E205" s="204">
        <v>950</v>
      </c>
      <c r="F205" s="2" t="s">
        <v>51</v>
      </c>
      <c r="G205" s="2" t="s">
        <v>3</v>
      </c>
      <c r="H205" s="2" t="s">
        <v>52</v>
      </c>
      <c r="I205" s="113">
        <f>IF(Table_5[[#This Row],[Sales Rep]]='For Manage'!$E$7,1,0)</f>
        <v>1</v>
      </c>
      <c r="J205" s="113" t="str">
        <f>IF(OR(Table_5[[#This Row],[Customer Name]]="ABC Manufacturing",Table_5[[#This Row],[Customer Name]]="123 Industries"), "Yes", "No")</f>
        <v>No</v>
      </c>
      <c r="K205" s="113" t="str">
        <f>IF(COUNTIFS(Table_5[Customer Name],B205, Table_5[Order Date], "&gt;="&amp;DATE(2021,1,1), Table_5[Order Date], "&lt;="&amp;DATE(2022,12,31))&gt;0, "Existing Customer", "New Customer")</f>
        <v>Existing Customer</v>
      </c>
      <c r="L205" s="113">
        <f>IF(Table_5[[#This Row],[Country]]='For Manage'!$E$11,1,0)</f>
        <v>1</v>
      </c>
      <c r="M205" s="171"/>
      <c r="N205" s="81">
        <v>44206</v>
      </c>
      <c r="O205" s="73" t="str">
        <v>Johnson Industries</v>
      </c>
      <c r="P205" s="74" t="str">
        <v>USA</v>
      </c>
      <c r="Q205" s="74" t="str">
        <v>NA</v>
      </c>
      <c r="R205" s="74">
        <v>5000.25</v>
      </c>
      <c r="S205" s="75" t="str">
        <v>Machine Order</v>
      </c>
      <c r="T205" s="74" t="str">
        <v>Sarah Brown</v>
      </c>
      <c r="U205" s="74" t="str">
        <v>USD</v>
      </c>
      <c r="V205" s="71">
        <v>1</v>
      </c>
      <c r="W205" s="71" t="str">
        <v>No</v>
      </c>
      <c r="X205" s="71" t="str">
        <v>Existing Customer</v>
      </c>
      <c r="Y205" s="71">
        <v>1</v>
      </c>
    </row>
    <row r="206" spans="1:26" ht="15" customHeight="1" x14ac:dyDescent="0.3">
      <c r="M206" s="171"/>
      <c r="N206" s="81">
        <v>44206</v>
      </c>
      <c r="O206" s="73" t="str">
        <v>Johnson &amp; Sons</v>
      </c>
      <c r="P206" s="74" t="str">
        <v>USA</v>
      </c>
      <c r="Q206" s="74" t="str">
        <v>NA</v>
      </c>
      <c r="R206" s="74">
        <v>500.5</v>
      </c>
      <c r="S206" s="75" t="str">
        <v>Machine Order</v>
      </c>
      <c r="T206" s="74" t="str">
        <v>Sarah Brown</v>
      </c>
      <c r="U206" s="74" t="str">
        <v>USD</v>
      </c>
      <c r="V206" s="71">
        <v>1</v>
      </c>
      <c r="W206" s="71" t="str">
        <v>No</v>
      </c>
      <c r="X206" s="71" t="str">
        <v>Existing Customer</v>
      </c>
      <c r="Y206" s="71">
        <v>1</v>
      </c>
    </row>
    <row r="207" spans="1:26" s="69" customFormat="1" ht="15.6" x14ac:dyDescent="0.3">
      <c r="A207"/>
      <c r="B207"/>
      <c r="C207"/>
      <c r="D207"/>
      <c r="E207"/>
      <c r="F207"/>
      <c r="G207"/>
      <c r="H207"/>
      <c r="I207"/>
      <c r="J207"/>
      <c r="K207"/>
      <c r="L207"/>
      <c r="M207" s="171"/>
      <c r="N207" s="81">
        <v>44206</v>
      </c>
      <c r="O207" s="73" t="str">
        <v>ABC Manufacturing</v>
      </c>
      <c r="P207" s="74" t="str">
        <v>USA</v>
      </c>
      <c r="Q207" s="74" t="str">
        <v>NA</v>
      </c>
      <c r="R207" s="74">
        <v>500.25</v>
      </c>
      <c r="S207" s="75" t="str">
        <v>Machine Order</v>
      </c>
      <c r="T207" s="74" t="str">
        <v>Sarah Brown</v>
      </c>
      <c r="U207" s="74" t="str">
        <v>USD</v>
      </c>
      <c r="V207" s="71">
        <v>1</v>
      </c>
      <c r="W207" s="71" t="str">
        <v>Yes</v>
      </c>
      <c r="X207" s="71" t="str">
        <v>Existing Customer</v>
      </c>
      <c r="Y207" s="71">
        <v>1</v>
      </c>
      <c r="Z207" s="54"/>
    </row>
    <row r="208" spans="1:26" s="69" customFormat="1" ht="15.6" x14ac:dyDescent="0.3">
      <c r="A208"/>
      <c r="B208"/>
      <c r="C208"/>
      <c r="D208"/>
      <c r="E208"/>
      <c r="F208"/>
      <c r="G208"/>
      <c r="H208"/>
      <c r="I208"/>
      <c r="J208"/>
      <c r="K208"/>
      <c r="L208"/>
      <c r="M208" s="171"/>
      <c r="N208" s="81"/>
      <c r="O208" s="73"/>
      <c r="P208" s="74"/>
      <c r="Q208" s="74"/>
      <c r="R208" s="74"/>
      <c r="S208" s="75"/>
      <c r="T208" s="74"/>
      <c r="U208" s="74"/>
      <c r="V208" s="71"/>
      <c r="W208" s="71"/>
      <c r="X208" s="71"/>
      <c r="Y208" s="71"/>
      <c r="Z208" s="54"/>
    </row>
    <row r="209" spans="1:26" s="69" customFormat="1" ht="15.6" x14ac:dyDescent="0.3">
      <c r="A209"/>
      <c r="B209"/>
      <c r="C209"/>
      <c r="D209"/>
      <c r="E209"/>
      <c r="F209"/>
      <c r="G209"/>
      <c r="H209"/>
      <c r="I209"/>
      <c r="J209"/>
      <c r="K209"/>
      <c r="L209"/>
      <c r="M209" s="171"/>
      <c r="N209" s="81"/>
      <c r="O209" s="73"/>
      <c r="P209" s="74"/>
      <c r="Q209" s="74"/>
      <c r="R209" s="74"/>
      <c r="S209" s="75"/>
      <c r="T209" s="74"/>
      <c r="U209" s="74"/>
      <c r="V209" s="71"/>
      <c r="W209" s="71"/>
      <c r="X209" s="71"/>
      <c r="Y209" s="71"/>
      <c r="Z209" s="54"/>
    </row>
    <row r="210" spans="1:26" s="69" customFormat="1" ht="15.6" x14ac:dyDescent="0.3">
      <c r="A210"/>
      <c r="B210"/>
      <c r="C210"/>
      <c r="D210"/>
      <c r="E210"/>
      <c r="F210"/>
      <c r="G210"/>
      <c r="H210"/>
      <c r="I210"/>
      <c r="J210"/>
      <c r="K210"/>
      <c r="L210"/>
      <c r="M210" s="171"/>
      <c r="N210" s="81"/>
      <c r="O210" s="73"/>
      <c r="P210" s="74"/>
      <c r="Q210" s="74"/>
      <c r="R210" s="74"/>
      <c r="S210" s="75"/>
      <c r="T210" s="74"/>
      <c r="U210" s="74"/>
      <c r="V210" s="71"/>
      <c r="W210" s="71"/>
      <c r="X210" s="71"/>
      <c r="Y210" s="71"/>
      <c r="Z210" s="54"/>
    </row>
    <row r="211" spans="1:26" s="69" customFormat="1" ht="15.6" x14ac:dyDescent="0.3">
      <c r="A211"/>
      <c r="B211"/>
      <c r="C211"/>
      <c r="D211"/>
      <c r="E211"/>
      <c r="F211"/>
      <c r="G211"/>
      <c r="H211"/>
      <c r="I211"/>
      <c r="J211"/>
      <c r="K211"/>
      <c r="L211"/>
      <c r="M211" s="171"/>
      <c r="N211" s="81"/>
      <c r="O211" s="72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54"/>
    </row>
    <row r="212" spans="1:26" s="69" customFormat="1" ht="15.6" x14ac:dyDescent="0.3">
      <c r="A212"/>
      <c r="B212"/>
      <c r="C212"/>
      <c r="D212"/>
      <c r="E212"/>
      <c r="F212"/>
      <c r="G212"/>
      <c r="H212"/>
      <c r="I212"/>
      <c r="J212"/>
      <c r="K212"/>
      <c r="L212"/>
      <c r="M212" s="171"/>
      <c r="N212" s="81"/>
      <c r="O212" s="72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54"/>
    </row>
    <row r="213" spans="1:26" s="69" customFormat="1" ht="15.6" x14ac:dyDescent="0.3">
      <c r="A213"/>
      <c r="B213"/>
      <c r="C213"/>
      <c r="D213"/>
      <c r="E213"/>
      <c r="F213"/>
      <c r="G213"/>
      <c r="H213"/>
      <c r="I213"/>
      <c r="J213"/>
      <c r="K213"/>
      <c r="L213"/>
      <c r="M213" s="171"/>
      <c r="N213" s="81"/>
      <c r="O213" s="72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54"/>
    </row>
    <row r="214" spans="1:26" s="69" customFormat="1" ht="15.6" x14ac:dyDescent="0.3">
      <c r="A214"/>
      <c r="B214"/>
      <c r="C214"/>
      <c r="D214"/>
      <c r="E214"/>
      <c r="F214"/>
      <c r="G214"/>
      <c r="H214"/>
      <c r="I214"/>
      <c r="J214"/>
      <c r="K214"/>
      <c r="L214"/>
      <c r="M214" s="171"/>
      <c r="N214" s="81"/>
      <c r="O214" s="72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54"/>
    </row>
    <row r="215" spans="1:26" s="69" customFormat="1" ht="15.6" x14ac:dyDescent="0.3">
      <c r="A215"/>
      <c r="B215"/>
      <c r="C215"/>
      <c r="D215"/>
      <c r="E215"/>
      <c r="F215"/>
      <c r="G215"/>
      <c r="H215"/>
      <c r="I215"/>
      <c r="J215"/>
      <c r="K215"/>
      <c r="L215"/>
      <c r="M215" s="171"/>
      <c r="N215" s="81"/>
      <c r="O215" s="72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54"/>
    </row>
    <row r="216" spans="1:26" s="69" customFormat="1" ht="15.6" x14ac:dyDescent="0.3">
      <c r="A216"/>
      <c r="B216"/>
      <c r="C216"/>
      <c r="D216"/>
      <c r="E216"/>
      <c r="F216"/>
      <c r="G216"/>
      <c r="H216"/>
      <c r="I216"/>
      <c r="J216"/>
      <c r="K216"/>
      <c r="L216"/>
      <c r="M216" s="171"/>
      <c r="N216" s="81"/>
      <c r="O216" s="72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54"/>
    </row>
    <row r="217" spans="1:26" s="69" customFormat="1" ht="15.6" x14ac:dyDescent="0.3">
      <c r="A217"/>
      <c r="B217"/>
      <c r="C217"/>
      <c r="D217"/>
      <c r="E217"/>
      <c r="F217"/>
      <c r="G217"/>
      <c r="H217"/>
      <c r="I217"/>
      <c r="J217"/>
      <c r="K217"/>
      <c r="L217"/>
      <c r="M217" s="171"/>
      <c r="N217" s="81"/>
      <c r="O217" s="72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54"/>
    </row>
    <row r="218" spans="1:26" ht="15" customHeight="1" x14ac:dyDescent="0.3">
      <c r="M218" s="71"/>
      <c r="N218" s="81"/>
      <c r="O218" s="72"/>
      <c r="P218" s="71"/>
      <c r="Q218" s="71"/>
      <c r="R218" s="71"/>
      <c r="S218" s="71"/>
      <c r="T218" s="71"/>
      <c r="U218" s="71"/>
      <c r="V218" s="71"/>
      <c r="W218" s="71"/>
      <c r="X218" s="71"/>
      <c r="Y218" s="71"/>
    </row>
    <row r="219" spans="1:26" ht="15" customHeight="1" x14ac:dyDescent="0.3">
      <c r="M219" s="71"/>
      <c r="N219" s="81"/>
      <c r="O219" s="72"/>
      <c r="P219" s="71"/>
      <c r="Q219" s="71"/>
      <c r="R219" s="71"/>
      <c r="S219" s="71"/>
      <c r="T219" s="71"/>
      <c r="U219" s="71"/>
      <c r="V219" s="71"/>
      <c r="W219" s="71"/>
      <c r="X219" s="71"/>
      <c r="Y219" s="71"/>
    </row>
    <row r="220" spans="1:26" ht="15" customHeight="1" x14ac:dyDescent="0.3">
      <c r="M220" s="71"/>
      <c r="N220" s="81"/>
      <c r="O220" s="72"/>
      <c r="P220" s="71"/>
      <c r="Q220" s="71"/>
      <c r="R220" s="71"/>
      <c r="S220" s="71"/>
      <c r="T220" s="71"/>
      <c r="U220" s="71"/>
      <c r="V220" s="71"/>
      <c r="W220" s="71"/>
      <c r="X220" s="71"/>
      <c r="Y220" s="71"/>
    </row>
    <row r="221" spans="1:26" ht="15" customHeight="1" x14ac:dyDescent="0.3">
      <c r="M221" s="71"/>
      <c r="N221" s="81"/>
      <c r="O221" s="72"/>
      <c r="P221" s="71"/>
      <c r="Q221" s="71"/>
      <c r="R221" s="71"/>
      <c r="S221" s="71"/>
      <c r="T221" s="71"/>
      <c r="U221" s="71"/>
      <c r="V221" s="71"/>
      <c r="W221" s="71"/>
      <c r="X221" s="71"/>
      <c r="Y221" s="71"/>
    </row>
    <row r="222" spans="1:26" ht="15" customHeight="1" x14ac:dyDescent="0.3">
      <c r="M222" s="71"/>
      <c r="N222" s="81"/>
      <c r="O222" s="72"/>
      <c r="P222" s="71"/>
      <c r="Q222" s="71"/>
      <c r="R222" s="71"/>
      <c r="S222" s="71"/>
      <c r="T222" s="71"/>
      <c r="U222" s="71"/>
      <c r="V222" s="71"/>
      <c r="W222" s="71"/>
      <c r="X222" s="71"/>
      <c r="Y222" s="71"/>
    </row>
    <row r="223" spans="1:26" ht="15" customHeight="1" x14ac:dyDescent="0.3">
      <c r="M223" s="71"/>
      <c r="N223" s="81"/>
      <c r="O223" s="72"/>
      <c r="P223" s="71"/>
      <c r="Q223" s="71"/>
      <c r="R223" s="71"/>
      <c r="S223" s="71"/>
      <c r="T223" s="71"/>
      <c r="U223" s="71"/>
      <c r="V223" s="71"/>
      <c r="W223" s="71"/>
      <c r="X223" s="71"/>
      <c r="Y223" s="71"/>
    </row>
    <row r="224" spans="1:26" ht="15" customHeight="1" x14ac:dyDescent="0.3">
      <c r="M224" s="71"/>
      <c r="N224" s="81"/>
      <c r="O224" s="72"/>
      <c r="P224" s="71"/>
      <c r="Q224" s="71"/>
      <c r="R224" s="71"/>
      <c r="S224" s="71"/>
      <c r="T224" s="71"/>
      <c r="U224" s="71"/>
      <c r="V224" s="71"/>
      <c r="W224" s="71"/>
      <c r="X224" s="71"/>
      <c r="Y224" s="71"/>
    </row>
    <row r="225" spans="13:25" ht="15" customHeight="1" x14ac:dyDescent="0.3">
      <c r="M225" s="71"/>
      <c r="N225" s="81"/>
      <c r="O225" s="72"/>
      <c r="P225" s="71"/>
      <c r="Q225" s="71"/>
      <c r="R225" s="71"/>
      <c r="S225" s="71"/>
      <c r="T225" s="71"/>
      <c r="U225" s="71"/>
      <c r="V225" s="71"/>
      <c r="W225" s="71"/>
      <c r="X225" s="71"/>
      <c r="Y225" s="71"/>
    </row>
    <row r="226" spans="13:25" ht="15" customHeight="1" x14ac:dyDescent="0.3">
      <c r="M226" s="71"/>
      <c r="N226" s="81"/>
      <c r="O226" s="72"/>
      <c r="P226" s="71"/>
      <c r="Q226" s="71"/>
      <c r="R226" s="71"/>
      <c r="S226" s="71"/>
      <c r="T226" s="71"/>
      <c r="U226" s="71"/>
      <c r="V226" s="71"/>
      <c r="W226" s="71"/>
      <c r="X226" s="71"/>
      <c r="Y226" s="71"/>
    </row>
    <row r="227" spans="13:25" ht="15" customHeight="1" x14ac:dyDescent="0.3">
      <c r="M227" s="71"/>
      <c r="N227" s="81"/>
      <c r="O227" s="72"/>
      <c r="P227" s="71"/>
      <c r="Q227" s="71"/>
      <c r="R227" s="71"/>
      <c r="S227" s="71"/>
      <c r="T227" s="71"/>
      <c r="U227" s="71"/>
      <c r="V227" s="71"/>
      <c r="W227" s="71"/>
      <c r="X227" s="71"/>
      <c r="Y227" s="71"/>
    </row>
    <row r="228" spans="13:25" ht="15" customHeight="1" x14ac:dyDescent="0.3">
      <c r="M228" s="71"/>
      <c r="N228" s="81"/>
      <c r="O228" s="72"/>
      <c r="P228" s="71"/>
      <c r="Q228" s="71"/>
      <c r="R228" s="71"/>
      <c r="S228" s="71"/>
      <c r="T228" s="71"/>
      <c r="U228" s="71"/>
      <c r="V228" s="71"/>
      <c r="W228" s="71"/>
      <c r="X228" s="71"/>
      <c r="Y228" s="71"/>
    </row>
    <row r="229" spans="13:25" ht="15" customHeight="1" x14ac:dyDescent="0.3">
      <c r="M229" s="71"/>
      <c r="N229" s="81"/>
      <c r="O229" s="72"/>
      <c r="P229" s="71"/>
      <c r="Q229" s="71"/>
      <c r="R229" s="71"/>
      <c r="S229" s="71"/>
      <c r="T229" s="71"/>
      <c r="U229" s="71"/>
      <c r="V229" s="71"/>
      <c r="W229" s="71"/>
      <c r="X229" s="71"/>
      <c r="Y229" s="71"/>
    </row>
    <row r="230" spans="13:25" ht="15" customHeight="1" x14ac:dyDescent="0.3">
      <c r="M230" s="71"/>
      <c r="N230" s="81"/>
      <c r="O230" s="72"/>
      <c r="P230" s="71"/>
      <c r="Q230" s="71"/>
      <c r="R230" s="71"/>
      <c r="S230" s="71"/>
      <c r="T230" s="71"/>
      <c r="U230" s="71"/>
      <c r="V230" s="71"/>
      <c r="W230" s="71"/>
      <c r="X230" s="71"/>
      <c r="Y230" s="71"/>
    </row>
    <row r="231" spans="13:25" ht="15" customHeight="1" x14ac:dyDescent="0.3">
      <c r="M231" s="71"/>
      <c r="N231" s="72"/>
      <c r="O231" s="72"/>
      <c r="P231" s="71"/>
      <c r="Q231" s="71"/>
      <c r="R231" s="71"/>
      <c r="S231" s="71"/>
      <c r="T231" s="71"/>
      <c r="U231" s="71"/>
      <c r="V231" s="71"/>
      <c r="W231" s="71"/>
      <c r="X231" s="71"/>
      <c r="Y231" s="71"/>
    </row>
  </sheetData>
  <mergeCells count="4">
    <mergeCell ref="AO2:AP2"/>
    <mergeCell ref="AK1:AL1"/>
    <mergeCell ref="AB1:AD1"/>
    <mergeCell ref="N1:T1"/>
  </mergeCells>
  <phoneticPr fontId="35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31AAE-7F82-4C16-BF5C-0700CCBF148E}">
  <sheetPr>
    <tabColor rgb="FFFFFFAB"/>
  </sheetPr>
  <dimension ref="A1:AO7"/>
  <sheetViews>
    <sheetView workbookViewId="0">
      <selection activeCell="I25" sqref="I25"/>
    </sheetView>
  </sheetViews>
  <sheetFormatPr defaultRowHeight="15.6" x14ac:dyDescent="0.3"/>
  <cols>
    <col min="1" max="1" width="23.19921875" bestFit="1" customWidth="1"/>
    <col min="2" max="2" width="15.19921875" bestFit="1" customWidth="1"/>
    <col min="3" max="3" width="8.8984375" bestFit="1" customWidth="1"/>
    <col min="4" max="4" width="10.8984375" bestFit="1" customWidth="1"/>
    <col min="5" max="5" width="8.8984375" bestFit="1" customWidth="1"/>
    <col min="6" max="6" width="6.8984375" bestFit="1" customWidth="1"/>
    <col min="7" max="7" width="9.8984375" bestFit="1" customWidth="1"/>
    <col min="8" max="8" width="8.8984375" bestFit="1" customWidth="1"/>
    <col min="9" max="9" width="9.8984375" bestFit="1" customWidth="1"/>
    <col min="10" max="10" width="8.8984375" bestFit="1" customWidth="1"/>
    <col min="11" max="11" width="6.8984375" bestFit="1" customWidth="1"/>
    <col min="12" max="12" width="8.8984375" bestFit="1" customWidth="1"/>
    <col min="13" max="13" width="9.8984375" bestFit="1" customWidth="1"/>
    <col min="14" max="14" width="10.8984375" bestFit="1" customWidth="1"/>
    <col min="15" max="17" width="9.8984375" bestFit="1" customWidth="1"/>
    <col min="18" max="18" width="6.8984375" bestFit="1" customWidth="1"/>
    <col min="19" max="21" width="8.8984375" bestFit="1" customWidth="1"/>
    <col min="22" max="25" width="9.8984375" bestFit="1" customWidth="1"/>
    <col min="26" max="26" width="8.8984375" bestFit="1" customWidth="1"/>
    <col min="27" max="27" width="10.8984375" bestFit="1" customWidth="1"/>
    <col min="28" max="28" width="7.8984375" bestFit="1" customWidth="1"/>
    <col min="29" max="30" width="9.8984375" bestFit="1" customWidth="1"/>
    <col min="31" max="31" width="8.8984375" bestFit="1" customWidth="1"/>
    <col min="32" max="32" width="9.8984375" bestFit="1" customWidth="1"/>
    <col min="33" max="33" width="8.8984375" bestFit="1" customWidth="1"/>
    <col min="34" max="34" width="9.8984375" bestFit="1" customWidth="1"/>
    <col min="35" max="35" width="8.8984375" bestFit="1" customWidth="1"/>
    <col min="36" max="38" width="9.8984375" bestFit="1" customWidth="1"/>
    <col min="39" max="39" width="6.8984375" bestFit="1" customWidth="1"/>
    <col min="40" max="40" width="9.8984375" bestFit="1" customWidth="1"/>
    <col min="41" max="41" width="10.8984375" bestFit="1" customWidth="1"/>
    <col min="42" max="42" width="9.5" bestFit="1" customWidth="1"/>
    <col min="43" max="43" width="8.5" bestFit="1" customWidth="1"/>
    <col min="44" max="45" width="9.5" bestFit="1" customWidth="1"/>
    <col min="46" max="46" width="8.8984375" bestFit="1" customWidth="1"/>
    <col min="47" max="47" width="9.5" bestFit="1" customWidth="1"/>
    <col min="48" max="49" width="10.5" bestFit="1" customWidth="1"/>
    <col min="50" max="51" width="9.5" bestFit="1" customWidth="1"/>
    <col min="52" max="52" width="9.8984375" bestFit="1" customWidth="1"/>
    <col min="53" max="53" width="9.5" bestFit="1" customWidth="1"/>
    <col min="54" max="54" width="9.8984375" bestFit="1" customWidth="1"/>
    <col min="55" max="55" width="8.8984375" bestFit="1" customWidth="1"/>
    <col min="56" max="59" width="9.5" bestFit="1" customWidth="1"/>
    <col min="60" max="60" width="8.5" bestFit="1" customWidth="1"/>
    <col min="61" max="61" width="9.5" bestFit="1" customWidth="1"/>
    <col min="62" max="63" width="10.5" bestFit="1" customWidth="1"/>
    <col min="64" max="64" width="10.8984375" bestFit="1" customWidth="1"/>
  </cols>
  <sheetData>
    <row r="1" spans="1:41" x14ac:dyDescent="0.3">
      <c r="A1" s="117" t="s">
        <v>231</v>
      </c>
      <c r="B1" s="119">
        <v>1</v>
      </c>
    </row>
    <row r="3" spans="1:41" x14ac:dyDescent="0.3">
      <c r="A3" s="117" t="s">
        <v>221</v>
      </c>
      <c r="B3" s="117" t="s">
        <v>205</v>
      </c>
    </row>
    <row r="4" spans="1:41" x14ac:dyDescent="0.3">
      <c r="B4" t="s">
        <v>209</v>
      </c>
      <c r="N4" t="s">
        <v>222</v>
      </c>
      <c r="O4" t="s">
        <v>208</v>
      </c>
      <c r="AA4" t="s">
        <v>223</v>
      </c>
      <c r="AB4" t="s">
        <v>207</v>
      </c>
      <c r="AN4" t="s">
        <v>224</v>
      </c>
      <c r="AO4" t="s">
        <v>206</v>
      </c>
    </row>
    <row r="5" spans="1:41" x14ac:dyDescent="0.3">
      <c r="A5" s="117" t="s">
        <v>226</v>
      </c>
      <c r="B5" t="s">
        <v>210</v>
      </c>
      <c r="C5" t="s">
        <v>211</v>
      </c>
      <c r="D5" t="s">
        <v>212</v>
      </c>
      <c r="E5" t="s">
        <v>213</v>
      </c>
      <c r="F5" t="s">
        <v>19</v>
      </c>
      <c r="G5" t="s">
        <v>214</v>
      </c>
      <c r="H5" t="s">
        <v>215</v>
      </c>
      <c r="I5" t="s">
        <v>216</v>
      </c>
      <c r="J5" t="s">
        <v>217</v>
      </c>
      <c r="K5" t="s">
        <v>218</v>
      </c>
      <c r="L5" t="s">
        <v>219</v>
      </c>
      <c r="M5" t="s">
        <v>220</v>
      </c>
      <c r="O5" t="s">
        <v>210</v>
      </c>
      <c r="P5" t="s">
        <v>211</v>
      </c>
      <c r="Q5" t="s">
        <v>212</v>
      </c>
      <c r="R5" t="s">
        <v>213</v>
      </c>
      <c r="S5" t="s">
        <v>19</v>
      </c>
      <c r="T5" t="s">
        <v>214</v>
      </c>
      <c r="U5" t="s">
        <v>215</v>
      </c>
      <c r="V5" t="s">
        <v>216</v>
      </c>
      <c r="W5" t="s">
        <v>217</v>
      </c>
      <c r="X5" t="s">
        <v>218</v>
      </c>
      <c r="Y5" t="s">
        <v>219</v>
      </c>
      <c r="Z5" t="s">
        <v>220</v>
      </c>
      <c r="AB5" t="s">
        <v>210</v>
      </c>
      <c r="AC5" t="s">
        <v>211</v>
      </c>
      <c r="AD5" t="s">
        <v>212</v>
      </c>
      <c r="AE5" t="s">
        <v>213</v>
      </c>
      <c r="AF5" t="s">
        <v>19</v>
      </c>
      <c r="AG5" t="s">
        <v>214</v>
      </c>
      <c r="AH5" t="s">
        <v>215</v>
      </c>
      <c r="AI5" t="s">
        <v>216</v>
      </c>
      <c r="AJ5" t="s">
        <v>217</v>
      </c>
      <c r="AK5" t="s">
        <v>218</v>
      </c>
      <c r="AL5" t="s">
        <v>219</v>
      </c>
      <c r="AM5" t="s">
        <v>220</v>
      </c>
    </row>
    <row r="6" spans="1:41" x14ac:dyDescent="0.3">
      <c r="A6" s="118" t="s">
        <v>3</v>
      </c>
      <c r="B6">
        <v>379553.2</v>
      </c>
      <c r="C6">
        <v>352003.3</v>
      </c>
      <c r="D6">
        <v>1161072.55</v>
      </c>
      <c r="E6">
        <v>675903.79999999993</v>
      </c>
      <c r="F6">
        <v>767153</v>
      </c>
      <c r="G6">
        <v>1000352.2</v>
      </c>
      <c r="H6">
        <v>279253.3</v>
      </c>
      <c r="I6">
        <v>796752.64999999991</v>
      </c>
      <c r="J6">
        <v>697452.59999999986</v>
      </c>
      <c r="K6">
        <v>388553.00000000006</v>
      </c>
      <c r="L6">
        <v>184952.89999999997</v>
      </c>
      <c r="M6">
        <v>896052.54999999993</v>
      </c>
      <c r="N6">
        <v>7579055.0499999998</v>
      </c>
      <c r="O6">
        <v>963252.35</v>
      </c>
      <c r="P6">
        <v>257803.15</v>
      </c>
      <c r="Q6">
        <v>762851.65</v>
      </c>
      <c r="R6">
        <v>862851.99999999988</v>
      </c>
      <c r="S6">
        <v>151952.69999999998</v>
      </c>
      <c r="T6">
        <v>658451.5</v>
      </c>
      <c r="U6">
        <v>455852.4</v>
      </c>
      <c r="V6">
        <v>557152.55000000005</v>
      </c>
      <c r="W6">
        <v>962351.65</v>
      </c>
      <c r="X6">
        <v>253252.55000000002</v>
      </c>
      <c r="Y6">
        <v>759752.75</v>
      </c>
      <c r="Z6">
        <v>658451.79999999993</v>
      </c>
      <c r="AA6">
        <v>7303977.0499999998</v>
      </c>
      <c r="AB6">
        <v>1006501</v>
      </c>
      <c r="AC6">
        <v>709102.75</v>
      </c>
      <c r="AD6">
        <v>306601.75</v>
      </c>
      <c r="AE6">
        <v>911702.40000000014</v>
      </c>
      <c r="AF6">
        <v>405202.54999999993</v>
      </c>
      <c r="AG6">
        <v>607801.29999999993</v>
      </c>
      <c r="AH6">
        <v>810402.75</v>
      </c>
      <c r="AI6">
        <v>202603.2</v>
      </c>
      <c r="AJ6">
        <v>1013001.5999999999</v>
      </c>
      <c r="AK6">
        <v>557152.04999999993</v>
      </c>
      <c r="AL6">
        <v>455852.05</v>
      </c>
      <c r="AM6">
        <v>354552</v>
      </c>
      <c r="AN6">
        <v>7340475.3999999994</v>
      </c>
      <c r="AO6">
        <v>22223507.500000004</v>
      </c>
    </row>
    <row r="7" spans="1:41" x14ac:dyDescent="0.3">
      <c r="A7" s="118" t="s">
        <v>206</v>
      </c>
      <c r="B7">
        <v>379553.2</v>
      </c>
      <c r="C7">
        <v>352003.3</v>
      </c>
      <c r="D7">
        <v>1161072.55</v>
      </c>
      <c r="E7">
        <v>675903.79999999993</v>
      </c>
      <c r="F7">
        <v>767153</v>
      </c>
      <c r="G7">
        <v>1000352.2</v>
      </c>
      <c r="H7">
        <v>279253.3</v>
      </c>
      <c r="I7">
        <v>796752.64999999991</v>
      </c>
      <c r="J7">
        <v>697452.59999999986</v>
      </c>
      <c r="K7">
        <v>388553.00000000006</v>
      </c>
      <c r="L7">
        <v>184952.89999999997</v>
      </c>
      <c r="M7">
        <v>896052.54999999993</v>
      </c>
      <c r="N7">
        <v>7579055.0499999998</v>
      </c>
      <c r="O7">
        <v>963252.35</v>
      </c>
      <c r="P7">
        <v>257803.15</v>
      </c>
      <c r="Q7">
        <v>762851.65</v>
      </c>
      <c r="R7">
        <v>862851.99999999988</v>
      </c>
      <c r="S7">
        <v>151952.69999999998</v>
      </c>
      <c r="T7">
        <v>658451.5</v>
      </c>
      <c r="U7">
        <v>455852.4</v>
      </c>
      <c r="V7">
        <v>557152.55000000005</v>
      </c>
      <c r="W7">
        <v>962351.65</v>
      </c>
      <c r="X7">
        <v>253252.55000000002</v>
      </c>
      <c r="Y7">
        <v>759752.75</v>
      </c>
      <c r="Z7">
        <v>658451.79999999993</v>
      </c>
      <c r="AA7">
        <v>7303977.0499999998</v>
      </c>
      <c r="AB7">
        <v>1006501</v>
      </c>
      <c r="AC7">
        <v>709102.75</v>
      </c>
      <c r="AD7">
        <v>306601.75</v>
      </c>
      <c r="AE7">
        <v>911702.40000000014</v>
      </c>
      <c r="AF7">
        <v>405202.54999999993</v>
      </c>
      <c r="AG7">
        <v>607801.29999999993</v>
      </c>
      <c r="AH7">
        <v>810402.75</v>
      </c>
      <c r="AI7">
        <v>202603.2</v>
      </c>
      <c r="AJ7">
        <v>1013001.5999999999</v>
      </c>
      <c r="AK7">
        <v>557152.04999999993</v>
      </c>
      <c r="AL7">
        <v>455852.05</v>
      </c>
      <c r="AM7">
        <v>354552</v>
      </c>
      <c r="AN7">
        <v>7340475.3999999994</v>
      </c>
      <c r="AO7">
        <v>22223507.500000004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A42EA-B5FC-4E5C-98F9-6A5CC1400CCF}">
  <sheetPr>
    <tabColor rgb="FFFFFF8B"/>
  </sheetPr>
  <dimension ref="A1:AO7"/>
  <sheetViews>
    <sheetView workbookViewId="0">
      <selection activeCell="H24" sqref="H24"/>
    </sheetView>
  </sheetViews>
  <sheetFormatPr defaultRowHeight="15.6" x14ac:dyDescent="0.3"/>
  <cols>
    <col min="1" max="1" width="23.19921875" bestFit="1" customWidth="1"/>
    <col min="2" max="2" width="15.19921875" bestFit="1" customWidth="1"/>
    <col min="3" max="3" width="8.8984375" bestFit="1" customWidth="1"/>
    <col min="4" max="4" width="10.8984375" bestFit="1" customWidth="1"/>
    <col min="5" max="5" width="8.8984375" bestFit="1" customWidth="1"/>
    <col min="6" max="6" width="6.8984375" bestFit="1" customWidth="1"/>
    <col min="7" max="7" width="9.8984375" bestFit="1" customWidth="1"/>
    <col min="8" max="8" width="8.8984375" bestFit="1" customWidth="1"/>
    <col min="9" max="9" width="9.8984375" bestFit="1" customWidth="1"/>
    <col min="10" max="10" width="8.8984375" bestFit="1" customWidth="1"/>
    <col min="11" max="11" width="6.8984375" bestFit="1" customWidth="1"/>
    <col min="12" max="12" width="8.8984375" bestFit="1" customWidth="1"/>
    <col min="13" max="13" width="9.8984375" bestFit="1" customWidth="1"/>
    <col min="14" max="14" width="10.8984375" bestFit="1" customWidth="1"/>
    <col min="15" max="17" width="9.8984375" bestFit="1" customWidth="1"/>
    <col min="18" max="18" width="6.8984375" bestFit="1" customWidth="1"/>
    <col min="19" max="21" width="8.8984375" bestFit="1" customWidth="1"/>
    <col min="22" max="25" width="9.8984375" bestFit="1" customWidth="1"/>
    <col min="26" max="26" width="8.8984375" bestFit="1" customWidth="1"/>
    <col min="27" max="27" width="10.8984375" bestFit="1" customWidth="1"/>
    <col min="28" max="28" width="7.8984375" bestFit="1" customWidth="1"/>
    <col min="29" max="30" width="9.8984375" bestFit="1" customWidth="1"/>
    <col min="31" max="31" width="8.8984375" bestFit="1" customWidth="1"/>
    <col min="32" max="32" width="9.8984375" bestFit="1" customWidth="1"/>
    <col min="33" max="33" width="8.8984375" bestFit="1" customWidth="1"/>
    <col min="34" max="34" width="9.8984375" bestFit="1" customWidth="1"/>
    <col min="35" max="35" width="8.8984375" bestFit="1" customWidth="1"/>
    <col min="36" max="38" width="9.8984375" bestFit="1" customWidth="1"/>
    <col min="39" max="39" width="6.8984375" bestFit="1" customWidth="1"/>
    <col min="40" max="40" width="9.8984375" bestFit="1" customWidth="1"/>
    <col min="41" max="41" width="10.8984375" bestFit="1" customWidth="1"/>
  </cols>
  <sheetData>
    <row r="1" spans="1:41" x14ac:dyDescent="0.3">
      <c r="A1" s="117" t="s">
        <v>239</v>
      </c>
      <c r="B1" s="119">
        <v>1</v>
      </c>
    </row>
    <row r="3" spans="1:41" x14ac:dyDescent="0.3">
      <c r="A3" s="117" t="s">
        <v>221</v>
      </c>
      <c r="B3" s="117" t="s">
        <v>205</v>
      </c>
    </row>
    <row r="4" spans="1:41" x14ac:dyDescent="0.3">
      <c r="B4" t="s">
        <v>209</v>
      </c>
      <c r="N4" t="s">
        <v>222</v>
      </c>
      <c r="O4" t="s">
        <v>208</v>
      </c>
      <c r="AA4" t="s">
        <v>223</v>
      </c>
      <c r="AB4" t="s">
        <v>207</v>
      </c>
      <c r="AN4" t="s">
        <v>224</v>
      </c>
      <c r="AO4" t="s">
        <v>206</v>
      </c>
    </row>
    <row r="5" spans="1:41" x14ac:dyDescent="0.3">
      <c r="A5" s="117" t="s">
        <v>226</v>
      </c>
      <c r="B5" t="s">
        <v>210</v>
      </c>
      <c r="C5" t="s">
        <v>211</v>
      </c>
      <c r="D5" t="s">
        <v>212</v>
      </c>
      <c r="E5" t="s">
        <v>213</v>
      </c>
      <c r="F5" t="s">
        <v>19</v>
      </c>
      <c r="G5" t="s">
        <v>214</v>
      </c>
      <c r="H5" t="s">
        <v>215</v>
      </c>
      <c r="I5" t="s">
        <v>216</v>
      </c>
      <c r="J5" t="s">
        <v>217</v>
      </c>
      <c r="K5" t="s">
        <v>218</v>
      </c>
      <c r="L5" t="s">
        <v>219</v>
      </c>
      <c r="M5" t="s">
        <v>220</v>
      </c>
      <c r="O5" t="s">
        <v>210</v>
      </c>
      <c r="P5" t="s">
        <v>211</v>
      </c>
      <c r="Q5" t="s">
        <v>212</v>
      </c>
      <c r="R5" t="s">
        <v>213</v>
      </c>
      <c r="S5" t="s">
        <v>19</v>
      </c>
      <c r="T5" t="s">
        <v>214</v>
      </c>
      <c r="U5" t="s">
        <v>215</v>
      </c>
      <c r="V5" t="s">
        <v>216</v>
      </c>
      <c r="W5" t="s">
        <v>217</v>
      </c>
      <c r="X5" t="s">
        <v>218</v>
      </c>
      <c r="Y5" t="s">
        <v>219</v>
      </c>
      <c r="Z5" t="s">
        <v>220</v>
      </c>
      <c r="AB5" t="s">
        <v>210</v>
      </c>
      <c r="AC5" t="s">
        <v>211</v>
      </c>
      <c r="AD5" t="s">
        <v>212</v>
      </c>
      <c r="AE5" t="s">
        <v>213</v>
      </c>
      <c r="AF5" t="s">
        <v>19</v>
      </c>
      <c r="AG5" t="s">
        <v>214</v>
      </c>
      <c r="AH5" t="s">
        <v>215</v>
      </c>
      <c r="AI5" t="s">
        <v>216</v>
      </c>
      <c r="AJ5" t="s">
        <v>217</v>
      </c>
      <c r="AK5" t="s">
        <v>218</v>
      </c>
      <c r="AL5" t="s">
        <v>219</v>
      </c>
      <c r="AM5" t="s">
        <v>220</v>
      </c>
    </row>
    <row r="6" spans="1:41" x14ac:dyDescent="0.3">
      <c r="A6" s="118" t="s">
        <v>49</v>
      </c>
      <c r="B6">
        <v>379553.2</v>
      </c>
      <c r="C6">
        <v>352003.3</v>
      </c>
      <c r="D6">
        <v>1161072.55</v>
      </c>
      <c r="E6">
        <v>675903.79999999993</v>
      </c>
      <c r="F6">
        <v>767153</v>
      </c>
      <c r="G6">
        <v>1000352.2</v>
      </c>
      <c r="H6">
        <v>279253.3</v>
      </c>
      <c r="I6">
        <v>796752.64999999991</v>
      </c>
      <c r="J6">
        <v>697452.59999999986</v>
      </c>
      <c r="K6">
        <v>388553.00000000006</v>
      </c>
      <c r="L6">
        <v>184952.89999999997</v>
      </c>
      <c r="M6">
        <v>896052.54999999993</v>
      </c>
      <c r="N6">
        <v>7579055.0499999998</v>
      </c>
      <c r="O6">
        <v>963252.35</v>
      </c>
      <c r="P6">
        <v>257803.15</v>
      </c>
      <c r="Q6">
        <v>762851.65</v>
      </c>
      <c r="R6">
        <v>862851.99999999988</v>
      </c>
      <c r="S6">
        <v>151952.69999999998</v>
      </c>
      <c r="T6">
        <v>658451.5</v>
      </c>
      <c r="U6">
        <v>455852.4</v>
      </c>
      <c r="V6">
        <v>557152.55000000005</v>
      </c>
      <c r="W6">
        <v>962351.65</v>
      </c>
      <c r="X6">
        <v>253252.55000000002</v>
      </c>
      <c r="Y6">
        <v>759752.75</v>
      </c>
      <c r="Z6">
        <v>658451.79999999993</v>
      </c>
      <c r="AA6">
        <v>7303977.0499999998</v>
      </c>
      <c r="AB6">
        <v>1006501</v>
      </c>
      <c r="AC6">
        <v>709102.75</v>
      </c>
      <c r="AD6">
        <v>306601.75</v>
      </c>
      <c r="AE6">
        <v>911702.40000000014</v>
      </c>
      <c r="AF6">
        <v>405202.54999999993</v>
      </c>
      <c r="AG6">
        <v>607801.29999999993</v>
      </c>
      <c r="AH6">
        <v>810402.75</v>
      </c>
      <c r="AI6">
        <v>202603.2</v>
      </c>
      <c r="AJ6">
        <v>1013001.5999999999</v>
      </c>
      <c r="AK6">
        <v>557152.04999999993</v>
      </c>
      <c r="AL6">
        <v>455852.05</v>
      </c>
      <c r="AM6">
        <v>354552</v>
      </c>
      <c r="AN6">
        <v>7340475.3999999994</v>
      </c>
      <c r="AO6">
        <v>22223507.500000004</v>
      </c>
    </row>
    <row r="7" spans="1:41" x14ac:dyDescent="0.3">
      <c r="A7" s="118" t="s">
        <v>206</v>
      </c>
      <c r="B7">
        <v>379553.2</v>
      </c>
      <c r="C7">
        <v>352003.3</v>
      </c>
      <c r="D7">
        <v>1161072.55</v>
      </c>
      <c r="E7">
        <v>675903.79999999993</v>
      </c>
      <c r="F7">
        <v>767153</v>
      </c>
      <c r="G7">
        <v>1000352.2</v>
      </c>
      <c r="H7">
        <v>279253.3</v>
      </c>
      <c r="I7">
        <v>796752.64999999991</v>
      </c>
      <c r="J7">
        <v>697452.59999999986</v>
      </c>
      <c r="K7">
        <v>388553.00000000006</v>
      </c>
      <c r="L7">
        <v>184952.89999999997</v>
      </c>
      <c r="M7">
        <v>896052.54999999993</v>
      </c>
      <c r="N7">
        <v>7579055.0499999998</v>
      </c>
      <c r="O7">
        <v>963252.35</v>
      </c>
      <c r="P7">
        <v>257803.15</v>
      </c>
      <c r="Q7">
        <v>762851.65</v>
      </c>
      <c r="R7">
        <v>862851.99999999988</v>
      </c>
      <c r="S7">
        <v>151952.69999999998</v>
      </c>
      <c r="T7">
        <v>658451.5</v>
      </c>
      <c r="U7">
        <v>455852.4</v>
      </c>
      <c r="V7">
        <v>557152.55000000005</v>
      </c>
      <c r="W7">
        <v>962351.65</v>
      </c>
      <c r="X7">
        <v>253252.55000000002</v>
      </c>
      <c r="Y7">
        <v>759752.75</v>
      </c>
      <c r="Z7">
        <v>658451.79999999993</v>
      </c>
      <c r="AA7">
        <v>7303977.0499999998</v>
      </c>
      <c r="AB7">
        <v>1006501</v>
      </c>
      <c r="AC7">
        <v>709102.75</v>
      </c>
      <c r="AD7">
        <v>306601.75</v>
      </c>
      <c r="AE7">
        <v>911702.40000000014</v>
      </c>
      <c r="AF7">
        <v>405202.54999999993</v>
      </c>
      <c r="AG7">
        <v>607801.29999999993</v>
      </c>
      <c r="AH7">
        <v>810402.75</v>
      </c>
      <c r="AI7">
        <v>202603.2</v>
      </c>
      <c r="AJ7">
        <v>1013001.5999999999</v>
      </c>
      <c r="AK7">
        <v>557152.04999999993</v>
      </c>
      <c r="AL7">
        <v>455852.05</v>
      </c>
      <c r="AM7">
        <v>354552</v>
      </c>
      <c r="AN7">
        <v>7340475.3999999994</v>
      </c>
      <c r="AO7">
        <v>22223507.500000004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FED4B-958B-4EE2-AB53-0ED68785D0B5}">
  <sheetPr>
    <tabColor rgb="FFFFFF69"/>
  </sheetPr>
  <dimension ref="A1:V10"/>
  <sheetViews>
    <sheetView workbookViewId="0">
      <selection activeCell="E13" sqref="E13"/>
    </sheetView>
  </sheetViews>
  <sheetFormatPr defaultRowHeight="15.6" x14ac:dyDescent="0.3"/>
  <cols>
    <col min="1" max="1" width="23" bestFit="1" customWidth="1"/>
    <col min="2" max="2" width="17.296875" bestFit="1" customWidth="1"/>
    <col min="3" max="7" width="20.69921875" bestFit="1" customWidth="1"/>
    <col min="8" max="8" width="10.8984375" bestFit="1" customWidth="1"/>
    <col min="9" max="14" width="7.8984375" bestFit="1" customWidth="1"/>
    <col min="15" max="23" width="10.8984375" bestFit="1" customWidth="1"/>
    <col min="24" max="24" width="8.8984375" bestFit="1" customWidth="1"/>
    <col min="25" max="31" width="7.8984375" bestFit="1" customWidth="1"/>
    <col min="32" max="32" width="8.8984375" bestFit="1" customWidth="1"/>
    <col min="33" max="33" width="6.8984375" bestFit="1" customWidth="1"/>
    <col min="34" max="34" width="8.8984375" bestFit="1" customWidth="1"/>
    <col min="35" max="37" width="7.8984375" bestFit="1" customWidth="1"/>
    <col min="38" max="38" width="10.8984375" bestFit="1" customWidth="1"/>
  </cols>
  <sheetData>
    <row r="1" spans="1:22" x14ac:dyDescent="0.3">
      <c r="A1" s="117" t="s">
        <v>235</v>
      </c>
      <c r="B1" t="s">
        <v>236</v>
      </c>
    </row>
    <row r="2" spans="1:22" x14ac:dyDescent="0.3">
      <c r="A2" s="117" t="s">
        <v>231</v>
      </c>
      <c r="B2" s="119">
        <v>1</v>
      </c>
    </row>
    <row r="4" spans="1:22" x14ac:dyDescent="0.3">
      <c r="A4" s="117" t="s">
        <v>221</v>
      </c>
      <c r="C4" s="117" t="s">
        <v>227</v>
      </c>
      <c r="D4" s="117" t="s">
        <v>234</v>
      </c>
    </row>
    <row r="5" spans="1:22" x14ac:dyDescent="0.3">
      <c r="C5" t="s">
        <v>209</v>
      </c>
      <c r="H5" t="s">
        <v>222</v>
      </c>
      <c r="I5" t="s">
        <v>208</v>
      </c>
      <c r="O5" t="s">
        <v>223</v>
      </c>
      <c r="P5" t="s">
        <v>207</v>
      </c>
      <c r="U5" t="s">
        <v>224</v>
      </c>
      <c r="V5" t="s">
        <v>206</v>
      </c>
    </row>
    <row r="6" spans="1:22" x14ac:dyDescent="0.3">
      <c r="A6" s="117" t="s">
        <v>46</v>
      </c>
      <c r="B6" s="117" t="s">
        <v>41</v>
      </c>
      <c r="C6" t="s">
        <v>211</v>
      </c>
      <c r="D6" t="s">
        <v>19</v>
      </c>
      <c r="E6" t="s">
        <v>215</v>
      </c>
      <c r="F6" t="s">
        <v>218</v>
      </c>
      <c r="G6" t="s">
        <v>220</v>
      </c>
      <c r="I6" t="s">
        <v>211</v>
      </c>
      <c r="J6" t="s">
        <v>212</v>
      </c>
      <c r="K6" t="s">
        <v>213</v>
      </c>
      <c r="L6" t="s">
        <v>215</v>
      </c>
      <c r="M6" t="s">
        <v>217</v>
      </c>
      <c r="N6" t="s">
        <v>220</v>
      </c>
      <c r="P6" t="s">
        <v>210</v>
      </c>
      <c r="Q6" t="s">
        <v>213</v>
      </c>
      <c r="R6" t="s">
        <v>214</v>
      </c>
      <c r="S6" t="s">
        <v>217</v>
      </c>
      <c r="T6" t="s">
        <v>219</v>
      </c>
    </row>
    <row r="7" spans="1:22" x14ac:dyDescent="0.3">
      <c r="A7" t="s">
        <v>3</v>
      </c>
      <c r="B7" t="s">
        <v>57</v>
      </c>
      <c r="C7">
        <v>0</v>
      </c>
      <c r="D7">
        <v>550000</v>
      </c>
      <c r="E7">
        <v>0</v>
      </c>
      <c r="F7">
        <v>350000</v>
      </c>
      <c r="G7">
        <v>0</v>
      </c>
      <c r="H7">
        <v>900000</v>
      </c>
      <c r="I7">
        <v>250000</v>
      </c>
      <c r="J7">
        <v>0</v>
      </c>
      <c r="K7">
        <v>0</v>
      </c>
      <c r="L7">
        <v>450000</v>
      </c>
      <c r="M7">
        <v>0</v>
      </c>
      <c r="N7">
        <v>650000</v>
      </c>
      <c r="O7">
        <v>1350000</v>
      </c>
      <c r="P7">
        <v>0</v>
      </c>
      <c r="Q7">
        <v>900000</v>
      </c>
      <c r="R7">
        <v>0</v>
      </c>
      <c r="S7">
        <v>1000000</v>
      </c>
      <c r="T7">
        <v>0</v>
      </c>
      <c r="U7">
        <v>1900000</v>
      </c>
      <c r="V7">
        <v>4150000</v>
      </c>
    </row>
    <row r="8" spans="1:22" x14ac:dyDescent="0.3">
      <c r="B8" t="s">
        <v>48</v>
      </c>
      <c r="C8">
        <v>150000</v>
      </c>
      <c r="D8">
        <v>550.85</v>
      </c>
      <c r="E8">
        <v>250000</v>
      </c>
      <c r="F8">
        <v>0</v>
      </c>
      <c r="G8">
        <v>850000</v>
      </c>
      <c r="H8">
        <v>1250550.8500000001</v>
      </c>
      <c r="I8">
        <v>0</v>
      </c>
      <c r="J8">
        <v>1400.75</v>
      </c>
      <c r="K8">
        <v>850000</v>
      </c>
      <c r="L8">
        <v>0</v>
      </c>
      <c r="M8">
        <v>950000</v>
      </c>
      <c r="N8">
        <v>0</v>
      </c>
      <c r="O8">
        <v>1801400.75</v>
      </c>
      <c r="P8">
        <v>1001000.25</v>
      </c>
      <c r="Q8">
        <v>0</v>
      </c>
      <c r="R8">
        <v>600000</v>
      </c>
      <c r="S8">
        <v>0</v>
      </c>
      <c r="T8">
        <v>450000</v>
      </c>
      <c r="U8">
        <v>2051000.25</v>
      </c>
      <c r="V8">
        <v>5102951.8499999996</v>
      </c>
    </row>
    <row r="9" spans="1:22" x14ac:dyDescent="0.3">
      <c r="A9" t="s">
        <v>225</v>
      </c>
      <c r="C9">
        <v>150000</v>
      </c>
      <c r="D9">
        <v>550550.85</v>
      </c>
      <c r="E9">
        <v>250000</v>
      </c>
      <c r="F9">
        <v>350000</v>
      </c>
      <c r="G9">
        <v>850000</v>
      </c>
      <c r="H9">
        <v>2150550.85</v>
      </c>
      <c r="I9">
        <v>250000</v>
      </c>
      <c r="J9">
        <v>1400.75</v>
      </c>
      <c r="K9">
        <v>850000</v>
      </c>
      <c r="L9">
        <v>450000</v>
      </c>
      <c r="M9">
        <v>950000</v>
      </c>
      <c r="N9">
        <v>650000</v>
      </c>
      <c r="O9">
        <v>3151400.75</v>
      </c>
      <c r="P9">
        <v>1001000.25</v>
      </c>
      <c r="Q9">
        <v>900000</v>
      </c>
      <c r="R9">
        <v>600000</v>
      </c>
      <c r="S9">
        <v>1000000</v>
      </c>
      <c r="T9">
        <v>450000</v>
      </c>
      <c r="U9">
        <v>3951000.25</v>
      </c>
      <c r="V9">
        <v>9252951.8499999996</v>
      </c>
    </row>
    <row r="10" spans="1:22" x14ac:dyDescent="0.3">
      <c r="A10" t="s">
        <v>206</v>
      </c>
      <c r="C10">
        <v>150000</v>
      </c>
      <c r="D10">
        <v>550550.85</v>
      </c>
      <c r="E10">
        <v>250000</v>
      </c>
      <c r="F10">
        <v>350000</v>
      </c>
      <c r="G10">
        <v>850000</v>
      </c>
      <c r="H10">
        <v>2150550.85</v>
      </c>
      <c r="I10">
        <v>250000</v>
      </c>
      <c r="J10">
        <v>1400.75</v>
      </c>
      <c r="K10">
        <v>850000</v>
      </c>
      <c r="L10">
        <v>450000</v>
      </c>
      <c r="M10">
        <v>950000</v>
      </c>
      <c r="N10">
        <v>650000</v>
      </c>
      <c r="O10">
        <v>3151400.75</v>
      </c>
      <c r="P10">
        <v>1001000.25</v>
      </c>
      <c r="Q10">
        <v>900000</v>
      </c>
      <c r="R10">
        <v>600000</v>
      </c>
      <c r="S10">
        <v>1000000</v>
      </c>
      <c r="T10">
        <v>450000</v>
      </c>
      <c r="U10">
        <v>3951000.25</v>
      </c>
      <c r="V10">
        <v>9252951.8499999996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85FCA-DA5E-4DDC-9BDC-93DF3018E954}">
  <sheetPr>
    <tabColor rgb="FFFFFF3F"/>
  </sheetPr>
  <dimension ref="A1:P37"/>
  <sheetViews>
    <sheetView topLeftCell="CL13" zoomScale="59" zoomScaleNormal="115" workbookViewId="0">
      <selection activeCell="A6" sqref="A6:B35"/>
    </sheetView>
  </sheetViews>
  <sheetFormatPr defaultRowHeight="15.6" x14ac:dyDescent="0.3"/>
  <cols>
    <col min="1" max="1" width="23.19921875" bestFit="1" customWidth="1"/>
    <col min="2" max="2" width="20.796875" bestFit="1" customWidth="1"/>
    <col min="3" max="14" width="21.3984375" bestFit="1" customWidth="1"/>
    <col min="15" max="15" width="9.8984375" bestFit="1" customWidth="1"/>
    <col min="16" max="16" width="10.8984375" bestFit="1" customWidth="1"/>
    <col min="17" max="27" width="8.8984375" bestFit="1" customWidth="1"/>
    <col min="28" max="28" width="9.8984375" bestFit="1" customWidth="1"/>
    <col min="29" max="40" width="8.8984375" bestFit="1" customWidth="1"/>
    <col min="41" max="41" width="9.8984375" bestFit="1" customWidth="1"/>
    <col min="42" max="42" width="10.8984375" bestFit="1" customWidth="1"/>
    <col min="43" max="43" width="8.5" bestFit="1" customWidth="1"/>
    <col min="44" max="45" width="9.5" bestFit="1" customWidth="1"/>
    <col min="46" max="46" width="8.8984375" bestFit="1" customWidth="1"/>
    <col min="47" max="47" width="9.5" bestFit="1" customWidth="1"/>
    <col min="48" max="49" width="10.5" bestFit="1" customWidth="1"/>
    <col min="50" max="51" width="9.5" bestFit="1" customWidth="1"/>
    <col min="52" max="52" width="9.8984375" bestFit="1" customWidth="1"/>
    <col min="53" max="53" width="9.5" bestFit="1" customWidth="1"/>
    <col min="54" max="54" width="9.8984375" bestFit="1" customWidth="1"/>
    <col min="55" max="55" width="8.8984375" bestFit="1" customWidth="1"/>
    <col min="56" max="59" width="9.5" bestFit="1" customWidth="1"/>
    <col min="60" max="60" width="8.5" bestFit="1" customWidth="1"/>
    <col min="61" max="61" width="9.5" bestFit="1" customWidth="1"/>
    <col min="62" max="63" width="10.5" bestFit="1" customWidth="1"/>
    <col min="64" max="64" width="10.8984375" bestFit="1" customWidth="1"/>
  </cols>
  <sheetData>
    <row r="1" spans="1:16" x14ac:dyDescent="0.3">
      <c r="A1" s="117" t="s">
        <v>232</v>
      </c>
      <c r="B1" t="s">
        <v>233</v>
      </c>
    </row>
    <row r="2" spans="1:16" x14ac:dyDescent="0.3">
      <c r="A2" s="117" t="s">
        <v>231</v>
      </c>
      <c r="B2" s="119">
        <v>1</v>
      </c>
    </row>
    <row r="4" spans="1:16" x14ac:dyDescent="0.3">
      <c r="A4" s="117" t="s">
        <v>221</v>
      </c>
      <c r="C4" s="117" t="s">
        <v>227</v>
      </c>
      <c r="D4" s="117" t="s">
        <v>234</v>
      </c>
    </row>
    <row r="5" spans="1:16" x14ac:dyDescent="0.3">
      <c r="C5" t="s">
        <v>209</v>
      </c>
      <c r="O5" t="s">
        <v>222</v>
      </c>
      <c r="P5" t="s">
        <v>206</v>
      </c>
    </row>
    <row r="6" spans="1:16" x14ac:dyDescent="0.3">
      <c r="A6" s="117" t="s">
        <v>46</v>
      </c>
      <c r="B6" s="117" t="s">
        <v>41</v>
      </c>
      <c r="C6" t="s">
        <v>210</v>
      </c>
      <c r="D6" t="s">
        <v>211</v>
      </c>
      <c r="E6" t="s">
        <v>212</v>
      </c>
      <c r="F6" t="s">
        <v>213</v>
      </c>
      <c r="G6" t="s">
        <v>19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</row>
    <row r="7" spans="1:16" x14ac:dyDescent="0.3">
      <c r="A7" t="s">
        <v>3</v>
      </c>
      <c r="B7" t="s">
        <v>81</v>
      </c>
      <c r="C7">
        <v>350.75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350.75</v>
      </c>
      <c r="P7">
        <v>350.75</v>
      </c>
    </row>
    <row r="8" spans="1:16" x14ac:dyDescent="0.3">
      <c r="B8" t="s">
        <v>140</v>
      </c>
      <c r="C8">
        <v>0</v>
      </c>
      <c r="D8">
        <v>0</v>
      </c>
      <c r="E8">
        <v>300871.59999999998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300871.59999999998</v>
      </c>
      <c r="P8">
        <v>300871.59999999998</v>
      </c>
    </row>
    <row r="9" spans="1:16" x14ac:dyDescent="0.3">
      <c r="B9" t="s">
        <v>86</v>
      </c>
      <c r="C9">
        <v>0</v>
      </c>
      <c r="D9">
        <v>0</v>
      </c>
      <c r="E9">
        <v>0</v>
      </c>
      <c r="F9">
        <v>0</v>
      </c>
      <c r="G9">
        <v>0</v>
      </c>
      <c r="H9">
        <v>950.25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950.25</v>
      </c>
      <c r="P9">
        <v>950.25</v>
      </c>
    </row>
    <row r="10" spans="1:16" x14ac:dyDescent="0.3">
      <c r="B10" t="s">
        <v>119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2500.5</v>
      </c>
      <c r="J10">
        <v>0</v>
      </c>
      <c r="K10">
        <v>0</v>
      </c>
      <c r="L10">
        <v>0</v>
      </c>
      <c r="M10">
        <v>0</v>
      </c>
      <c r="N10">
        <v>0</v>
      </c>
      <c r="O10">
        <v>2500.5</v>
      </c>
      <c r="P10">
        <v>2500.5</v>
      </c>
    </row>
    <row r="11" spans="1:16" x14ac:dyDescent="0.3">
      <c r="B11" t="s">
        <v>85</v>
      </c>
      <c r="C11">
        <v>0</v>
      </c>
      <c r="D11">
        <v>0</v>
      </c>
      <c r="E11">
        <v>0</v>
      </c>
      <c r="F11">
        <v>0</v>
      </c>
      <c r="G11">
        <v>550.9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550.9</v>
      </c>
      <c r="P11">
        <v>550.9</v>
      </c>
    </row>
    <row r="12" spans="1:16" x14ac:dyDescent="0.3">
      <c r="B12" t="s">
        <v>89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650.25</v>
      </c>
      <c r="L12">
        <v>0</v>
      </c>
      <c r="M12">
        <v>0</v>
      </c>
      <c r="N12">
        <v>0</v>
      </c>
      <c r="O12">
        <v>650.25</v>
      </c>
      <c r="P12">
        <v>650.25</v>
      </c>
    </row>
    <row r="13" spans="1:16" x14ac:dyDescent="0.3">
      <c r="B13" t="s">
        <v>141</v>
      </c>
      <c r="C13">
        <v>0</v>
      </c>
      <c r="D13">
        <v>0</v>
      </c>
      <c r="E13">
        <v>0</v>
      </c>
      <c r="F13">
        <v>220501.90000000002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220501.90000000002</v>
      </c>
      <c r="P13">
        <v>220501.90000000002</v>
      </c>
    </row>
    <row r="14" spans="1:16" x14ac:dyDescent="0.3">
      <c r="B14" t="s">
        <v>121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16500.5</v>
      </c>
      <c r="L14">
        <v>0</v>
      </c>
      <c r="M14">
        <v>0</v>
      </c>
      <c r="N14">
        <v>0</v>
      </c>
      <c r="O14">
        <v>16500.5</v>
      </c>
      <c r="P14">
        <v>16500.5</v>
      </c>
    </row>
    <row r="15" spans="1:16" x14ac:dyDescent="0.3">
      <c r="B15" t="s">
        <v>113</v>
      </c>
      <c r="C15">
        <v>3500.5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3500.5</v>
      </c>
      <c r="P15">
        <v>3500.5</v>
      </c>
    </row>
    <row r="16" spans="1:16" x14ac:dyDescent="0.3">
      <c r="B16" t="s">
        <v>139</v>
      </c>
      <c r="C16">
        <v>0</v>
      </c>
      <c r="D16">
        <v>200201.09999999998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200201.09999999998</v>
      </c>
      <c r="P16">
        <v>200201.09999999998</v>
      </c>
    </row>
    <row r="17" spans="2:16" x14ac:dyDescent="0.3">
      <c r="B17" t="s">
        <v>142</v>
      </c>
      <c r="C17">
        <v>0</v>
      </c>
      <c r="D17">
        <v>0</v>
      </c>
      <c r="E17">
        <v>0</v>
      </c>
      <c r="F17">
        <v>0</v>
      </c>
      <c r="G17">
        <v>210550.5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210550.5</v>
      </c>
      <c r="P17">
        <v>210550.5</v>
      </c>
    </row>
    <row r="18" spans="2:16" x14ac:dyDescent="0.3">
      <c r="B18" t="s">
        <v>138</v>
      </c>
      <c r="C18">
        <v>25351.5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25351.5</v>
      </c>
      <c r="P18">
        <v>25351.5</v>
      </c>
    </row>
    <row r="19" spans="2:16" x14ac:dyDescent="0.3">
      <c r="B19" t="s">
        <v>91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150.80000000000001</v>
      </c>
      <c r="N19">
        <v>0</v>
      </c>
      <c r="O19">
        <v>150.80000000000001</v>
      </c>
      <c r="P19">
        <v>150.80000000000001</v>
      </c>
    </row>
    <row r="20" spans="2:16" x14ac:dyDescent="0.3">
      <c r="B20" t="s">
        <v>83</v>
      </c>
      <c r="C20">
        <v>0</v>
      </c>
      <c r="D20">
        <v>0</v>
      </c>
      <c r="E20">
        <v>850.45</v>
      </c>
      <c r="F20">
        <v>0</v>
      </c>
      <c r="G20">
        <v>0</v>
      </c>
      <c r="H20">
        <v>0</v>
      </c>
      <c r="I20">
        <v>26251.5</v>
      </c>
      <c r="J20">
        <v>0</v>
      </c>
      <c r="K20">
        <v>0</v>
      </c>
      <c r="L20">
        <v>0</v>
      </c>
      <c r="M20">
        <v>0</v>
      </c>
      <c r="N20">
        <v>0</v>
      </c>
      <c r="O20">
        <v>27101.95</v>
      </c>
      <c r="P20">
        <v>27101.95</v>
      </c>
    </row>
    <row r="21" spans="2:16" x14ac:dyDescent="0.3">
      <c r="B21" t="s">
        <v>87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250.5</v>
      </c>
      <c r="J21">
        <v>0</v>
      </c>
      <c r="K21">
        <v>0</v>
      </c>
      <c r="L21">
        <v>0</v>
      </c>
      <c r="M21">
        <v>23150.6</v>
      </c>
      <c r="N21">
        <v>0</v>
      </c>
      <c r="O21">
        <v>23401.1</v>
      </c>
      <c r="P21">
        <v>23401.1</v>
      </c>
    </row>
    <row r="22" spans="2:16" x14ac:dyDescent="0.3">
      <c r="B22" t="s">
        <v>115</v>
      </c>
      <c r="C22">
        <v>0</v>
      </c>
      <c r="D22">
        <v>0</v>
      </c>
      <c r="E22">
        <v>8500.25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8500.25</v>
      </c>
      <c r="P22">
        <v>8500.25</v>
      </c>
    </row>
    <row r="23" spans="2:16" x14ac:dyDescent="0.3">
      <c r="B23" t="s">
        <v>123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18500.25</v>
      </c>
      <c r="O23">
        <v>18500.25</v>
      </c>
      <c r="P23">
        <v>18500.25</v>
      </c>
    </row>
    <row r="24" spans="2:16" x14ac:dyDescent="0.3">
      <c r="B24" t="s">
        <v>120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17500.75</v>
      </c>
      <c r="K24">
        <v>0</v>
      </c>
      <c r="L24">
        <v>0</v>
      </c>
      <c r="M24">
        <v>0</v>
      </c>
      <c r="N24">
        <v>0</v>
      </c>
      <c r="O24">
        <v>17500.75</v>
      </c>
      <c r="P24">
        <v>17500.75</v>
      </c>
    </row>
    <row r="25" spans="2:16" x14ac:dyDescent="0.3">
      <c r="B25" t="s">
        <v>92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850.45</v>
      </c>
      <c r="O25">
        <v>850.45</v>
      </c>
      <c r="P25">
        <v>850.45</v>
      </c>
    </row>
    <row r="26" spans="2:16" x14ac:dyDescent="0.3">
      <c r="B26" t="s">
        <v>84</v>
      </c>
      <c r="C26">
        <v>0</v>
      </c>
      <c r="D26">
        <v>0</v>
      </c>
      <c r="E26">
        <v>0</v>
      </c>
      <c r="F26">
        <v>450.8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450.8</v>
      </c>
      <c r="P26">
        <v>450.8</v>
      </c>
    </row>
    <row r="27" spans="2:16" x14ac:dyDescent="0.3">
      <c r="B27" t="s">
        <v>144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27750.400000000001</v>
      </c>
      <c r="K27">
        <v>0</v>
      </c>
      <c r="L27">
        <v>0</v>
      </c>
      <c r="M27">
        <v>0</v>
      </c>
      <c r="N27">
        <v>0</v>
      </c>
      <c r="O27">
        <v>27750.400000000001</v>
      </c>
      <c r="P27">
        <v>27750.400000000001</v>
      </c>
    </row>
    <row r="28" spans="2:16" x14ac:dyDescent="0.3">
      <c r="B28" t="s">
        <v>146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25851.199999999997</v>
      </c>
      <c r="O28">
        <v>25851.199999999997</v>
      </c>
      <c r="P28">
        <v>25851.199999999997</v>
      </c>
    </row>
    <row r="29" spans="2:16" x14ac:dyDescent="0.3">
      <c r="B29" t="s">
        <v>90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350.7</v>
      </c>
      <c r="M29">
        <v>0</v>
      </c>
      <c r="N29">
        <v>0</v>
      </c>
      <c r="O29">
        <v>350.7</v>
      </c>
      <c r="P29">
        <v>350.7</v>
      </c>
    </row>
    <row r="30" spans="2:16" x14ac:dyDescent="0.3">
      <c r="B30" t="s">
        <v>143</v>
      </c>
      <c r="C30">
        <v>0</v>
      </c>
      <c r="D30">
        <v>0</v>
      </c>
      <c r="E30">
        <v>0</v>
      </c>
      <c r="F30">
        <v>0</v>
      </c>
      <c r="G30">
        <v>0</v>
      </c>
      <c r="H30">
        <v>28951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28951</v>
      </c>
      <c r="P30">
        <v>28951</v>
      </c>
    </row>
    <row r="31" spans="2:16" x14ac:dyDescent="0.3">
      <c r="B31" t="s">
        <v>116</v>
      </c>
      <c r="C31">
        <v>0</v>
      </c>
      <c r="D31">
        <v>0</v>
      </c>
      <c r="E31">
        <v>0</v>
      </c>
      <c r="F31">
        <v>4500.5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4500.5</v>
      </c>
      <c r="P31">
        <v>4500.5</v>
      </c>
    </row>
    <row r="32" spans="2:16" x14ac:dyDescent="0.3">
      <c r="B32" t="s">
        <v>82</v>
      </c>
      <c r="C32">
        <v>0</v>
      </c>
      <c r="D32">
        <v>150.9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150.9</v>
      </c>
      <c r="P32">
        <v>150.9</v>
      </c>
    </row>
    <row r="33" spans="1:16" x14ac:dyDescent="0.3">
      <c r="B33" t="s">
        <v>118</v>
      </c>
      <c r="C33">
        <v>0</v>
      </c>
      <c r="D33">
        <v>0</v>
      </c>
      <c r="E33">
        <v>0</v>
      </c>
      <c r="F33">
        <v>0</v>
      </c>
      <c r="G33">
        <v>0</v>
      </c>
      <c r="H33">
        <v>19500.25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19500.25</v>
      </c>
      <c r="P33">
        <v>19500.25</v>
      </c>
    </row>
    <row r="34" spans="1:16" x14ac:dyDescent="0.3">
      <c r="B34" t="s">
        <v>145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24351.800000000003</v>
      </c>
      <c r="M34">
        <v>0</v>
      </c>
      <c r="N34">
        <v>0</v>
      </c>
      <c r="O34">
        <v>24351.800000000003</v>
      </c>
      <c r="P34">
        <v>24351.800000000003</v>
      </c>
    </row>
    <row r="35" spans="1:16" x14ac:dyDescent="0.3">
      <c r="B35" t="s">
        <v>122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11500.75</v>
      </c>
      <c r="N35">
        <v>0</v>
      </c>
      <c r="O35">
        <v>11500.75</v>
      </c>
      <c r="P35">
        <v>11500.75</v>
      </c>
    </row>
    <row r="36" spans="1:16" x14ac:dyDescent="0.3">
      <c r="A36" t="s">
        <v>225</v>
      </c>
      <c r="C36">
        <v>29202.75</v>
      </c>
      <c r="D36">
        <v>200351.99999999997</v>
      </c>
      <c r="E36">
        <v>310222.3</v>
      </c>
      <c r="F36">
        <v>225453.2</v>
      </c>
      <c r="G36">
        <v>211101.4</v>
      </c>
      <c r="H36">
        <v>49401.5</v>
      </c>
      <c r="I36">
        <v>29002.5</v>
      </c>
      <c r="J36">
        <v>45251.15</v>
      </c>
      <c r="K36">
        <v>17150.75</v>
      </c>
      <c r="L36">
        <v>24702.500000000004</v>
      </c>
      <c r="M36">
        <v>34802.149999999994</v>
      </c>
      <c r="N36">
        <v>45201.899999999994</v>
      </c>
      <c r="O36">
        <v>1221844.0999999999</v>
      </c>
      <c r="P36">
        <v>1221844.0999999999</v>
      </c>
    </row>
    <row r="37" spans="1:16" x14ac:dyDescent="0.3">
      <c r="A37" t="s">
        <v>206</v>
      </c>
      <c r="C37">
        <v>29202.75</v>
      </c>
      <c r="D37">
        <v>200351.99999999997</v>
      </c>
      <c r="E37">
        <v>310222.3</v>
      </c>
      <c r="F37">
        <v>225453.2</v>
      </c>
      <c r="G37">
        <v>211101.4</v>
      </c>
      <c r="H37">
        <v>49401.5</v>
      </c>
      <c r="I37">
        <v>29002.5</v>
      </c>
      <c r="J37">
        <v>45251.15</v>
      </c>
      <c r="K37">
        <v>17150.75</v>
      </c>
      <c r="L37">
        <v>24702.500000000004</v>
      </c>
      <c r="M37">
        <v>34802.149999999994</v>
      </c>
      <c r="N37">
        <v>45201.899999999994</v>
      </c>
      <c r="O37">
        <v>1221844.0999999999</v>
      </c>
      <c r="P37">
        <v>1221844.0999999999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F07D1-CAA1-4B21-989D-C91B36F7ED96}">
  <sheetPr>
    <tabColor rgb="FFC00000"/>
  </sheetPr>
  <dimension ref="A1:Z46"/>
  <sheetViews>
    <sheetView showGridLines="0" topLeftCell="B1" zoomScale="104" zoomScaleNormal="145" workbookViewId="0">
      <selection activeCell="C17" sqref="C17"/>
    </sheetView>
  </sheetViews>
  <sheetFormatPr defaultRowHeight="15.6" x14ac:dyDescent="0.3"/>
  <cols>
    <col min="2" max="2" width="15.8984375" customWidth="1"/>
    <col min="3" max="3" width="20.5" bestFit="1" customWidth="1"/>
    <col min="4" max="4" width="10.8984375" bestFit="1" customWidth="1"/>
    <col min="5" max="5" width="9.19921875" customWidth="1"/>
    <col min="17" max="17" width="4.296875" customWidth="1"/>
  </cols>
  <sheetData>
    <row r="1" spans="1:26" x14ac:dyDescent="0.3">
      <c r="C1" s="98"/>
      <c r="Q1" s="102"/>
    </row>
    <row r="2" spans="1:26" x14ac:dyDescent="0.3">
      <c r="C2" s="98"/>
      <c r="Q2" s="102"/>
    </row>
    <row r="3" spans="1:26" ht="39.6" x14ac:dyDescent="0.3">
      <c r="B3" s="243" t="s">
        <v>0</v>
      </c>
      <c r="C3" s="243"/>
      <c r="D3" s="243"/>
      <c r="E3" s="243"/>
      <c r="F3" s="243"/>
      <c r="G3" s="243"/>
      <c r="H3" s="243"/>
      <c r="I3" s="243"/>
      <c r="J3" s="243"/>
      <c r="K3" s="243"/>
      <c r="L3" s="243"/>
      <c r="M3" s="243"/>
      <c r="N3" s="243"/>
      <c r="O3" s="243"/>
      <c r="P3" s="243"/>
      <c r="Q3" s="243"/>
    </row>
    <row r="4" spans="1:26" ht="28.8" customHeight="1" x14ac:dyDescent="0.3">
      <c r="C4" s="98"/>
      <c r="Q4" s="102"/>
    </row>
    <row r="5" spans="1:26" ht="6.75" customHeight="1" x14ac:dyDescent="0.5">
      <c r="A5" s="135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4"/>
      <c r="O5" s="4"/>
      <c r="P5" s="4"/>
      <c r="Q5" s="104"/>
      <c r="R5" s="3"/>
      <c r="S5" s="3"/>
      <c r="T5" s="3"/>
      <c r="U5" s="3"/>
      <c r="V5" s="3"/>
      <c r="W5" s="3"/>
      <c r="X5" s="3"/>
      <c r="Y5" s="3"/>
      <c r="Z5" s="3"/>
    </row>
    <row r="6" spans="1:26" ht="7.2" customHeight="1" x14ac:dyDescent="0.4">
      <c r="C6" s="99"/>
      <c r="G6" s="61"/>
      <c r="H6" s="61"/>
      <c r="I6" s="61"/>
      <c r="J6" s="61"/>
      <c r="K6" s="61"/>
      <c r="L6" s="61"/>
      <c r="M6" s="61"/>
      <c r="Q6" s="102"/>
    </row>
    <row r="7" spans="1:26" ht="28.8" customHeight="1" x14ac:dyDescent="0.3">
      <c r="B7" s="244" t="s">
        <v>240</v>
      </c>
      <c r="C7" s="244"/>
      <c r="D7" s="244"/>
      <c r="E7" s="244"/>
      <c r="F7" s="244"/>
      <c r="G7" s="244"/>
      <c r="H7" s="244"/>
      <c r="I7" s="244"/>
      <c r="J7" s="244"/>
      <c r="K7" s="244"/>
      <c r="L7" s="244"/>
      <c r="M7" s="244"/>
      <c r="N7" s="244"/>
      <c r="O7" s="244"/>
      <c r="P7" s="244"/>
      <c r="Q7" s="244"/>
      <c r="R7" s="136"/>
      <c r="S7" s="136"/>
    </row>
    <row r="8" spans="1:26" ht="39" customHeight="1" x14ac:dyDescent="0.3">
      <c r="G8" s="61"/>
      <c r="H8" s="61"/>
      <c r="I8" s="61"/>
      <c r="J8" s="61"/>
      <c r="K8" s="61"/>
      <c r="L8" s="61"/>
      <c r="M8" s="61"/>
    </row>
    <row r="9" spans="1:26" x14ac:dyDescent="0.3">
      <c r="G9" s="61"/>
      <c r="H9" s="61"/>
      <c r="I9" s="61"/>
      <c r="J9" s="61"/>
      <c r="K9" s="61"/>
      <c r="L9" s="61"/>
      <c r="M9" s="61"/>
    </row>
    <row r="10" spans="1:26" x14ac:dyDescent="0.3">
      <c r="B10" s="142" t="s">
        <v>247</v>
      </c>
      <c r="C10" s="142"/>
      <c r="D10" s="143"/>
      <c r="E10" s="143"/>
      <c r="F10" s="143"/>
      <c r="G10" s="144"/>
      <c r="H10" s="144"/>
      <c r="I10" s="144"/>
      <c r="J10" s="144"/>
      <c r="K10" s="144"/>
      <c r="L10" s="144"/>
      <c r="M10" s="144"/>
      <c r="N10" s="143"/>
      <c r="O10" s="143"/>
      <c r="P10" s="143"/>
      <c r="Q10" s="143"/>
    </row>
    <row r="11" spans="1:26" x14ac:dyDescent="0.3">
      <c r="A11" s="61"/>
      <c r="B11" s="61"/>
      <c r="C11" s="61"/>
      <c r="D11" s="61"/>
      <c r="E11" s="61"/>
      <c r="F11" s="61"/>
      <c r="G11" s="61"/>
      <c r="H11" s="61"/>
      <c r="I11" s="79"/>
      <c r="J11" s="61"/>
      <c r="K11" s="61"/>
      <c r="L11" s="61"/>
      <c r="M11" s="61"/>
      <c r="N11" s="61"/>
      <c r="O11" s="61"/>
      <c r="P11" s="61"/>
      <c r="Q11" s="61"/>
    </row>
    <row r="12" spans="1:26" ht="18" x14ac:dyDescent="0.35">
      <c r="C12" s="137" t="s">
        <v>28</v>
      </c>
      <c r="D12" s="141">
        <f>'For Employee'!E21</f>
        <v>4.5546384</v>
      </c>
      <c r="E12" s="141">
        <f>'For Employee'!F21</f>
        <v>4.3893390000000005</v>
      </c>
      <c r="F12" s="141">
        <f>'For Employee'!G21</f>
        <v>7.5705162000000001</v>
      </c>
      <c r="G12" s="141">
        <f>'For Employee'!H21</f>
        <v>7.7055985500000004</v>
      </c>
      <c r="H12" s="141">
        <f>'For Employee'!I21</f>
        <v>8.0056460400000002</v>
      </c>
      <c r="I12" s="141">
        <f>'For Employee'!J21</f>
        <v>8.6720761</v>
      </c>
      <c r="J12" s="141">
        <f>'For Employee'!K21</f>
        <v>7.9119280285714293</v>
      </c>
      <c r="K12" s="141">
        <f>'For Employee'!L21</f>
        <v>8.1180660000000007</v>
      </c>
      <c r="L12" s="141">
        <f>'For Employee'!M21</f>
        <v>8.1459954666666654</v>
      </c>
      <c r="M12" s="141">
        <f>'For Employee'!N21</f>
        <v>7.797659519999999</v>
      </c>
      <c r="N12" s="141">
        <f>'For Employee'!O21</f>
        <v>7.2905481818181812</v>
      </c>
      <c r="O12" s="141">
        <f>'For Employee'!P21</f>
        <v>7.5790550499999991</v>
      </c>
    </row>
    <row r="13" spans="1:26" ht="18" x14ac:dyDescent="0.35">
      <c r="C13" s="137"/>
      <c r="D13" s="138"/>
      <c r="E13" s="137"/>
      <c r="F13" s="137"/>
      <c r="G13" s="61"/>
      <c r="H13" s="79"/>
      <c r="I13" s="61"/>
      <c r="J13" s="61"/>
      <c r="K13" s="61"/>
      <c r="L13" s="61"/>
      <c r="M13" s="61"/>
      <c r="N13" s="61"/>
      <c r="O13" s="61"/>
    </row>
    <row r="14" spans="1:26" x14ac:dyDescent="0.3">
      <c r="B14" t="s">
        <v>241</v>
      </c>
      <c r="C14" s="61" t="s">
        <v>242</v>
      </c>
      <c r="D14" s="139">
        <v>0</v>
      </c>
      <c r="E14" s="61">
        <v>0</v>
      </c>
      <c r="F14" s="61">
        <v>0</v>
      </c>
      <c r="G14" s="61">
        <v>0</v>
      </c>
      <c r="H14" s="61">
        <v>0</v>
      </c>
      <c r="I14" s="61">
        <v>0</v>
      </c>
      <c r="J14" s="61">
        <v>0</v>
      </c>
      <c r="K14" s="61">
        <v>0</v>
      </c>
      <c r="L14" s="61">
        <v>0</v>
      </c>
      <c r="M14" s="61">
        <v>0</v>
      </c>
      <c r="N14" s="61">
        <v>0</v>
      </c>
      <c r="O14" s="61">
        <v>0</v>
      </c>
      <c r="Q14" s="140">
        <v>0</v>
      </c>
    </row>
    <row r="15" spans="1:26" x14ac:dyDescent="0.3">
      <c r="B15" t="s">
        <v>243</v>
      </c>
      <c r="C15" s="61" t="s">
        <v>244</v>
      </c>
      <c r="D15" s="139">
        <f t="shared" ref="D15:O15" si="0">D12</f>
        <v>4.5546384</v>
      </c>
      <c r="E15" s="61">
        <f t="shared" si="0"/>
        <v>4.3893390000000005</v>
      </c>
      <c r="F15" s="61">
        <f t="shared" si="0"/>
        <v>7.5705162000000001</v>
      </c>
      <c r="G15" s="61">
        <f t="shared" si="0"/>
        <v>7.7055985500000004</v>
      </c>
      <c r="H15" s="61">
        <f t="shared" si="0"/>
        <v>8.0056460400000002</v>
      </c>
      <c r="I15" s="61">
        <f t="shared" si="0"/>
        <v>8.6720761</v>
      </c>
      <c r="J15" s="61">
        <f t="shared" si="0"/>
        <v>7.9119280285714293</v>
      </c>
      <c r="K15" s="61">
        <f t="shared" si="0"/>
        <v>8.1180660000000007</v>
      </c>
      <c r="L15" s="61">
        <f t="shared" si="0"/>
        <v>8.1459954666666654</v>
      </c>
      <c r="M15" s="61">
        <f t="shared" si="0"/>
        <v>7.797659519999999</v>
      </c>
      <c r="N15" s="61">
        <f t="shared" si="0"/>
        <v>7.2905481818181812</v>
      </c>
      <c r="O15" s="61">
        <f t="shared" si="0"/>
        <v>7.5790550499999991</v>
      </c>
      <c r="Q15" s="140">
        <v>0.5</v>
      </c>
    </row>
    <row r="16" spans="1:26" x14ac:dyDescent="0.3">
      <c r="B16" s="2" t="s">
        <v>251</v>
      </c>
      <c r="C16" s="79" t="s">
        <v>246</v>
      </c>
      <c r="D16" s="139">
        <f t="shared" ref="D16:O16" si="1" xml:space="preserve"> (D12-1)*2+1</f>
        <v>8.1092768</v>
      </c>
      <c r="E16" s="61">
        <f t="shared" si="1"/>
        <v>7.7786780000000011</v>
      </c>
      <c r="F16" s="61">
        <f t="shared" si="1"/>
        <v>14.1410324</v>
      </c>
      <c r="G16" s="61">
        <f t="shared" si="1"/>
        <v>14.411197100000001</v>
      </c>
      <c r="H16" s="61">
        <f t="shared" si="1"/>
        <v>15.01129208</v>
      </c>
      <c r="I16" s="61">
        <f t="shared" si="1"/>
        <v>16.3441522</v>
      </c>
      <c r="J16" s="61">
        <f t="shared" si="1"/>
        <v>14.823856057142859</v>
      </c>
      <c r="K16" s="61">
        <f t="shared" si="1"/>
        <v>15.236132000000001</v>
      </c>
      <c r="L16" s="61">
        <f t="shared" si="1"/>
        <v>15.291990933333331</v>
      </c>
      <c r="M16" s="61">
        <f t="shared" si="1"/>
        <v>14.595319039999998</v>
      </c>
      <c r="N16" s="61">
        <f t="shared" si="1"/>
        <v>13.581096363636362</v>
      </c>
      <c r="O16" s="61">
        <f t="shared" si="1"/>
        <v>14.158110099999998</v>
      </c>
      <c r="Q16" s="140">
        <v>1</v>
      </c>
    </row>
    <row r="17" spans="1:17" x14ac:dyDescent="0.3">
      <c r="B17" s="2" t="s">
        <v>258</v>
      </c>
      <c r="C17" s="148">
        <v>3</v>
      </c>
      <c r="D17" s="139">
        <v>3</v>
      </c>
      <c r="E17">
        <f>D17</f>
        <v>3</v>
      </c>
      <c r="F17">
        <f t="shared" ref="F17:O17" si="2">E17</f>
        <v>3</v>
      </c>
      <c r="G17">
        <f t="shared" si="2"/>
        <v>3</v>
      </c>
      <c r="H17">
        <f t="shared" si="2"/>
        <v>3</v>
      </c>
      <c r="I17">
        <f t="shared" si="2"/>
        <v>3</v>
      </c>
      <c r="J17">
        <f t="shared" si="2"/>
        <v>3</v>
      </c>
      <c r="K17">
        <f t="shared" si="2"/>
        <v>3</v>
      </c>
      <c r="L17">
        <f t="shared" si="2"/>
        <v>3</v>
      </c>
      <c r="M17">
        <f t="shared" si="2"/>
        <v>3</v>
      </c>
      <c r="N17">
        <f t="shared" si="2"/>
        <v>3</v>
      </c>
      <c r="O17">
        <f t="shared" si="2"/>
        <v>3</v>
      </c>
      <c r="Q17" s="140">
        <v>2</v>
      </c>
    </row>
    <row r="18" spans="1:17" ht="40.799999999999997" customHeight="1" x14ac:dyDescent="0.3"/>
    <row r="19" spans="1:17" x14ac:dyDescent="0.3">
      <c r="B19" s="142" t="s">
        <v>252</v>
      </c>
      <c r="C19" s="142"/>
      <c r="D19" s="143"/>
      <c r="E19" s="143"/>
      <c r="F19" s="143"/>
      <c r="G19" s="144"/>
      <c r="H19" s="144"/>
      <c r="I19" s="144"/>
      <c r="J19" s="144"/>
      <c r="K19" s="144"/>
      <c r="L19" s="144"/>
      <c r="M19" s="144"/>
      <c r="N19" s="143"/>
      <c r="O19" s="143"/>
      <c r="P19" s="143"/>
      <c r="Q19" s="143"/>
    </row>
    <row r="20" spans="1:17" x14ac:dyDescent="0.3">
      <c r="A20" s="61"/>
      <c r="B20" s="61"/>
      <c r="C20" s="61"/>
      <c r="D20" s="61"/>
      <c r="E20" s="61"/>
      <c r="F20" s="61"/>
      <c r="G20" s="61"/>
      <c r="H20" s="61"/>
      <c r="I20" s="79"/>
      <c r="J20" s="61"/>
      <c r="K20" s="61"/>
      <c r="L20" s="61"/>
      <c r="M20" s="61"/>
      <c r="N20" s="61"/>
      <c r="O20" s="61"/>
      <c r="P20" s="61"/>
      <c r="Q20" s="61"/>
    </row>
    <row r="21" spans="1:17" ht="18" x14ac:dyDescent="0.35">
      <c r="C21" s="137" t="s">
        <v>28</v>
      </c>
      <c r="D21" s="141">
        <f>'For Employee'!E32</f>
        <v>0.45546384000000001</v>
      </c>
      <c r="E21" s="141">
        <f>'For Employee'!F32</f>
        <v>0.43893389999999999</v>
      </c>
      <c r="F21" s="141">
        <f>'For Employee'!G32</f>
        <v>0.75705162000000004</v>
      </c>
      <c r="G21" s="141">
        <f>'For Employee'!H32</f>
        <v>0.77055985500000002</v>
      </c>
      <c r="H21" s="141">
        <f>'For Employee'!I32</f>
        <v>0.80056460399999996</v>
      </c>
      <c r="I21" s="141">
        <f>'For Employee'!J32</f>
        <v>0.86720761000000002</v>
      </c>
      <c r="J21" s="141">
        <f>'For Employee'!K32</f>
        <v>0.79119280285714289</v>
      </c>
      <c r="K21" s="141">
        <f>'For Employee'!L32</f>
        <v>0.81180660000000004</v>
      </c>
      <c r="L21" s="141">
        <f>'For Employee'!M32</f>
        <v>0.81459954666666667</v>
      </c>
      <c r="M21" s="141">
        <f>'For Employee'!N32</f>
        <v>0.7797659520000001</v>
      </c>
      <c r="N21" s="141">
        <f>'For Employee'!O32</f>
        <v>0.72905481818181828</v>
      </c>
      <c r="O21" s="141">
        <f>'For Employee'!P32</f>
        <v>0.75790550499999998</v>
      </c>
    </row>
    <row r="22" spans="1:17" ht="18" x14ac:dyDescent="0.35">
      <c r="C22" s="137"/>
      <c r="D22" s="138"/>
      <c r="E22" s="137"/>
      <c r="F22" s="137"/>
      <c r="G22" s="61"/>
      <c r="H22" s="79"/>
      <c r="I22" s="61"/>
      <c r="J22" s="61"/>
      <c r="K22" s="61"/>
      <c r="L22" s="61"/>
      <c r="M22" s="61"/>
      <c r="N22" s="61"/>
      <c r="O22" s="61"/>
    </row>
    <row r="23" spans="1:17" x14ac:dyDescent="0.3">
      <c r="B23" t="s">
        <v>241</v>
      </c>
      <c r="C23" s="79" t="s">
        <v>248</v>
      </c>
      <c r="D23" s="139">
        <v>0</v>
      </c>
      <c r="E23" s="61">
        <v>0</v>
      </c>
      <c r="F23" s="61">
        <v>0</v>
      </c>
      <c r="G23" s="61">
        <v>0</v>
      </c>
      <c r="H23" s="61">
        <v>0</v>
      </c>
      <c r="I23" s="61">
        <v>0</v>
      </c>
      <c r="J23" s="61">
        <v>0</v>
      </c>
      <c r="K23" s="61">
        <v>0</v>
      </c>
      <c r="L23" s="61">
        <v>0</v>
      </c>
      <c r="M23" s="61">
        <v>0</v>
      </c>
      <c r="N23" s="61">
        <v>0</v>
      </c>
      <c r="O23" s="61">
        <v>0</v>
      </c>
      <c r="Q23" s="140">
        <v>0</v>
      </c>
    </row>
    <row r="24" spans="1:17" x14ac:dyDescent="0.3">
      <c r="B24" t="s">
        <v>243</v>
      </c>
      <c r="C24" s="61" t="s">
        <v>249</v>
      </c>
      <c r="D24" s="139">
        <f t="shared" ref="D24:O24" si="3">D21</f>
        <v>0.45546384000000001</v>
      </c>
      <c r="E24" s="61">
        <f t="shared" si="3"/>
        <v>0.43893389999999999</v>
      </c>
      <c r="F24" s="61">
        <f t="shared" si="3"/>
        <v>0.75705162000000004</v>
      </c>
      <c r="G24" s="61">
        <f t="shared" si="3"/>
        <v>0.77055985500000002</v>
      </c>
      <c r="H24" s="61">
        <f t="shared" si="3"/>
        <v>0.80056460399999996</v>
      </c>
      <c r="I24" s="61">
        <f t="shared" si="3"/>
        <v>0.86720761000000002</v>
      </c>
      <c r="J24" s="61">
        <f t="shared" si="3"/>
        <v>0.79119280285714289</v>
      </c>
      <c r="K24" s="61">
        <f t="shared" si="3"/>
        <v>0.81180660000000004</v>
      </c>
      <c r="L24" s="61">
        <f t="shared" si="3"/>
        <v>0.81459954666666667</v>
      </c>
      <c r="M24" s="61">
        <f t="shared" si="3"/>
        <v>0.7797659520000001</v>
      </c>
      <c r="N24" s="61">
        <f t="shared" si="3"/>
        <v>0.72905481818181828</v>
      </c>
      <c r="O24" s="61">
        <f t="shared" si="3"/>
        <v>0.75790550499999998</v>
      </c>
      <c r="Q24" s="140">
        <v>0.5</v>
      </c>
    </row>
    <row r="25" spans="1:17" x14ac:dyDescent="0.3">
      <c r="B25" t="s">
        <v>245</v>
      </c>
      <c r="C25" s="79" t="s">
        <v>250</v>
      </c>
      <c r="D25" s="139">
        <f t="shared" ref="D25:O25" si="4" xml:space="preserve"> (D21-1)*2+1</f>
        <v>-8.9072320000000094E-2</v>
      </c>
      <c r="E25" s="61">
        <f t="shared" si="4"/>
        <v>-0.12213220000000002</v>
      </c>
      <c r="F25" s="61">
        <f t="shared" si="4"/>
        <v>0.51410324000000007</v>
      </c>
      <c r="G25" s="61">
        <f t="shared" si="4"/>
        <v>0.54111971000000003</v>
      </c>
      <c r="H25" s="61">
        <f t="shared" si="4"/>
        <v>0.60112920799999991</v>
      </c>
      <c r="I25" s="61">
        <f t="shared" si="4"/>
        <v>0.73441522000000004</v>
      </c>
      <c r="J25" s="61">
        <f t="shared" si="4"/>
        <v>0.58238560571428577</v>
      </c>
      <c r="K25" s="61">
        <f t="shared" si="4"/>
        <v>0.62361320000000009</v>
      </c>
      <c r="L25" s="61">
        <f t="shared" si="4"/>
        <v>0.62919909333333335</v>
      </c>
      <c r="M25" s="61">
        <f t="shared" si="4"/>
        <v>0.55953190400000019</v>
      </c>
      <c r="N25" s="61">
        <f t="shared" si="4"/>
        <v>0.45810963636363655</v>
      </c>
      <c r="O25" s="61">
        <f t="shared" si="4"/>
        <v>0.51581100999999996</v>
      </c>
      <c r="Q25" s="140">
        <v>1</v>
      </c>
    </row>
    <row r="26" spans="1:17" x14ac:dyDescent="0.3">
      <c r="B26" s="2" t="s">
        <v>258</v>
      </c>
      <c r="C26" s="148">
        <v>3</v>
      </c>
      <c r="D26" s="139">
        <v>3</v>
      </c>
      <c r="E26">
        <f>D26</f>
        <v>3</v>
      </c>
      <c r="F26">
        <f t="shared" ref="F26:O26" si="5">E26</f>
        <v>3</v>
      </c>
      <c r="G26">
        <f t="shared" si="5"/>
        <v>3</v>
      </c>
      <c r="H26">
        <f t="shared" si="5"/>
        <v>3</v>
      </c>
      <c r="I26">
        <f t="shared" si="5"/>
        <v>3</v>
      </c>
      <c r="J26">
        <f t="shared" si="5"/>
        <v>3</v>
      </c>
      <c r="K26">
        <f t="shared" si="5"/>
        <v>3</v>
      </c>
      <c r="L26">
        <f t="shared" si="5"/>
        <v>3</v>
      </c>
      <c r="M26">
        <f t="shared" si="5"/>
        <v>3</v>
      </c>
      <c r="N26">
        <f t="shared" si="5"/>
        <v>3</v>
      </c>
      <c r="O26">
        <f t="shared" si="5"/>
        <v>3</v>
      </c>
      <c r="Q26" s="140">
        <v>2</v>
      </c>
    </row>
    <row r="29" spans="1:17" x14ac:dyDescent="0.3">
      <c r="B29" s="142" t="s">
        <v>253</v>
      </c>
      <c r="C29" s="142"/>
      <c r="D29" s="143"/>
      <c r="E29" s="143"/>
      <c r="F29" s="143"/>
      <c r="G29" s="144"/>
      <c r="H29" s="144"/>
      <c r="I29" s="144"/>
      <c r="J29" s="144"/>
      <c r="K29" s="144"/>
      <c r="L29" s="144"/>
      <c r="M29" s="144"/>
      <c r="N29" s="143"/>
      <c r="O29" s="143"/>
      <c r="P29" s="143"/>
      <c r="Q29" s="143"/>
    </row>
    <row r="30" spans="1:17" x14ac:dyDescent="0.3">
      <c r="A30" s="61"/>
      <c r="B30" s="61"/>
      <c r="C30" s="61"/>
      <c r="D30" s="61"/>
      <c r="E30" s="61"/>
      <c r="F30" s="61"/>
      <c r="G30" s="61"/>
      <c r="H30" s="61"/>
      <c r="I30" s="79"/>
      <c r="J30" s="61"/>
      <c r="K30" s="61"/>
      <c r="L30" s="61"/>
      <c r="M30" s="61"/>
      <c r="N30" s="61"/>
      <c r="O30" s="61"/>
      <c r="P30" s="61"/>
      <c r="Q30" s="61"/>
    </row>
    <row r="31" spans="1:17" ht="18" x14ac:dyDescent="0.35">
      <c r="C31" s="137" t="s">
        <v>28</v>
      </c>
      <c r="D31" s="141">
        <f>'For Employee'!E42</f>
        <v>0</v>
      </c>
      <c r="E31" s="141">
        <f>'For Employee'!F42</f>
        <v>3.6</v>
      </c>
      <c r="F31" s="141">
        <f>'For Employee'!G42</f>
        <v>2.4</v>
      </c>
      <c r="G31" s="141">
        <f>'For Employee'!H42</f>
        <v>1.8</v>
      </c>
      <c r="H31" s="141">
        <f>'For Employee'!I42</f>
        <v>6.7252881600000007</v>
      </c>
      <c r="I31" s="141">
        <f>'For Employee'!J42</f>
        <v>5.6044068000000005</v>
      </c>
      <c r="J31" s="141">
        <f>'For Employee'!K42</f>
        <v>6.5180629714285718</v>
      </c>
      <c r="K31" s="141">
        <f>'For Employee'!L42</f>
        <v>5.7033051000000006</v>
      </c>
      <c r="L31" s="141">
        <f>'For Employee'!M42</f>
        <v>5.0696045333333331</v>
      </c>
      <c r="M31" s="141">
        <f>'For Employee'!N42</f>
        <v>6.2426440799999998</v>
      </c>
      <c r="N31" s="141">
        <f>'For Employee'!O42</f>
        <v>5.6751309818181817</v>
      </c>
      <c r="O31" s="141">
        <f>'For Employee'!P42</f>
        <v>8.6022033999999987</v>
      </c>
    </row>
    <row r="32" spans="1:17" ht="18" x14ac:dyDescent="0.35">
      <c r="C32" s="137"/>
      <c r="D32" s="138"/>
      <c r="E32" s="137"/>
      <c r="F32" s="137"/>
      <c r="G32" s="61"/>
      <c r="H32" s="79"/>
      <c r="I32" s="61"/>
      <c r="J32" s="61"/>
      <c r="K32" s="61"/>
      <c r="L32" s="61"/>
      <c r="M32" s="61"/>
      <c r="N32" s="61"/>
      <c r="O32" s="61"/>
    </row>
    <row r="33" spans="1:22" x14ac:dyDescent="0.3">
      <c r="B33" s="2" t="s">
        <v>254</v>
      </c>
      <c r="C33" s="79" t="s">
        <v>255</v>
      </c>
      <c r="D33" s="147">
        <f>D31</f>
        <v>0</v>
      </c>
      <c r="E33" s="146">
        <f t="shared" ref="E33:O33" si="6">E31</f>
        <v>3.6</v>
      </c>
      <c r="F33" s="146">
        <f t="shared" si="6"/>
        <v>2.4</v>
      </c>
      <c r="G33" s="146">
        <f t="shared" si="6"/>
        <v>1.8</v>
      </c>
      <c r="H33" s="146">
        <f t="shared" si="6"/>
        <v>6.7252881600000007</v>
      </c>
      <c r="I33" s="146">
        <f t="shared" si="6"/>
        <v>5.6044068000000005</v>
      </c>
      <c r="J33" s="146">
        <f t="shared" si="6"/>
        <v>6.5180629714285718</v>
      </c>
      <c r="K33" s="146">
        <f>K31</f>
        <v>5.7033051000000006</v>
      </c>
      <c r="L33" s="146">
        <f t="shared" si="6"/>
        <v>5.0696045333333331</v>
      </c>
      <c r="M33" s="146">
        <f t="shared" si="6"/>
        <v>6.2426440799999998</v>
      </c>
      <c r="N33" s="146">
        <f t="shared" si="6"/>
        <v>5.6751309818181817</v>
      </c>
      <c r="O33" s="146">
        <f t="shared" si="6"/>
        <v>8.6022033999999987</v>
      </c>
      <c r="Q33" s="140">
        <v>0</v>
      </c>
    </row>
    <row r="34" spans="1:22" x14ac:dyDescent="0.3">
      <c r="B34" s="2" t="s">
        <v>256</v>
      </c>
      <c r="C34" s="79" t="s">
        <v>257</v>
      </c>
      <c r="D34" s="139">
        <f xml:space="preserve"> (D31-1)*3+1</f>
        <v>-2</v>
      </c>
      <c r="E34" s="61">
        <f xml:space="preserve"> (E31-1)*3+1</f>
        <v>8.8000000000000007</v>
      </c>
      <c r="F34" s="61">
        <f t="shared" ref="F34:O34" si="7" xml:space="preserve"> (F31-1)*3+1</f>
        <v>5.1999999999999993</v>
      </c>
      <c r="G34" s="61">
        <f t="shared" si="7"/>
        <v>3.4000000000000004</v>
      </c>
      <c r="H34" s="61">
        <f t="shared" si="7"/>
        <v>18.175864480000001</v>
      </c>
      <c r="I34" s="61">
        <f t="shared" si="7"/>
        <v>14.813220400000002</v>
      </c>
      <c r="J34" s="61">
        <f t="shared" si="7"/>
        <v>17.554188914285717</v>
      </c>
      <c r="K34" s="61">
        <f t="shared" si="7"/>
        <v>15.109915300000001</v>
      </c>
      <c r="L34" s="61">
        <f t="shared" si="7"/>
        <v>13.208813599999999</v>
      </c>
      <c r="M34" s="61">
        <f t="shared" si="7"/>
        <v>16.727932240000001</v>
      </c>
      <c r="N34" s="61">
        <f t="shared" si="7"/>
        <v>15.025392945454545</v>
      </c>
      <c r="O34" s="61">
        <f t="shared" si="7"/>
        <v>23.806610199999994</v>
      </c>
      <c r="Q34" s="140">
        <v>1</v>
      </c>
    </row>
    <row r="35" spans="1:22" x14ac:dyDescent="0.3">
      <c r="B35" s="2" t="s">
        <v>258</v>
      </c>
      <c r="C35" s="149">
        <v>3</v>
      </c>
      <c r="D35" s="139">
        <v>3</v>
      </c>
      <c r="E35">
        <f>D35</f>
        <v>3</v>
      </c>
      <c r="F35">
        <f t="shared" ref="F35:O35" si="8">E35</f>
        <v>3</v>
      </c>
      <c r="G35">
        <f t="shared" si="8"/>
        <v>3</v>
      </c>
      <c r="H35">
        <f t="shared" si="8"/>
        <v>3</v>
      </c>
      <c r="I35">
        <f t="shared" si="8"/>
        <v>3</v>
      </c>
      <c r="J35">
        <f t="shared" si="8"/>
        <v>3</v>
      </c>
      <c r="K35">
        <f t="shared" si="8"/>
        <v>3</v>
      </c>
      <c r="L35">
        <f t="shared" si="8"/>
        <v>3</v>
      </c>
      <c r="M35">
        <f t="shared" si="8"/>
        <v>3</v>
      </c>
      <c r="N35">
        <f t="shared" si="8"/>
        <v>3</v>
      </c>
      <c r="O35">
        <f t="shared" si="8"/>
        <v>3</v>
      </c>
      <c r="Q35" s="140">
        <f>(3-1)/3+1</f>
        <v>1.6666666666666665</v>
      </c>
    </row>
    <row r="38" spans="1:22" x14ac:dyDescent="0.3">
      <c r="B38" s="142" t="s">
        <v>259</v>
      </c>
      <c r="C38" s="142"/>
      <c r="D38" s="143"/>
      <c r="E38" s="143"/>
      <c r="F38" s="143"/>
      <c r="G38" s="144"/>
      <c r="H38" s="144"/>
      <c r="I38" s="144"/>
      <c r="J38" s="144"/>
      <c r="K38" s="144"/>
      <c r="L38" s="144"/>
      <c r="M38" s="144"/>
      <c r="N38" s="143"/>
      <c r="O38" s="143"/>
      <c r="P38" s="143"/>
      <c r="Q38" s="143"/>
    </row>
    <row r="39" spans="1:22" x14ac:dyDescent="0.3">
      <c r="A39" s="61"/>
      <c r="B39" s="61"/>
      <c r="C39" s="61"/>
      <c r="D39" s="61"/>
      <c r="E39" s="61"/>
      <c r="F39" s="61"/>
      <c r="G39" s="61"/>
      <c r="H39" s="61"/>
      <c r="I39" s="79"/>
      <c r="J39" s="61"/>
      <c r="K39" s="61"/>
      <c r="L39" s="61"/>
      <c r="M39" s="61"/>
      <c r="N39" s="61"/>
      <c r="O39" s="61"/>
      <c r="P39" s="61"/>
      <c r="Q39" s="61"/>
    </row>
    <row r="40" spans="1:22" ht="18" x14ac:dyDescent="0.35">
      <c r="C40" s="137" t="s">
        <v>28</v>
      </c>
      <c r="D40" s="141">
        <f>'For Employee'!E53</f>
        <v>3.5043299999999999</v>
      </c>
      <c r="E40" s="141">
        <f>'For Employee'!F53</f>
        <v>13.773284999999998</v>
      </c>
      <c r="F40" s="141">
        <f>'For Employee'!G53</f>
        <v>21.591081999999997</v>
      </c>
      <c r="G40" s="141">
        <f>'For Employee'!H53</f>
        <v>22.9569075</v>
      </c>
      <c r="H40" s="141">
        <f>'For Employee'!I53</f>
        <v>23.431959599999999</v>
      </c>
      <c r="I40" s="141">
        <f>'For Employee'!J53</f>
        <v>20.514662999999999</v>
      </c>
      <c r="J40" s="141">
        <f>'For Employee'!K53</f>
        <v>18.081182571428567</v>
      </c>
      <c r="K40" s="141">
        <f>'For Employee'!L53</f>
        <v>16.499801999999995</v>
      </c>
      <c r="L40" s="141">
        <f>'For Employee'!M53</f>
        <v>14.895167333333331</v>
      </c>
      <c r="M40" s="141">
        <f>'For Employee'!N53</f>
        <v>13.702080599999999</v>
      </c>
      <c r="N40" s="141">
        <f>'For Employee'!O53</f>
        <v>12.836096727272725</v>
      </c>
      <c r="O40" s="141">
        <f>'For Employee'!P53</f>
        <v>12.218440999999999</v>
      </c>
    </row>
    <row r="41" spans="1:22" ht="18" x14ac:dyDescent="0.35">
      <c r="C41" s="137"/>
      <c r="D41" s="138"/>
      <c r="E41" s="137"/>
      <c r="F41" s="137"/>
      <c r="G41" s="61"/>
      <c r="H41" s="79"/>
      <c r="I41" s="61"/>
      <c r="J41" s="61"/>
      <c r="K41" s="61"/>
      <c r="L41" s="61"/>
      <c r="M41" s="61"/>
      <c r="N41" s="61"/>
      <c r="O41" s="61"/>
    </row>
    <row r="42" spans="1:22" x14ac:dyDescent="0.3">
      <c r="B42" s="2" t="s">
        <v>261</v>
      </c>
      <c r="C42" s="79" t="s">
        <v>260</v>
      </c>
      <c r="D42" s="145">
        <f>D40</f>
        <v>3.5043299999999999</v>
      </c>
      <c r="E42" s="146">
        <f>E40</f>
        <v>13.773284999999998</v>
      </c>
      <c r="F42" s="146">
        <f t="shared" ref="F42:O42" si="9">F40</f>
        <v>21.591081999999997</v>
      </c>
      <c r="G42" s="146">
        <f t="shared" si="9"/>
        <v>22.9569075</v>
      </c>
      <c r="H42" s="146">
        <f t="shared" si="9"/>
        <v>23.431959599999999</v>
      </c>
      <c r="I42" s="146">
        <f t="shared" si="9"/>
        <v>20.514662999999999</v>
      </c>
      <c r="J42" s="146">
        <f t="shared" si="9"/>
        <v>18.081182571428567</v>
      </c>
      <c r="K42" s="146">
        <f t="shared" si="9"/>
        <v>16.499801999999995</v>
      </c>
      <c r="L42" s="146">
        <f t="shared" si="9"/>
        <v>14.895167333333331</v>
      </c>
      <c r="M42" s="146">
        <f t="shared" si="9"/>
        <v>13.702080599999999</v>
      </c>
      <c r="N42" s="146">
        <f>N40</f>
        <v>12.836096727272725</v>
      </c>
      <c r="O42" s="146">
        <f t="shared" si="9"/>
        <v>12.218440999999999</v>
      </c>
      <c r="Q42" s="140">
        <v>0</v>
      </c>
    </row>
    <row r="43" spans="1:22" x14ac:dyDescent="0.3">
      <c r="B43" s="2" t="s">
        <v>258</v>
      </c>
      <c r="C43" s="149">
        <v>3</v>
      </c>
      <c r="D43" s="139">
        <v>3</v>
      </c>
      <c r="E43" s="61">
        <f>D43</f>
        <v>3</v>
      </c>
      <c r="F43" s="61">
        <f t="shared" ref="F43:O43" si="10">E43</f>
        <v>3</v>
      </c>
      <c r="G43" s="61">
        <f t="shared" si="10"/>
        <v>3</v>
      </c>
      <c r="H43" s="61">
        <f t="shared" si="10"/>
        <v>3</v>
      </c>
      <c r="I43" s="61">
        <f t="shared" si="10"/>
        <v>3</v>
      </c>
      <c r="J43" s="61">
        <f t="shared" si="10"/>
        <v>3</v>
      </c>
      <c r="K43" s="61">
        <f t="shared" si="10"/>
        <v>3</v>
      </c>
      <c r="L43" s="61">
        <f t="shared" si="10"/>
        <v>3</v>
      </c>
      <c r="M43" s="61">
        <f t="shared" si="10"/>
        <v>3</v>
      </c>
      <c r="N43" s="61">
        <f t="shared" si="10"/>
        <v>3</v>
      </c>
      <c r="O43" s="61">
        <f t="shared" si="10"/>
        <v>3</v>
      </c>
      <c r="Q43" s="140">
        <v>3</v>
      </c>
    </row>
    <row r="44" spans="1:22" x14ac:dyDescent="0.3">
      <c r="B44" s="2"/>
      <c r="C44" s="149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</row>
    <row r="45" spans="1:22" x14ac:dyDescent="0.3"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P45" s="61"/>
      <c r="Q45" s="61"/>
      <c r="R45" s="61"/>
      <c r="S45" s="61"/>
      <c r="T45" s="61"/>
      <c r="U45" s="61"/>
      <c r="V45" s="61"/>
    </row>
    <row r="46" spans="1:22" x14ac:dyDescent="0.3"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</row>
  </sheetData>
  <mergeCells count="2">
    <mergeCell ref="B3:Q3"/>
    <mergeCell ref="B7:Q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-0.249977111117893"/>
  </sheetPr>
  <dimension ref="A1:Z1000"/>
  <sheetViews>
    <sheetView zoomScale="91" workbookViewId="0">
      <selection activeCell="C4" sqref="C4"/>
    </sheetView>
  </sheetViews>
  <sheetFormatPr defaultColWidth="11.19921875" defaultRowHeight="15" customHeight="1" x14ac:dyDescent="0.3"/>
  <cols>
    <col min="1" max="1" width="5.09765625" customWidth="1"/>
    <col min="2" max="2" width="16.69921875" customWidth="1"/>
    <col min="3" max="3" width="23.19921875" customWidth="1"/>
    <col min="4" max="4" width="15.796875" customWidth="1"/>
    <col min="5" max="5" width="9" customWidth="1"/>
    <col min="6" max="6" width="13.09765625" customWidth="1"/>
    <col min="7" max="7" width="8.59765625" customWidth="1"/>
    <col min="8" max="8" width="13.8984375" customWidth="1"/>
    <col min="9" max="9" width="3.8984375" style="61" bestFit="1" customWidth="1"/>
    <col min="10" max="10" width="16.69921875" style="61" bestFit="1" customWidth="1"/>
    <col min="11" max="11" width="18.796875" bestFit="1" customWidth="1"/>
    <col min="12" max="12" width="16.3984375" bestFit="1" customWidth="1"/>
    <col min="13" max="13" width="8.5" bestFit="1" customWidth="1"/>
    <col min="14" max="14" width="8.19921875" bestFit="1" customWidth="1"/>
    <col min="15" max="15" width="8.59765625" style="54" customWidth="1"/>
    <col min="16" max="26" width="8.59765625" customWidth="1"/>
  </cols>
  <sheetData>
    <row r="1" spans="1:26" ht="15.6" x14ac:dyDescent="0.3">
      <c r="A1" s="28" t="s">
        <v>158</v>
      </c>
      <c r="B1" s="28" t="s">
        <v>159</v>
      </c>
      <c r="C1" s="28" t="s">
        <v>160</v>
      </c>
      <c r="D1" s="28" t="s">
        <v>161</v>
      </c>
      <c r="E1" s="28" t="s">
        <v>162</v>
      </c>
      <c r="F1" s="28" t="s">
        <v>163</v>
      </c>
      <c r="G1" s="1"/>
      <c r="H1" s="57"/>
      <c r="I1" s="58"/>
      <c r="J1" s="63"/>
      <c r="K1" s="66"/>
      <c r="L1" s="58"/>
      <c r="M1" s="58"/>
      <c r="N1" s="1"/>
      <c r="O1" s="67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6" x14ac:dyDescent="0.3">
      <c r="A2" s="29">
        <v>1</v>
      </c>
      <c r="B2" s="30" t="s">
        <v>164</v>
      </c>
      <c r="C2" s="31" t="s">
        <v>165</v>
      </c>
      <c r="D2" s="30"/>
      <c r="E2" s="32" t="s">
        <v>166</v>
      </c>
      <c r="F2" s="32" t="s">
        <v>238</v>
      </c>
      <c r="G2" s="54" t="str">
        <f>IF(ISNUMBER(SEARCH("rep", C2)), 1, "")</f>
        <v/>
      </c>
      <c r="H2" s="59"/>
      <c r="I2" s="60"/>
      <c r="J2" s="66"/>
      <c r="K2" s="60"/>
      <c r="L2" s="60"/>
      <c r="M2" s="64"/>
    </row>
    <row r="3" spans="1:26" ht="15.6" x14ac:dyDescent="0.3">
      <c r="A3" s="29">
        <v>2</v>
      </c>
      <c r="B3" s="31" t="s">
        <v>167</v>
      </c>
      <c r="C3" s="32" t="s">
        <v>168</v>
      </c>
      <c r="D3" s="30" t="s">
        <v>164</v>
      </c>
      <c r="E3" s="32" t="s">
        <v>166</v>
      </c>
      <c r="F3" s="32" t="s">
        <v>238</v>
      </c>
      <c r="G3" s="54" t="str">
        <f t="shared" ref="G3:G32" si="0">IF(ISNUMBER(SEARCH("rep", C3)), 1, "")</f>
        <v/>
      </c>
      <c r="H3" s="59"/>
      <c r="I3" s="28" t="s">
        <v>158</v>
      </c>
      <c r="J3" s="28" t="s">
        <v>159</v>
      </c>
      <c r="K3" s="28" t="s">
        <v>160</v>
      </c>
      <c r="L3" s="28" t="s">
        <v>161</v>
      </c>
      <c r="M3" s="28" t="s">
        <v>162</v>
      </c>
      <c r="N3" s="28" t="s">
        <v>163</v>
      </c>
    </row>
    <row r="4" spans="1:26" ht="15.6" x14ac:dyDescent="0.3">
      <c r="A4" s="29">
        <v>3</v>
      </c>
      <c r="B4" s="31" t="s">
        <v>169</v>
      </c>
      <c r="C4" s="32" t="s">
        <v>168</v>
      </c>
      <c r="D4" s="30" t="s">
        <v>164</v>
      </c>
      <c r="E4" s="32" t="s">
        <v>166</v>
      </c>
      <c r="F4" s="32" t="s">
        <v>238</v>
      </c>
      <c r="G4" s="54" t="str">
        <f t="shared" si="0"/>
        <v/>
      </c>
      <c r="H4" s="59"/>
      <c r="I4" s="60">
        <v>5</v>
      </c>
      <c r="J4" t="s">
        <v>171</v>
      </c>
      <c r="K4" t="s">
        <v>46</v>
      </c>
      <c r="L4" t="s">
        <v>167</v>
      </c>
      <c r="M4" t="s">
        <v>166</v>
      </c>
      <c r="N4" t="s">
        <v>238</v>
      </c>
      <c r="O4" s="54">
        <v>1</v>
      </c>
    </row>
    <row r="5" spans="1:26" ht="15.6" x14ac:dyDescent="0.3">
      <c r="A5" s="29">
        <v>4</v>
      </c>
      <c r="B5" s="31" t="s">
        <v>170</v>
      </c>
      <c r="C5" s="32" t="s">
        <v>168</v>
      </c>
      <c r="D5" s="30" t="s">
        <v>164</v>
      </c>
      <c r="E5" s="32" t="s">
        <v>166</v>
      </c>
      <c r="F5" s="32" t="s">
        <v>238</v>
      </c>
      <c r="G5" s="54" t="str">
        <f t="shared" si="0"/>
        <v/>
      </c>
      <c r="H5" s="59"/>
      <c r="I5" s="60">
        <v>6</v>
      </c>
      <c r="J5" t="s">
        <v>172</v>
      </c>
      <c r="K5" t="s">
        <v>46</v>
      </c>
      <c r="L5" t="s">
        <v>167</v>
      </c>
      <c r="M5" t="s">
        <v>166</v>
      </c>
      <c r="N5" t="s">
        <v>238</v>
      </c>
      <c r="O5" s="54">
        <v>1</v>
      </c>
    </row>
    <row r="6" spans="1:26" ht="15.6" x14ac:dyDescent="0.3">
      <c r="A6" s="29">
        <v>5</v>
      </c>
      <c r="B6" s="31" t="s">
        <v>171</v>
      </c>
      <c r="C6" s="31" t="s">
        <v>46</v>
      </c>
      <c r="D6" s="31" t="s">
        <v>167</v>
      </c>
      <c r="E6" s="32" t="s">
        <v>166</v>
      </c>
      <c r="F6" s="32" t="s">
        <v>238</v>
      </c>
      <c r="G6" s="54">
        <f t="shared" si="0"/>
        <v>1</v>
      </c>
      <c r="H6" s="59"/>
      <c r="I6" s="60">
        <v>7</v>
      </c>
      <c r="J6" t="s">
        <v>173</v>
      </c>
      <c r="K6" t="s">
        <v>46</v>
      </c>
      <c r="L6" t="s">
        <v>169</v>
      </c>
      <c r="M6" t="s">
        <v>166</v>
      </c>
      <c r="N6" t="s">
        <v>238</v>
      </c>
      <c r="O6" s="54">
        <v>1</v>
      </c>
    </row>
    <row r="7" spans="1:26" ht="15.6" x14ac:dyDescent="0.3">
      <c r="A7" s="29">
        <v>6</v>
      </c>
      <c r="B7" s="31" t="s">
        <v>172</v>
      </c>
      <c r="C7" s="31" t="s">
        <v>46</v>
      </c>
      <c r="D7" s="31" t="s">
        <v>167</v>
      </c>
      <c r="E7" s="32" t="s">
        <v>166</v>
      </c>
      <c r="F7" s="32" t="s">
        <v>238</v>
      </c>
      <c r="G7" s="54">
        <f t="shared" si="0"/>
        <v>1</v>
      </c>
      <c r="H7" s="59"/>
      <c r="I7" s="60">
        <v>8</v>
      </c>
      <c r="J7" t="s">
        <v>174</v>
      </c>
      <c r="K7" t="s">
        <v>46</v>
      </c>
      <c r="L7" t="s">
        <v>169</v>
      </c>
      <c r="M7" t="s">
        <v>166</v>
      </c>
      <c r="N7" t="s">
        <v>238</v>
      </c>
      <c r="O7" s="54">
        <v>1</v>
      </c>
    </row>
    <row r="8" spans="1:26" ht="15.6" x14ac:dyDescent="0.3">
      <c r="A8" s="29">
        <v>7</v>
      </c>
      <c r="B8" s="32" t="s">
        <v>173</v>
      </c>
      <c r="C8" s="31" t="s">
        <v>46</v>
      </c>
      <c r="D8" s="31" t="s">
        <v>169</v>
      </c>
      <c r="E8" s="32" t="s">
        <v>166</v>
      </c>
      <c r="F8" s="32" t="s">
        <v>238</v>
      </c>
      <c r="G8" s="54">
        <f t="shared" si="0"/>
        <v>1</v>
      </c>
      <c r="H8" s="59"/>
      <c r="I8" s="60">
        <v>9</v>
      </c>
      <c r="J8" t="s">
        <v>175</v>
      </c>
      <c r="K8" t="s">
        <v>46</v>
      </c>
      <c r="L8" t="s">
        <v>170</v>
      </c>
      <c r="M8" t="s">
        <v>166</v>
      </c>
      <c r="N8" t="s">
        <v>238</v>
      </c>
      <c r="O8" s="54">
        <v>1</v>
      </c>
    </row>
    <row r="9" spans="1:26" ht="15.6" x14ac:dyDescent="0.3">
      <c r="A9" s="29">
        <v>8</v>
      </c>
      <c r="B9" s="32" t="s">
        <v>174</v>
      </c>
      <c r="C9" s="31" t="s">
        <v>46</v>
      </c>
      <c r="D9" s="31" t="s">
        <v>169</v>
      </c>
      <c r="E9" s="32" t="s">
        <v>166</v>
      </c>
      <c r="F9" s="32" t="s">
        <v>238</v>
      </c>
      <c r="G9" s="54">
        <f t="shared" si="0"/>
        <v>1</v>
      </c>
      <c r="H9" s="59"/>
      <c r="I9" s="60">
        <v>10</v>
      </c>
      <c r="J9" t="s">
        <v>176</v>
      </c>
      <c r="K9" t="s">
        <v>46</v>
      </c>
      <c r="L9" t="s">
        <v>170</v>
      </c>
      <c r="M9" t="s">
        <v>166</v>
      </c>
      <c r="N9" t="s">
        <v>238</v>
      </c>
      <c r="O9" s="54">
        <v>1</v>
      </c>
    </row>
    <row r="10" spans="1:26" ht="15.6" x14ac:dyDescent="0.3">
      <c r="A10" s="29">
        <v>9</v>
      </c>
      <c r="B10" s="32" t="s">
        <v>175</v>
      </c>
      <c r="C10" s="31" t="s">
        <v>46</v>
      </c>
      <c r="D10" s="31" t="s">
        <v>170</v>
      </c>
      <c r="E10" s="32" t="s">
        <v>166</v>
      </c>
      <c r="F10" s="32" t="s">
        <v>238</v>
      </c>
      <c r="G10" s="54">
        <f t="shared" si="0"/>
        <v>1</v>
      </c>
      <c r="H10" s="59"/>
      <c r="I10" s="60">
        <v>14</v>
      </c>
      <c r="J10" t="s">
        <v>3</v>
      </c>
      <c r="K10" t="s">
        <v>46</v>
      </c>
      <c r="L10" t="s">
        <v>178</v>
      </c>
      <c r="M10" t="s">
        <v>49</v>
      </c>
      <c r="N10" t="s">
        <v>52</v>
      </c>
      <c r="O10" s="54">
        <v>1</v>
      </c>
    </row>
    <row r="11" spans="1:26" ht="16.2" thickBot="1" x14ac:dyDescent="0.35">
      <c r="A11" s="33">
        <v>10</v>
      </c>
      <c r="B11" s="34" t="s">
        <v>176</v>
      </c>
      <c r="C11" s="35" t="s">
        <v>46</v>
      </c>
      <c r="D11" s="35" t="s">
        <v>170</v>
      </c>
      <c r="E11" s="34" t="s">
        <v>166</v>
      </c>
      <c r="F11" s="34" t="s">
        <v>238</v>
      </c>
      <c r="G11" s="54">
        <f t="shared" si="0"/>
        <v>1</v>
      </c>
      <c r="H11" s="59"/>
      <c r="I11" s="60">
        <v>15</v>
      </c>
      <c r="J11" t="s">
        <v>180</v>
      </c>
      <c r="K11" t="s">
        <v>46</v>
      </c>
      <c r="L11" t="s">
        <v>178</v>
      </c>
      <c r="M11" t="s">
        <v>49</v>
      </c>
      <c r="N11" t="s">
        <v>52</v>
      </c>
      <c r="O11" s="54">
        <v>1</v>
      </c>
    </row>
    <row r="12" spans="1:26" ht="15.6" x14ac:dyDescent="0.3">
      <c r="A12" s="36">
        <v>11</v>
      </c>
      <c r="B12" s="37" t="s">
        <v>177</v>
      </c>
      <c r="C12" s="37" t="s">
        <v>165</v>
      </c>
      <c r="D12" s="37"/>
      <c r="E12" s="37" t="s">
        <v>49</v>
      </c>
      <c r="F12" s="37" t="s">
        <v>52</v>
      </c>
      <c r="G12" s="54" t="str">
        <f t="shared" si="0"/>
        <v/>
      </c>
      <c r="H12" s="59"/>
      <c r="I12" s="60">
        <v>16</v>
      </c>
      <c r="J12" t="s">
        <v>181</v>
      </c>
      <c r="K12" t="s">
        <v>46</v>
      </c>
      <c r="L12" t="s">
        <v>178</v>
      </c>
      <c r="M12" t="s">
        <v>49</v>
      </c>
      <c r="N12" t="s">
        <v>52</v>
      </c>
      <c r="O12" s="54">
        <v>1</v>
      </c>
    </row>
    <row r="13" spans="1:26" ht="15.6" x14ac:dyDescent="0.3">
      <c r="A13" s="36">
        <v>12</v>
      </c>
      <c r="B13" s="37" t="s">
        <v>178</v>
      </c>
      <c r="C13" s="37" t="s">
        <v>168</v>
      </c>
      <c r="D13" s="37" t="s">
        <v>177</v>
      </c>
      <c r="E13" s="37" t="s">
        <v>49</v>
      </c>
      <c r="F13" s="37" t="s">
        <v>52</v>
      </c>
      <c r="G13" s="54" t="str">
        <f t="shared" si="0"/>
        <v/>
      </c>
      <c r="H13" s="59"/>
      <c r="I13" s="60">
        <v>17</v>
      </c>
      <c r="J13" t="s">
        <v>182</v>
      </c>
      <c r="K13" t="s">
        <v>46</v>
      </c>
      <c r="L13" t="s">
        <v>178</v>
      </c>
      <c r="M13" t="s">
        <v>49</v>
      </c>
      <c r="N13" t="s">
        <v>52</v>
      </c>
      <c r="O13" s="54">
        <v>1</v>
      </c>
    </row>
    <row r="14" spans="1:26" ht="15.6" x14ac:dyDescent="0.3">
      <c r="A14" s="36">
        <v>13</v>
      </c>
      <c r="B14" s="37" t="s">
        <v>179</v>
      </c>
      <c r="C14" s="37" t="s">
        <v>168</v>
      </c>
      <c r="D14" s="37" t="s">
        <v>177</v>
      </c>
      <c r="E14" s="37" t="s">
        <v>49</v>
      </c>
      <c r="F14" s="37" t="s">
        <v>52</v>
      </c>
      <c r="G14" s="54" t="str">
        <f t="shared" si="0"/>
        <v/>
      </c>
      <c r="H14" s="59"/>
      <c r="I14" s="60">
        <v>18</v>
      </c>
      <c r="J14" t="s">
        <v>183</v>
      </c>
      <c r="K14" t="s">
        <v>46</v>
      </c>
      <c r="L14" t="s">
        <v>179</v>
      </c>
      <c r="M14" t="s">
        <v>49</v>
      </c>
      <c r="N14" t="s">
        <v>52</v>
      </c>
      <c r="O14" s="54">
        <v>1</v>
      </c>
    </row>
    <row r="15" spans="1:26" ht="15.6" x14ac:dyDescent="0.3">
      <c r="A15" s="36">
        <v>14</v>
      </c>
      <c r="B15" s="37" t="s">
        <v>3</v>
      </c>
      <c r="C15" s="37" t="s">
        <v>46</v>
      </c>
      <c r="D15" s="37" t="s">
        <v>178</v>
      </c>
      <c r="E15" s="37" t="s">
        <v>49</v>
      </c>
      <c r="F15" s="37" t="s">
        <v>52</v>
      </c>
      <c r="G15" s="54">
        <f t="shared" si="0"/>
        <v>1</v>
      </c>
      <c r="H15" s="59"/>
      <c r="I15" s="60">
        <v>19</v>
      </c>
      <c r="J15" t="s">
        <v>184</v>
      </c>
      <c r="K15" t="s">
        <v>46</v>
      </c>
      <c r="L15" t="s">
        <v>179</v>
      </c>
      <c r="M15" t="s">
        <v>49</v>
      </c>
      <c r="N15" t="s">
        <v>52</v>
      </c>
      <c r="O15" s="54">
        <v>1</v>
      </c>
    </row>
    <row r="16" spans="1:26" ht="15.6" x14ac:dyDescent="0.3">
      <c r="A16" s="36">
        <v>15</v>
      </c>
      <c r="B16" s="37" t="s">
        <v>180</v>
      </c>
      <c r="C16" s="37" t="s">
        <v>46</v>
      </c>
      <c r="D16" s="37" t="s">
        <v>178</v>
      </c>
      <c r="E16" s="37" t="s">
        <v>49</v>
      </c>
      <c r="F16" s="37" t="s">
        <v>52</v>
      </c>
      <c r="G16" s="54">
        <f t="shared" si="0"/>
        <v>1</v>
      </c>
      <c r="H16" s="59"/>
      <c r="I16" s="60">
        <v>20</v>
      </c>
      <c r="J16" t="s">
        <v>185</v>
      </c>
      <c r="K16" t="s">
        <v>46</v>
      </c>
      <c r="L16" t="s">
        <v>179</v>
      </c>
      <c r="M16" t="s">
        <v>49</v>
      </c>
      <c r="N16" t="s">
        <v>52</v>
      </c>
      <c r="O16" s="54">
        <v>1</v>
      </c>
    </row>
    <row r="17" spans="1:15" ht="15.6" x14ac:dyDescent="0.3">
      <c r="A17" s="36">
        <v>16</v>
      </c>
      <c r="B17" s="37" t="s">
        <v>181</v>
      </c>
      <c r="C17" s="37" t="s">
        <v>46</v>
      </c>
      <c r="D17" s="37" t="s">
        <v>178</v>
      </c>
      <c r="E17" s="37" t="s">
        <v>49</v>
      </c>
      <c r="F17" s="37" t="s">
        <v>52</v>
      </c>
      <c r="G17" s="54">
        <f t="shared" si="0"/>
        <v>1</v>
      </c>
      <c r="H17" s="59"/>
      <c r="I17" s="60">
        <v>22</v>
      </c>
      <c r="J17" t="s">
        <v>188</v>
      </c>
      <c r="K17" t="s">
        <v>46</v>
      </c>
      <c r="L17" t="s">
        <v>186</v>
      </c>
      <c r="M17" t="s">
        <v>187</v>
      </c>
      <c r="N17" t="s">
        <v>238</v>
      </c>
      <c r="O17" s="54">
        <v>1</v>
      </c>
    </row>
    <row r="18" spans="1:15" ht="15.6" x14ac:dyDescent="0.3">
      <c r="A18" s="36">
        <v>17</v>
      </c>
      <c r="B18" s="37" t="s">
        <v>182</v>
      </c>
      <c r="C18" s="37" t="s">
        <v>46</v>
      </c>
      <c r="D18" s="37" t="s">
        <v>178</v>
      </c>
      <c r="E18" s="37" t="s">
        <v>49</v>
      </c>
      <c r="F18" s="37" t="s">
        <v>52</v>
      </c>
      <c r="G18" s="54">
        <f t="shared" si="0"/>
        <v>1</v>
      </c>
      <c r="H18" s="59"/>
      <c r="I18" s="60">
        <v>23</v>
      </c>
      <c r="J18" t="s">
        <v>189</v>
      </c>
      <c r="K18" t="s">
        <v>46</v>
      </c>
      <c r="L18" t="s">
        <v>186</v>
      </c>
      <c r="M18" t="s">
        <v>187</v>
      </c>
      <c r="N18" t="s">
        <v>238</v>
      </c>
      <c r="O18" s="54">
        <v>1</v>
      </c>
    </row>
    <row r="19" spans="1:15" ht="15.6" x14ac:dyDescent="0.3">
      <c r="A19" s="36">
        <v>18</v>
      </c>
      <c r="B19" s="37" t="s">
        <v>183</v>
      </c>
      <c r="C19" s="37" t="s">
        <v>46</v>
      </c>
      <c r="D19" s="37" t="s">
        <v>179</v>
      </c>
      <c r="E19" s="37" t="s">
        <v>49</v>
      </c>
      <c r="F19" s="37" t="s">
        <v>52</v>
      </c>
      <c r="G19" s="54">
        <f t="shared" si="0"/>
        <v>1</v>
      </c>
      <c r="H19" s="59"/>
      <c r="I19" s="60">
        <v>24</v>
      </c>
      <c r="J19" t="s">
        <v>190</v>
      </c>
      <c r="K19" t="s">
        <v>46</v>
      </c>
      <c r="L19" t="s">
        <v>186</v>
      </c>
      <c r="M19" t="s">
        <v>187</v>
      </c>
      <c r="N19" t="s">
        <v>238</v>
      </c>
      <c r="O19" s="54">
        <v>1</v>
      </c>
    </row>
    <row r="20" spans="1:15" ht="15.6" x14ac:dyDescent="0.3">
      <c r="A20" s="36">
        <v>19</v>
      </c>
      <c r="B20" s="37" t="s">
        <v>184</v>
      </c>
      <c r="C20" s="37" t="s">
        <v>46</v>
      </c>
      <c r="D20" s="37" t="s">
        <v>179</v>
      </c>
      <c r="E20" s="37" t="s">
        <v>49</v>
      </c>
      <c r="F20" s="37" t="s">
        <v>52</v>
      </c>
      <c r="G20" s="54">
        <f t="shared" si="0"/>
        <v>1</v>
      </c>
      <c r="H20" s="59"/>
      <c r="I20" s="60">
        <v>25</v>
      </c>
      <c r="J20" t="s">
        <v>191</v>
      </c>
      <c r="K20" t="s">
        <v>46</v>
      </c>
      <c r="L20" t="s">
        <v>186</v>
      </c>
      <c r="M20" t="s">
        <v>187</v>
      </c>
      <c r="N20" t="s">
        <v>238</v>
      </c>
      <c r="O20" s="54">
        <v>1</v>
      </c>
    </row>
    <row r="21" spans="1:15" ht="16.2" thickBot="1" x14ac:dyDescent="0.35">
      <c r="A21" s="38">
        <v>20</v>
      </c>
      <c r="B21" s="39" t="s">
        <v>185</v>
      </c>
      <c r="C21" s="39" t="s">
        <v>46</v>
      </c>
      <c r="D21" s="39" t="s">
        <v>179</v>
      </c>
      <c r="E21" s="39" t="s">
        <v>49</v>
      </c>
      <c r="F21" s="39" t="s">
        <v>52</v>
      </c>
      <c r="G21" s="54">
        <f t="shared" si="0"/>
        <v>1</v>
      </c>
      <c r="H21" s="59"/>
      <c r="I21" s="60">
        <v>27</v>
      </c>
      <c r="J21" t="s">
        <v>194</v>
      </c>
      <c r="K21" t="s">
        <v>195</v>
      </c>
      <c r="L21" t="s">
        <v>192</v>
      </c>
      <c r="M21" t="s">
        <v>193</v>
      </c>
      <c r="N21" t="s">
        <v>237</v>
      </c>
      <c r="O21" s="54">
        <v>1</v>
      </c>
    </row>
    <row r="22" spans="1:15" ht="15.6" x14ac:dyDescent="0.3">
      <c r="A22" s="40">
        <v>21</v>
      </c>
      <c r="B22" s="41" t="s">
        <v>186</v>
      </c>
      <c r="C22" s="41" t="s">
        <v>165</v>
      </c>
      <c r="D22" s="41"/>
      <c r="E22" s="42" t="s">
        <v>187</v>
      </c>
      <c r="F22" s="42" t="s">
        <v>238</v>
      </c>
      <c r="G22" s="54" t="str">
        <f t="shared" si="0"/>
        <v/>
      </c>
      <c r="H22" s="59"/>
      <c r="I22" s="60">
        <v>28</v>
      </c>
      <c r="J22" t="s">
        <v>196</v>
      </c>
      <c r="K22" t="s">
        <v>195</v>
      </c>
      <c r="L22" t="s">
        <v>192</v>
      </c>
      <c r="M22" t="s">
        <v>193</v>
      </c>
      <c r="N22" t="s">
        <v>237</v>
      </c>
      <c r="O22" s="54">
        <v>1</v>
      </c>
    </row>
    <row r="23" spans="1:15" ht="15.6" x14ac:dyDescent="0.3">
      <c r="A23" s="40">
        <v>22</v>
      </c>
      <c r="B23" s="41" t="s">
        <v>188</v>
      </c>
      <c r="C23" s="41" t="s">
        <v>46</v>
      </c>
      <c r="D23" s="41" t="s">
        <v>186</v>
      </c>
      <c r="E23" s="42" t="s">
        <v>187</v>
      </c>
      <c r="F23" s="42" t="s">
        <v>238</v>
      </c>
      <c r="G23" s="54">
        <f t="shared" si="0"/>
        <v>1</v>
      </c>
      <c r="H23" s="59"/>
      <c r="I23" s="60">
        <v>29</v>
      </c>
      <c r="J23" t="s">
        <v>197</v>
      </c>
      <c r="K23" t="s">
        <v>195</v>
      </c>
      <c r="L23" t="s">
        <v>192</v>
      </c>
      <c r="M23" t="s">
        <v>193</v>
      </c>
      <c r="N23" t="s">
        <v>237</v>
      </c>
      <c r="O23" s="54">
        <v>1</v>
      </c>
    </row>
    <row r="24" spans="1:15" ht="15.6" x14ac:dyDescent="0.3">
      <c r="A24" s="40">
        <v>23</v>
      </c>
      <c r="B24" s="41" t="s">
        <v>189</v>
      </c>
      <c r="C24" s="41" t="s">
        <v>46</v>
      </c>
      <c r="D24" s="41" t="s">
        <v>186</v>
      </c>
      <c r="E24" s="42" t="s">
        <v>187</v>
      </c>
      <c r="F24" s="42" t="s">
        <v>238</v>
      </c>
      <c r="G24" s="54">
        <f t="shared" si="0"/>
        <v>1</v>
      </c>
      <c r="H24" s="59"/>
      <c r="I24" s="60">
        <v>30</v>
      </c>
      <c r="J24" t="s">
        <v>198</v>
      </c>
      <c r="K24" t="s">
        <v>46</v>
      </c>
      <c r="L24" t="s">
        <v>197</v>
      </c>
      <c r="M24" t="s">
        <v>193</v>
      </c>
      <c r="N24" t="s">
        <v>237</v>
      </c>
      <c r="O24" s="54">
        <v>1</v>
      </c>
    </row>
    <row r="25" spans="1:15" ht="15.6" x14ac:dyDescent="0.3">
      <c r="A25" s="40">
        <v>24</v>
      </c>
      <c r="B25" s="41" t="s">
        <v>190</v>
      </c>
      <c r="C25" s="41" t="s">
        <v>46</v>
      </c>
      <c r="D25" s="41" t="s">
        <v>186</v>
      </c>
      <c r="E25" s="42" t="s">
        <v>187</v>
      </c>
      <c r="F25" s="42" t="s">
        <v>238</v>
      </c>
      <c r="G25" s="54">
        <f t="shared" si="0"/>
        <v>1</v>
      </c>
      <c r="H25" s="59"/>
      <c r="I25" s="60">
        <v>31</v>
      </c>
      <c r="J25" t="s">
        <v>199</v>
      </c>
      <c r="K25" t="s">
        <v>46</v>
      </c>
      <c r="L25" t="s">
        <v>197</v>
      </c>
      <c r="M25" t="s">
        <v>193</v>
      </c>
      <c r="N25" t="s">
        <v>237</v>
      </c>
      <c r="O25" s="54">
        <v>1</v>
      </c>
    </row>
    <row r="26" spans="1:15" ht="16.2" thickBot="1" x14ac:dyDescent="0.35">
      <c r="A26" s="43">
        <v>25</v>
      </c>
      <c r="B26" s="44" t="s">
        <v>191</v>
      </c>
      <c r="C26" s="44" t="s">
        <v>46</v>
      </c>
      <c r="D26" s="44" t="s">
        <v>186</v>
      </c>
      <c r="E26" s="45" t="s">
        <v>187</v>
      </c>
      <c r="F26" s="45" t="s">
        <v>238</v>
      </c>
      <c r="G26" s="54">
        <f t="shared" si="0"/>
        <v>1</v>
      </c>
      <c r="H26" s="59"/>
      <c r="I26" s="60"/>
      <c r="J26"/>
    </row>
    <row r="27" spans="1:15" ht="15.6" x14ac:dyDescent="0.3">
      <c r="A27" s="46">
        <v>26</v>
      </c>
      <c r="B27" s="47" t="s">
        <v>192</v>
      </c>
      <c r="C27" s="47" t="s">
        <v>165</v>
      </c>
      <c r="D27" s="47"/>
      <c r="E27" s="48" t="s">
        <v>193</v>
      </c>
      <c r="F27" s="48" t="s">
        <v>237</v>
      </c>
      <c r="G27" s="54" t="str">
        <f t="shared" si="0"/>
        <v/>
      </c>
      <c r="H27" s="59"/>
      <c r="I27" s="60"/>
      <c r="J27" s="60"/>
      <c r="K27" s="60"/>
      <c r="L27" s="60"/>
      <c r="M27" s="64"/>
    </row>
    <row r="28" spans="1:15" ht="15.6" x14ac:dyDescent="0.3">
      <c r="A28" s="46">
        <v>27</v>
      </c>
      <c r="B28" s="47" t="s">
        <v>194</v>
      </c>
      <c r="C28" s="47" t="s">
        <v>195</v>
      </c>
      <c r="D28" s="47" t="s">
        <v>192</v>
      </c>
      <c r="E28" s="48" t="s">
        <v>193</v>
      </c>
      <c r="F28" s="48" t="s">
        <v>237</v>
      </c>
      <c r="G28" s="54">
        <f t="shared" si="0"/>
        <v>1</v>
      </c>
      <c r="H28" s="59"/>
      <c r="I28" s="60"/>
      <c r="J28" s="60"/>
      <c r="K28" s="64"/>
      <c r="L28" s="60"/>
      <c r="M28" s="65"/>
    </row>
    <row r="29" spans="1:15" ht="15.6" x14ac:dyDescent="0.3">
      <c r="A29" s="46">
        <v>28</v>
      </c>
      <c r="B29" s="47" t="s">
        <v>196</v>
      </c>
      <c r="C29" s="47" t="s">
        <v>195</v>
      </c>
      <c r="D29" s="47" t="s">
        <v>192</v>
      </c>
      <c r="E29" s="48" t="s">
        <v>193</v>
      </c>
      <c r="F29" s="48" t="s">
        <v>237</v>
      </c>
      <c r="G29" s="54">
        <f t="shared" si="0"/>
        <v>1</v>
      </c>
      <c r="H29" s="59"/>
      <c r="I29" s="60"/>
      <c r="J29" s="60"/>
      <c r="K29" s="65"/>
      <c r="L29" s="65"/>
      <c r="M29" s="65"/>
    </row>
    <row r="30" spans="1:15" ht="15.6" x14ac:dyDescent="0.3">
      <c r="A30" s="46">
        <v>29</v>
      </c>
      <c r="B30" s="47" t="s">
        <v>197</v>
      </c>
      <c r="C30" s="47" t="s">
        <v>195</v>
      </c>
      <c r="D30" s="47" t="s">
        <v>192</v>
      </c>
      <c r="E30" s="48" t="s">
        <v>193</v>
      </c>
      <c r="F30" s="48" t="s">
        <v>237</v>
      </c>
      <c r="G30" s="54">
        <f t="shared" si="0"/>
        <v>1</v>
      </c>
      <c r="H30" s="59"/>
      <c r="I30" s="60"/>
      <c r="J30" s="60"/>
      <c r="K30" s="65"/>
      <c r="L30" s="65"/>
      <c r="M30" s="65"/>
    </row>
    <row r="31" spans="1:15" ht="15.6" x14ac:dyDescent="0.3">
      <c r="A31" s="46">
        <v>30</v>
      </c>
      <c r="B31" s="47" t="s">
        <v>198</v>
      </c>
      <c r="C31" s="47" t="s">
        <v>46</v>
      </c>
      <c r="D31" s="47" t="s">
        <v>197</v>
      </c>
      <c r="E31" s="48" t="s">
        <v>193</v>
      </c>
      <c r="F31" s="48" t="s">
        <v>237</v>
      </c>
      <c r="G31" s="54">
        <f t="shared" si="0"/>
        <v>1</v>
      </c>
      <c r="H31" s="59"/>
      <c r="I31" s="60"/>
      <c r="J31" s="60"/>
      <c r="K31" s="64"/>
      <c r="L31" s="60"/>
      <c r="M31" s="65"/>
    </row>
    <row r="32" spans="1:15" ht="15.6" x14ac:dyDescent="0.3">
      <c r="A32" s="46">
        <v>31</v>
      </c>
      <c r="B32" s="47" t="s">
        <v>199</v>
      </c>
      <c r="C32" s="47" t="s">
        <v>46</v>
      </c>
      <c r="D32" s="47" t="s">
        <v>197</v>
      </c>
      <c r="E32" s="48" t="s">
        <v>193</v>
      </c>
      <c r="F32" s="48" t="s">
        <v>237</v>
      </c>
      <c r="G32" s="54">
        <f t="shared" si="0"/>
        <v>1</v>
      </c>
      <c r="H32" s="59"/>
      <c r="I32" s="60"/>
      <c r="J32" s="60"/>
      <c r="K32" s="65"/>
      <c r="L32" s="65"/>
      <c r="M32" s="65"/>
    </row>
    <row r="33" spans="8:13" ht="15.6" x14ac:dyDescent="0.3">
      <c r="H33" s="61"/>
      <c r="K33" s="61"/>
      <c r="L33" s="62"/>
      <c r="M33" s="61"/>
    </row>
    <row r="34" spans="8:13" ht="15.6" x14ac:dyDescent="0.3">
      <c r="H34" s="61"/>
      <c r="K34" s="61"/>
      <c r="L34" s="62"/>
      <c r="M34" s="61"/>
    </row>
    <row r="35" spans="8:13" ht="15.6" x14ac:dyDescent="0.3">
      <c r="H35" s="61"/>
      <c r="K35" s="61"/>
      <c r="L35" s="62"/>
      <c r="M35" s="61"/>
    </row>
    <row r="36" spans="8:13" ht="15.6" x14ac:dyDescent="0.3">
      <c r="H36" s="61"/>
      <c r="K36" s="61"/>
      <c r="L36" s="62"/>
      <c r="M36" s="61"/>
    </row>
    <row r="37" spans="8:13" ht="15.6" x14ac:dyDescent="0.3">
      <c r="H37" s="61"/>
      <c r="K37" s="61"/>
      <c r="L37" s="62"/>
      <c r="M37" s="61"/>
    </row>
    <row r="38" spans="8:13" ht="15.6" x14ac:dyDescent="0.3">
      <c r="H38" s="61"/>
      <c r="K38" s="61"/>
      <c r="L38" s="62"/>
      <c r="M38" s="61"/>
    </row>
    <row r="39" spans="8:13" ht="15.6" x14ac:dyDescent="0.3">
      <c r="H39" s="61"/>
      <c r="K39" s="61"/>
      <c r="L39" s="62"/>
      <c r="M39" s="61"/>
    </row>
    <row r="40" spans="8:13" ht="15.6" x14ac:dyDescent="0.3">
      <c r="H40" s="61"/>
      <c r="K40" s="61"/>
      <c r="L40" s="62"/>
      <c r="M40" s="61"/>
    </row>
    <row r="41" spans="8:13" ht="15.6" x14ac:dyDescent="0.3">
      <c r="H41" s="61"/>
      <c r="K41" s="61"/>
      <c r="L41" s="62"/>
      <c r="M41" s="61"/>
    </row>
    <row r="42" spans="8:13" ht="15.6" x14ac:dyDescent="0.3">
      <c r="H42" s="61"/>
      <c r="K42" s="61"/>
      <c r="L42" s="62"/>
      <c r="M42" s="61"/>
    </row>
    <row r="43" spans="8:13" ht="15.6" x14ac:dyDescent="0.3">
      <c r="H43" s="61"/>
      <c r="K43" s="61"/>
      <c r="L43" s="62"/>
      <c r="M43" s="61"/>
    </row>
    <row r="44" spans="8:13" ht="15.6" x14ac:dyDescent="0.3">
      <c r="H44" s="61"/>
      <c r="K44" s="61"/>
      <c r="L44" s="62"/>
      <c r="M44" s="61"/>
    </row>
    <row r="45" spans="8:13" ht="15.6" x14ac:dyDescent="0.3">
      <c r="H45" s="61"/>
      <c r="K45" s="61"/>
      <c r="L45" s="62"/>
      <c r="M45" s="61"/>
    </row>
    <row r="46" spans="8:13" ht="15.6" x14ac:dyDescent="0.3">
      <c r="H46" s="61"/>
      <c r="K46" s="61"/>
      <c r="L46" s="62"/>
      <c r="M46" s="61"/>
    </row>
    <row r="47" spans="8:13" ht="15.6" x14ac:dyDescent="0.3">
      <c r="H47" s="61"/>
      <c r="K47" s="61"/>
      <c r="L47" s="62"/>
      <c r="M47" s="61"/>
    </row>
    <row r="48" spans="8:13" ht="15.6" x14ac:dyDescent="0.3">
      <c r="H48" s="61"/>
      <c r="K48" s="61"/>
      <c r="L48" s="62"/>
      <c r="M48" s="61"/>
    </row>
    <row r="49" spans="8:13" ht="15.6" x14ac:dyDescent="0.3">
      <c r="H49" s="61"/>
      <c r="K49" s="61"/>
      <c r="L49" s="62"/>
      <c r="M49" s="61"/>
    </row>
    <row r="50" spans="8:13" ht="15.6" x14ac:dyDescent="0.3">
      <c r="H50" s="61"/>
      <c r="K50" s="61"/>
      <c r="L50" s="62"/>
      <c r="M50" s="61"/>
    </row>
    <row r="51" spans="8:13" ht="15.6" x14ac:dyDescent="0.3">
      <c r="H51" s="61"/>
      <c r="K51" s="61"/>
      <c r="L51" s="62"/>
      <c r="M51" s="61"/>
    </row>
    <row r="52" spans="8:13" ht="15.6" x14ac:dyDescent="0.3">
      <c r="H52" s="61"/>
      <c r="K52" s="61"/>
      <c r="L52" s="62"/>
      <c r="M52" s="61"/>
    </row>
    <row r="53" spans="8:13" ht="15.6" x14ac:dyDescent="0.3">
      <c r="H53" s="61"/>
      <c r="K53" s="61"/>
      <c r="L53" s="62"/>
      <c r="M53" s="61"/>
    </row>
    <row r="54" spans="8:13" ht="15.6" x14ac:dyDescent="0.3">
      <c r="H54" s="61"/>
      <c r="K54" s="61"/>
      <c r="L54" s="62"/>
      <c r="M54" s="61"/>
    </row>
    <row r="55" spans="8:13" ht="15.6" x14ac:dyDescent="0.3">
      <c r="H55" s="61"/>
      <c r="K55" s="61"/>
      <c r="L55" s="62"/>
      <c r="M55" s="61"/>
    </row>
    <row r="56" spans="8:13" ht="15.6" x14ac:dyDescent="0.3">
      <c r="H56" s="61"/>
      <c r="K56" s="61"/>
      <c r="L56" s="62"/>
      <c r="M56" s="61"/>
    </row>
    <row r="57" spans="8:13" ht="15.6" x14ac:dyDescent="0.3">
      <c r="H57" s="61"/>
      <c r="K57" s="61"/>
      <c r="L57" s="62"/>
      <c r="M57" s="61"/>
    </row>
    <row r="58" spans="8:13" ht="15.6" x14ac:dyDescent="0.3">
      <c r="H58" s="61"/>
      <c r="K58" s="61"/>
      <c r="L58" s="62"/>
      <c r="M58" s="61"/>
    </row>
    <row r="59" spans="8:13" ht="15.6" x14ac:dyDescent="0.3">
      <c r="H59" s="61"/>
      <c r="K59" s="61"/>
      <c r="L59" s="62"/>
      <c r="M59" s="61"/>
    </row>
    <row r="60" spans="8:13" ht="15.6" x14ac:dyDescent="0.3">
      <c r="H60" s="61"/>
      <c r="K60" s="61"/>
      <c r="L60" s="62"/>
      <c r="M60" s="61"/>
    </row>
    <row r="61" spans="8:13" ht="15.6" x14ac:dyDescent="0.3">
      <c r="H61" s="61"/>
      <c r="K61" s="61"/>
      <c r="L61" s="62"/>
      <c r="M61" s="61"/>
    </row>
    <row r="62" spans="8:13" ht="15.6" x14ac:dyDescent="0.3">
      <c r="H62" s="61"/>
      <c r="K62" s="61"/>
      <c r="L62" s="62"/>
      <c r="M62" s="61"/>
    </row>
    <row r="63" spans="8:13" ht="15.6" x14ac:dyDescent="0.3">
      <c r="H63" s="61"/>
      <c r="K63" s="61"/>
      <c r="L63" s="62"/>
      <c r="M63" s="61"/>
    </row>
    <row r="64" spans="8:13" ht="15.6" x14ac:dyDescent="0.3">
      <c r="H64" s="61"/>
      <c r="K64" s="61"/>
      <c r="L64" s="62"/>
      <c r="M64" s="61"/>
    </row>
    <row r="65" spans="8:13" ht="15.6" x14ac:dyDescent="0.3">
      <c r="H65" s="61"/>
      <c r="K65" s="61"/>
      <c r="L65" s="62"/>
      <c r="M65" s="61"/>
    </row>
    <row r="66" spans="8:13" ht="15.6" x14ac:dyDescent="0.3">
      <c r="H66" s="61"/>
      <c r="K66" s="61"/>
      <c r="L66" s="62"/>
      <c r="M66" s="61"/>
    </row>
    <row r="67" spans="8:13" ht="15.6" x14ac:dyDescent="0.3">
      <c r="H67" s="61"/>
      <c r="K67" s="61"/>
      <c r="L67" s="62"/>
      <c r="M67" s="61"/>
    </row>
    <row r="68" spans="8:13" ht="15.6" x14ac:dyDescent="0.3">
      <c r="H68" s="61"/>
      <c r="K68" s="61"/>
      <c r="L68" s="62"/>
      <c r="M68" s="61"/>
    </row>
    <row r="69" spans="8:13" ht="15.6" x14ac:dyDescent="0.3">
      <c r="H69" s="61"/>
      <c r="K69" s="61"/>
      <c r="L69" s="62"/>
      <c r="M69" s="61"/>
    </row>
    <row r="70" spans="8:13" ht="15.6" x14ac:dyDescent="0.3">
      <c r="H70" s="61"/>
      <c r="K70" s="61"/>
      <c r="L70" s="62"/>
      <c r="M70" s="61"/>
    </row>
    <row r="71" spans="8:13" ht="15.6" x14ac:dyDescent="0.3">
      <c r="H71" s="61"/>
      <c r="K71" s="61"/>
      <c r="L71" s="62"/>
      <c r="M71" s="61"/>
    </row>
    <row r="72" spans="8:13" ht="15.6" x14ac:dyDescent="0.3">
      <c r="H72" s="61"/>
      <c r="K72" s="61"/>
      <c r="L72" s="62"/>
      <c r="M72" s="61"/>
    </row>
    <row r="73" spans="8:13" ht="15.6" x14ac:dyDescent="0.3">
      <c r="H73" s="61"/>
      <c r="K73" s="61"/>
      <c r="L73" s="62"/>
      <c r="M73" s="61"/>
    </row>
    <row r="74" spans="8:13" ht="15.6" x14ac:dyDescent="0.3">
      <c r="H74" s="61"/>
      <c r="K74" s="61"/>
      <c r="L74" s="62"/>
      <c r="M74" s="61"/>
    </row>
    <row r="75" spans="8:13" ht="15.6" x14ac:dyDescent="0.3">
      <c r="H75" s="61"/>
      <c r="K75" s="61"/>
      <c r="L75" s="62"/>
      <c r="M75" s="61"/>
    </row>
    <row r="76" spans="8:13" ht="15.6" x14ac:dyDescent="0.3">
      <c r="H76" s="61"/>
      <c r="K76" s="61"/>
      <c r="L76" s="62"/>
      <c r="M76" s="61"/>
    </row>
    <row r="77" spans="8:13" ht="15.6" x14ac:dyDescent="0.3">
      <c r="H77" s="61"/>
      <c r="K77" s="61"/>
      <c r="L77" s="62"/>
      <c r="M77" s="61"/>
    </row>
    <row r="78" spans="8:13" ht="15.6" x14ac:dyDescent="0.3">
      <c r="H78" s="61"/>
      <c r="K78" s="61"/>
      <c r="L78" s="62"/>
      <c r="M78" s="61"/>
    </row>
    <row r="79" spans="8:13" ht="15.6" x14ac:dyDescent="0.3">
      <c r="H79" s="61"/>
      <c r="K79" s="61"/>
      <c r="L79" s="62"/>
      <c r="M79" s="61"/>
    </row>
    <row r="80" spans="8:13" ht="15.6" x14ac:dyDescent="0.3">
      <c r="H80" s="61"/>
      <c r="K80" s="61"/>
      <c r="L80" s="62"/>
      <c r="M80" s="61"/>
    </row>
    <row r="81" spans="8:13" ht="15.6" x14ac:dyDescent="0.3">
      <c r="H81" s="61"/>
      <c r="K81" s="61"/>
      <c r="L81" s="62"/>
      <c r="M81" s="61"/>
    </row>
    <row r="82" spans="8:13" ht="15.6" x14ac:dyDescent="0.3">
      <c r="L82" s="56"/>
    </row>
    <row r="83" spans="8:13" ht="15.6" x14ac:dyDescent="0.3">
      <c r="L83" s="56"/>
    </row>
    <row r="84" spans="8:13" ht="15.6" x14ac:dyDescent="0.3">
      <c r="L84" s="56"/>
    </row>
    <row r="85" spans="8:13" ht="15.6" x14ac:dyDescent="0.3">
      <c r="L85" s="56"/>
    </row>
    <row r="86" spans="8:13" ht="15.6" x14ac:dyDescent="0.3">
      <c r="L86" s="56"/>
    </row>
    <row r="87" spans="8:13" ht="15.6" x14ac:dyDescent="0.3">
      <c r="L87" s="56"/>
    </row>
    <row r="88" spans="8:13" ht="15.6" x14ac:dyDescent="0.3">
      <c r="L88" s="56"/>
    </row>
    <row r="89" spans="8:13" ht="15.6" x14ac:dyDescent="0.3">
      <c r="L89" s="56"/>
    </row>
    <row r="90" spans="8:13" ht="15.6" x14ac:dyDescent="0.3">
      <c r="L90" s="56"/>
    </row>
    <row r="91" spans="8:13" ht="15.6" x14ac:dyDescent="0.3">
      <c r="L91" s="56"/>
    </row>
    <row r="92" spans="8:13" ht="15.6" x14ac:dyDescent="0.3">
      <c r="L92" s="56"/>
    </row>
    <row r="93" spans="8:13" ht="15.6" x14ac:dyDescent="0.3">
      <c r="L93" s="56"/>
    </row>
    <row r="94" spans="8:13" ht="15.6" x14ac:dyDescent="0.3">
      <c r="L94" s="56"/>
    </row>
    <row r="95" spans="8:13" ht="15.6" x14ac:dyDescent="0.3">
      <c r="L95" s="56"/>
    </row>
    <row r="96" spans="8:13" ht="15.6" x14ac:dyDescent="0.3">
      <c r="L96" s="56"/>
    </row>
    <row r="97" spans="12:12" ht="15.6" x14ac:dyDescent="0.3">
      <c r="L97" s="56"/>
    </row>
    <row r="98" spans="12:12" ht="15.6" x14ac:dyDescent="0.3">
      <c r="L98" s="56"/>
    </row>
    <row r="99" spans="12:12" ht="15.6" x14ac:dyDescent="0.3">
      <c r="L99" s="56"/>
    </row>
    <row r="100" spans="12:12" ht="15.6" x14ac:dyDescent="0.3">
      <c r="L100" s="56"/>
    </row>
    <row r="101" spans="12:12" ht="15.6" x14ac:dyDescent="0.3">
      <c r="L101" s="56"/>
    </row>
    <row r="102" spans="12:12" ht="15.6" x14ac:dyDescent="0.3">
      <c r="L102" s="56"/>
    </row>
    <row r="103" spans="12:12" ht="15.6" x14ac:dyDescent="0.3">
      <c r="L103" s="56"/>
    </row>
    <row r="104" spans="12:12" ht="15.6" x14ac:dyDescent="0.3">
      <c r="L104" s="56"/>
    </row>
    <row r="105" spans="12:12" ht="15.6" x14ac:dyDescent="0.3">
      <c r="L105" s="56"/>
    </row>
    <row r="106" spans="12:12" ht="15.6" x14ac:dyDescent="0.3">
      <c r="L106" s="56"/>
    </row>
    <row r="107" spans="12:12" ht="15.6" x14ac:dyDescent="0.3">
      <c r="L107" s="56"/>
    </row>
    <row r="108" spans="12:12" ht="15.6" x14ac:dyDescent="0.3">
      <c r="L108" s="56"/>
    </row>
    <row r="109" spans="12:12" ht="15.6" x14ac:dyDescent="0.3">
      <c r="L109" s="56"/>
    </row>
    <row r="110" spans="12:12" ht="15.6" x14ac:dyDescent="0.3">
      <c r="L110" s="56"/>
    </row>
    <row r="111" spans="12:12" ht="15.6" x14ac:dyDescent="0.3">
      <c r="L111" s="56"/>
    </row>
    <row r="112" spans="12:12" ht="15.6" x14ac:dyDescent="0.3">
      <c r="L112" s="56"/>
    </row>
    <row r="113" spans="12:12" ht="15.6" x14ac:dyDescent="0.3">
      <c r="L113" s="56"/>
    </row>
    <row r="114" spans="12:12" ht="15.6" x14ac:dyDescent="0.3">
      <c r="L114" s="56"/>
    </row>
    <row r="115" spans="12:12" ht="15.6" x14ac:dyDescent="0.3">
      <c r="L115" s="56"/>
    </row>
    <row r="116" spans="12:12" ht="15.6" x14ac:dyDescent="0.3">
      <c r="L116" s="56"/>
    </row>
    <row r="117" spans="12:12" ht="15.6" x14ac:dyDescent="0.3">
      <c r="L117" s="56"/>
    </row>
    <row r="118" spans="12:12" ht="15.6" x14ac:dyDescent="0.3">
      <c r="L118" s="56"/>
    </row>
    <row r="119" spans="12:12" ht="15.6" x14ac:dyDescent="0.3">
      <c r="L119" s="56"/>
    </row>
    <row r="120" spans="12:12" ht="15.6" x14ac:dyDescent="0.3">
      <c r="L120" s="56"/>
    </row>
    <row r="121" spans="12:12" ht="15.6" x14ac:dyDescent="0.3">
      <c r="L121" s="56"/>
    </row>
    <row r="122" spans="12:12" ht="15.6" x14ac:dyDescent="0.3">
      <c r="L122" s="56"/>
    </row>
    <row r="123" spans="12:12" ht="15.6" x14ac:dyDescent="0.3">
      <c r="L123" s="56"/>
    </row>
    <row r="124" spans="12:12" ht="15.6" x14ac:dyDescent="0.3">
      <c r="L124" s="56"/>
    </row>
    <row r="125" spans="12:12" ht="15.6" x14ac:dyDescent="0.3">
      <c r="L125" s="56"/>
    </row>
    <row r="126" spans="12:12" ht="15.6" x14ac:dyDescent="0.3">
      <c r="L126" s="56"/>
    </row>
    <row r="127" spans="12:12" ht="15.6" x14ac:dyDescent="0.3">
      <c r="L127" s="56"/>
    </row>
    <row r="128" spans="12:12" ht="15.6" x14ac:dyDescent="0.3">
      <c r="L128" s="56"/>
    </row>
    <row r="129" spans="12:12" ht="15.6" x14ac:dyDescent="0.3">
      <c r="L129" s="56"/>
    </row>
    <row r="130" spans="12:12" ht="15.6" x14ac:dyDescent="0.3">
      <c r="L130" s="56"/>
    </row>
    <row r="131" spans="12:12" ht="15.6" x14ac:dyDescent="0.3">
      <c r="L131" s="56"/>
    </row>
    <row r="132" spans="12:12" ht="15.6" x14ac:dyDescent="0.3">
      <c r="L132" s="56"/>
    </row>
    <row r="133" spans="12:12" ht="15.6" x14ac:dyDescent="0.3">
      <c r="L133" s="56"/>
    </row>
    <row r="134" spans="12:12" ht="15.6" x14ac:dyDescent="0.3">
      <c r="L134" s="56"/>
    </row>
    <row r="135" spans="12:12" ht="15.6" x14ac:dyDescent="0.3">
      <c r="L135" s="56"/>
    </row>
    <row r="136" spans="12:12" ht="15.6" x14ac:dyDescent="0.3">
      <c r="L136" s="56"/>
    </row>
    <row r="137" spans="12:12" ht="15.6" x14ac:dyDescent="0.3">
      <c r="L137" s="56"/>
    </row>
    <row r="138" spans="12:12" ht="15.6" x14ac:dyDescent="0.3">
      <c r="L138" s="56"/>
    </row>
    <row r="139" spans="12:12" ht="15.6" x14ac:dyDescent="0.3">
      <c r="L139" s="56"/>
    </row>
    <row r="140" spans="12:12" ht="15.6" x14ac:dyDescent="0.3">
      <c r="L140" s="56"/>
    </row>
    <row r="141" spans="12:12" ht="15.6" x14ac:dyDescent="0.3">
      <c r="L141" s="56"/>
    </row>
    <row r="142" spans="12:12" ht="15.6" x14ac:dyDescent="0.3">
      <c r="L142" s="56"/>
    </row>
    <row r="143" spans="12:12" ht="15.6" x14ac:dyDescent="0.3">
      <c r="L143" s="56"/>
    </row>
    <row r="144" spans="12:12" ht="15.6" x14ac:dyDescent="0.3">
      <c r="L144" s="56"/>
    </row>
    <row r="145" spans="12:12" ht="15.6" x14ac:dyDescent="0.3">
      <c r="L145" s="56"/>
    </row>
    <row r="146" spans="12:12" ht="15.6" x14ac:dyDescent="0.3">
      <c r="L146" s="56"/>
    </row>
    <row r="147" spans="12:12" ht="15.6" x14ac:dyDescent="0.3">
      <c r="L147" s="56"/>
    </row>
    <row r="148" spans="12:12" ht="15.6" x14ac:dyDescent="0.3">
      <c r="L148" s="56"/>
    </row>
    <row r="149" spans="12:12" ht="15.6" x14ac:dyDescent="0.3">
      <c r="L149" s="56"/>
    </row>
    <row r="150" spans="12:12" ht="15.6" x14ac:dyDescent="0.3">
      <c r="L150" s="56"/>
    </row>
    <row r="151" spans="12:12" ht="15.6" x14ac:dyDescent="0.3">
      <c r="L151" s="56"/>
    </row>
    <row r="152" spans="12:12" ht="15.6" x14ac:dyDescent="0.3">
      <c r="L152" s="56"/>
    </row>
    <row r="153" spans="12:12" ht="15.6" x14ac:dyDescent="0.3">
      <c r="L153" s="56"/>
    </row>
    <row r="154" spans="12:12" ht="15.6" x14ac:dyDescent="0.3">
      <c r="L154" s="56"/>
    </row>
    <row r="155" spans="12:12" ht="15.6" x14ac:dyDescent="0.3">
      <c r="L155" s="56"/>
    </row>
    <row r="156" spans="12:12" ht="15.6" x14ac:dyDescent="0.3">
      <c r="L156" s="56"/>
    </row>
    <row r="157" spans="12:12" ht="15.6" x14ac:dyDescent="0.3">
      <c r="L157" s="56"/>
    </row>
    <row r="158" spans="12:12" ht="15.6" x14ac:dyDescent="0.3">
      <c r="L158" s="56"/>
    </row>
    <row r="159" spans="12:12" ht="15.6" x14ac:dyDescent="0.3">
      <c r="L159" s="56"/>
    </row>
    <row r="160" spans="12:12" ht="15.6" x14ac:dyDescent="0.3">
      <c r="L160" s="56"/>
    </row>
    <row r="161" spans="12:12" ht="15.6" x14ac:dyDescent="0.3">
      <c r="L161" s="56"/>
    </row>
    <row r="162" spans="12:12" ht="15.6" x14ac:dyDescent="0.3">
      <c r="L162" s="56"/>
    </row>
    <row r="163" spans="12:12" ht="15.6" x14ac:dyDescent="0.3">
      <c r="L163" s="56"/>
    </row>
    <row r="164" spans="12:12" ht="15.6" x14ac:dyDescent="0.3">
      <c r="L164" s="56"/>
    </row>
    <row r="165" spans="12:12" ht="15.6" x14ac:dyDescent="0.3">
      <c r="L165" s="56"/>
    </row>
    <row r="166" spans="12:12" ht="15.6" x14ac:dyDescent="0.3">
      <c r="L166" s="56"/>
    </row>
    <row r="167" spans="12:12" ht="15.6" x14ac:dyDescent="0.3">
      <c r="L167" s="56"/>
    </row>
    <row r="168" spans="12:12" ht="15.6" x14ac:dyDescent="0.3">
      <c r="L168" s="56"/>
    </row>
    <row r="169" spans="12:12" ht="15.6" x14ac:dyDescent="0.3">
      <c r="L169" s="56"/>
    </row>
    <row r="170" spans="12:12" ht="15.6" x14ac:dyDescent="0.3">
      <c r="L170" s="56"/>
    </row>
    <row r="171" spans="12:12" ht="15.6" x14ac:dyDescent="0.3">
      <c r="L171" s="56"/>
    </row>
    <row r="172" spans="12:12" ht="15.6" x14ac:dyDescent="0.3">
      <c r="L172" s="56"/>
    </row>
    <row r="173" spans="12:12" ht="15.6" x14ac:dyDescent="0.3">
      <c r="L173" s="56"/>
    </row>
    <row r="174" spans="12:12" ht="15.6" x14ac:dyDescent="0.3">
      <c r="L174" s="56"/>
    </row>
    <row r="175" spans="12:12" ht="15.6" x14ac:dyDescent="0.3">
      <c r="L175" s="56"/>
    </row>
    <row r="176" spans="12:12" ht="15.6" x14ac:dyDescent="0.3">
      <c r="L176" s="56"/>
    </row>
    <row r="177" spans="12:12" ht="15.6" x14ac:dyDescent="0.3">
      <c r="L177" s="56"/>
    </row>
    <row r="178" spans="12:12" ht="15.6" x14ac:dyDescent="0.3">
      <c r="L178" s="56"/>
    </row>
    <row r="179" spans="12:12" ht="15.6" x14ac:dyDescent="0.3">
      <c r="L179" s="56"/>
    </row>
    <row r="180" spans="12:12" ht="15.6" x14ac:dyDescent="0.3">
      <c r="L180" s="56"/>
    </row>
    <row r="181" spans="12:12" ht="15.6" x14ac:dyDescent="0.3">
      <c r="L181" s="56"/>
    </row>
    <row r="182" spans="12:12" ht="15.6" x14ac:dyDescent="0.3">
      <c r="L182" s="56"/>
    </row>
    <row r="183" spans="12:12" ht="15.6" x14ac:dyDescent="0.3">
      <c r="L183" s="56"/>
    </row>
    <row r="184" spans="12:12" ht="15.6" x14ac:dyDescent="0.3">
      <c r="L184" s="56"/>
    </row>
    <row r="185" spans="12:12" ht="15.6" x14ac:dyDescent="0.3">
      <c r="L185" s="56"/>
    </row>
    <row r="186" spans="12:12" ht="15.6" x14ac:dyDescent="0.3">
      <c r="L186" s="56"/>
    </row>
    <row r="187" spans="12:12" ht="15.6" x14ac:dyDescent="0.3">
      <c r="L187" s="56"/>
    </row>
    <row r="188" spans="12:12" ht="15.6" x14ac:dyDescent="0.3">
      <c r="L188" s="56"/>
    </row>
    <row r="189" spans="12:12" ht="15.6" x14ac:dyDescent="0.3">
      <c r="L189" s="56"/>
    </row>
    <row r="190" spans="12:12" ht="15.6" x14ac:dyDescent="0.3">
      <c r="L190" s="56"/>
    </row>
    <row r="191" spans="12:12" ht="15.6" x14ac:dyDescent="0.3">
      <c r="L191" s="56"/>
    </row>
    <row r="192" spans="12:12" ht="15.6" x14ac:dyDescent="0.3">
      <c r="L192" s="56"/>
    </row>
    <row r="193" spans="12:12" ht="15.6" x14ac:dyDescent="0.3">
      <c r="L193" s="56"/>
    </row>
    <row r="194" spans="12:12" ht="15.6" x14ac:dyDescent="0.3">
      <c r="L194" s="56"/>
    </row>
    <row r="195" spans="12:12" ht="15.6" x14ac:dyDescent="0.3">
      <c r="L195" s="56"/>
    </row>
    <row r="196" spans="12:12" ht="15.6" x14ac:dyDescent="0.3">
      <c r="L196" s="56"/>
    </row>
    <row r="197" spans="12:12" ht="15.6" x14ac:dyDescent="0.3">
      <c r="L197" s="56"/>
    </row>
    <row r="198" spans="12:12" ht="15.6" x14ac:dyDescent="0.3">
      <c r="L198" s="56"/>
    </row>
    <row r="199" spans="12:12" ht="15.6" x14ac:dyDescent="0.3">
      <c r="L199" s="56"/>
    </row>
    <row r="200" spans="12:12" ht="15.6" x14ac:dyDescent="0.3">
      <c r="L200" s="56"/>
    </row>
    <row r="201" spans="12:12" ht="15.6" x14ac:dyDescent="0.3">
      <c r="L201" s="56"/>
    </row>
    <row r="202" spans="12:12" ht="15.6" x14ac:dyDescent="0.3">
      <c r="L202" s="56"/>
    </row>
    <row r="203" spans="12:12" ht="15.6" x14ac:dyDescent="0.3">
      <c r="L203" s="56"/>
    </row>
    <row r="204" spans="12:12" ht="15.6" x14ac:dyDescent="0.3">
      <c r="L204" s="56"/>
    </row>
    <row r="205" spans="12:12" ht="15.6" x14ac:dyDescent="0.3">
      <c r="L205" s="56"/>
    </row>
    <row r="206" spans="12:12" ht="15.6" x14ac:dyDescent="0.3">
      <c r="L206" s="56"/>
    </row>
    <row r="207" spans="12:12" ht="15.6" x14ac:dyDescent="0.3">
      <c r="L207" s="56"/>
    </row>
    <row r="208" spans="12:12" ht="15.6" x14ac:dyDescent="0.3">
      <c r="L208" s="56"/>
    </row>
    <row r="209" spans="12:12" ht="15.6" x14ac:dyDescent="0.3">
      <c r="L209" s="56"/>
    </row>
    <row r="210" spans="12:12" ht="15.6" x14ac:dyDescent="0.3">
      <c r="L210" s="56"/>
    </row>
    <row r="211" spans="12:12" ht="15.6" x14ac:dyDescent="0.3">
      <c r="L211" s="56"/>
    </row>
    <row r="212" spans="12:12" ht="15.6" x14ac:dyDescent="0.3">
      <c r="L212" s="56"/>
    </row>
    <row r="213" spans="12:12" ht="15.6" x14ac:dyDescent="0.3">
      <c r="L213" s="56"/>
    </row>
    <row r="214" spans="12:12" ht="15.6" x14ac:dyDescent="0.3">
      <c r="L214" s="56"/>
    </row>
    <row r="215" spans="12:12" ht="15.6" x14ac:dyDescent="0.3">
      <c r="L215" s="56"/>
    </row>
    <row r="216" spans="12:12" ht="15.6" x14ac:dyDescent="0.3">
      <c r="L216" s="56"/>
    </row>
    <row r="217" spans="12:12" ht="15.6" x14ac:dyDescent="0.3">
      <c r="L217" s="56"/>
    </row>
    <row r="218" spans="12:12" ht="15.6" x14ac:dyDescent="0.3">
      <c r="L218" s="56"/>
    </row>
    <row r="219" spans="12:12" ht="15.6" x14ac:dyDescent="0.3">
      <c r="L219" s="56"/>
    </row>
    <row r="220" spans="12:12" ht="15.6" x14ac:dyDescent="0.3">
      <c r="L220" s="56"/>
    </row>
    <row r="221" spans="12:12" ht="15.6" x14ac:dyDescent="0.3">
      <c r="L221" s="56"/>
    </row>
    <row r="222" spans="12:12" ht="15.6" x14ac:dyDescent="0.3">
      <c r="L222" s="56"/>
    </row>
    <row r="223" spans="12:12" ht="15.6" x14ac:dyDescent="0.3">
      <c r="L223" s="56"/>
    </row>
    <row r="224" spans="12:12" ht="15.6" x14ac:dyDescent="0.3">
      <c r="L224" s="56"/>
    </row>
    <row r="225" spans="12:12" ht="15.6" x14ac:dyDescent="0.3">
      <c r="L225" s="56"/>
    </row>
    <row r="226" spans="12:12" ht="15.6" x14ac:dyDescent="0.3">
      <c r="L226" s="56"/>
    </row>
    <row r="227" spans="12:12" ht="15.6" x14ac:dyDescent="0.3">
      <c r="L227" s="56"/>
    </row>
    <row r="228" spans="12:12" ht="15.6" x14ac:dyDescent="0.3">
      <c r="L228" s="56"/>
    </row>
    <row r="229" spans="12:12" ht="15.6" x14ac:dyDescent="0.3">
      <c r="L229" s="56"/>
    </row>
    <row r="230" spans="12:12" ht="15.6" x14ac:dyDescent="0.3">
      <c r="L230" s="56"/>
    </row>
    <row r="231" spans="12:12" ht="15.6" x14ac:dyDescent="0.3">
      <c r="L231" s="56"/>
    </row>
    <row r="232" spans="12:12" ht="15.6" x14ac:dyDescent="0.3">
      <c r="L232" s="56"/>
    </row>
    <row r="233" spans="12:12" ht="15.6" x14ac:dyDescent="0.3">
      <c r="L233" s="56"/>
    </row>
    <row r="234" spans="12:12" ht="15.6" x14ac:dyDescent="0.3">
      <c r="L234" s="56"/>
    </row>
    <row r="235" spans="12:12" ht="15.6" x14ac:dyDescent="0.3">
      <c r="L235" s="56"/>
    </row>
    <row r="236" spans="12:12" ht="15.6" x14ac:dyDescent="0.3">
      <c r="L236" s="56"/>
    </row>
    <row r="237" spans="12:12" ht="15.6" x14ac:dyDescent="0.3">
      <c r="L237" s="56"/>
    </row>
    <row r="238" spans="12:12" ht="15.6" x14ac:dyDescent="0.3">
      <c r="L238" s="56"/>
    </row>
    <row r="239" spans="12:12" ht="15.6" x14ac:dyDescent="0.3">
      <c r="L239" s="56"/>
    </row>
    <row r="240" spans="12:12" ht="15.6" x14ac:dyDescent="0.3">
      <c r="L240" s="56"/>
    </row>
    <row r="241" spans="12:12" ht="15.6" x14ac:dyDescent="0.3">
      <c r="L241" s="56"/>
    </row>
    <row r="242" spans="12:12" ht="15.6" x14ac:dyDescent="0.3">
      <c r="L242" s="56"/>
    </row>
    <row r="243" spans="12:12" ht="15.6" x14ac:dyDescent="0.3">
      <c r="L243" s="56"/>
    </row>
    <row r="244" spans="12:12" ht="15.6" x14ac:dyDescent="0.3">
      <c r="L244" s="56"/>
    </row>
    <row r="245" spans="12:12" ht="15.6" x14ac:dyDescent="0.3">
      <c r="L245" s="56"/>
    </row>
    <row r="246" spans="12:12" ht="15.6" x14ac:dyDescent="0.3">
      <c r="L246" s="56"/>
    </row>
    <row r="247" spans="12:12" ht="15.6" x14ac:dyDescent="0.3">
      <c r="L247" s="56"/>
    </row>
    <row r="248" spans="12:12" ht="15.6" x14ac:dyDescent="0.3">
      <c r="L248" s="56"/>
    </row>
    <row r="249" spans="12:12" ht="15.6" x14ac:dyDescent="0.3">
      <c r="L249" s="56"/>
    </row>
    <row r="250" spans="12:12" ht="15.6" x14ac:dyDescent="0.3">
      <c r="L250" s="56"/>
    </row>
    <row r="251" spans="12:12" ht="15.6" x14ac:dyDescent="0.3">
      <c r="L251" s="56"/>
    </row>
    <row r="252" spans="12:12" ht="15.6" x14ac:dyDescent="0.3">
      <c r="L252" s="56"/>
    </row>
    <row r="253" spans="12:12" ht="15.6" x14ac:dyDescent="0.3">
      <c r="L253" s="56"/>
    </row>
    <row r="254" spans="12:12" ht="15.6" x14ac:dyDescent="0.3">
      <c r="L254" s="56"/>
    </row>
    <row r="255" spans="12:12" ht="15.6" x14ac:dyDescent="0.3">
      <c r="L255" s="56"/>
    </row>
    <row r="256" spans="12:12" ht="15.6" x14ac:dyDescent="0.3">
      <c r="L256" s="56"/>
    </row>
    <row r="257" spans="12:12" ht="15.6" x14ac:dyDescent="0.3">
      <c r="L257" s="56"/>
    </row>
    <row r="258" spans="12:12" ht="15.6" x14ac:dyDescent="0.3">
      <c r="L258" s="56"/>
    </row>
    <row r="259" spans="12:12" ht="15.6" x14ac:dyDescent="0.3">
      <c r="L259" s="56"/>
    </row>
    <row r="260" spans="12:12" ht="15.6" x14ac:dyDescent="0.3">
      <c r="L260" s="56"/>
    </row>
    <row r="261" spans="12:12" ht="15.6" x14ac:dyDescent="0.3">
      <c r="L261" s="56"/>
    </row>
    <row r="262" spans="12:12" ht="15.6" x14ac:dyDescent="0.3">
      <c r="L262" s="56"/>
    </row>
    <row r="263" spans="12:12" ht="15.6" x14ac:dyDescent="0.3">
      <c r="L263" s="56"/>
    </row>
    <row r="264" spans="12:12" ht="15.6" x14ac:dyDescent="0.3">
      <c r="L264" s="56"/>
    </row>
    <row r="265" spans="12:12" ht="15.6" x14ac:dyDescent="0.3">
      <c r="L265" s="56"/>
    </row>
    <row r="266" spans="12:12" ht="15.6" x14ac:dyDescent="0.3">
      <c r="L266" s="56"/>
    </row>
    <row r="267" spans="12:12" ht="15.6" x14ac:dyDescent="0.3">
      <c r="L267" s="56"/>
    </row>
    <row r="268" spans="12:12" ht="15.6" x14ac:dyDescent="0.3">
      <c r="L268" s="56"/>
    </row>
    <row r="269" spans="12:12" ht="15.6" x14ac:dyDescent="0.3">
      <c r="L269" s="56"/>
    </row>
    <row r="270" spans="12:12" ht="15.6" x14ac:dyDescent="0.3">
      <c r="L270" s="56"/>
    </row>
    <row r="271" spans="12:12" ht="15.6" x14ac:dyDescent="0.3">
      <c r="L271" s="56"/>
    </row>
    <row r="272" spans="12:12" ht="15.6" x14ac:dyDescent="0.3">
      <c r="L272" s="56"/>
    </row>
    <row r="273" spans="12:12" ht="15.6" x14ac:dyDescent="0.3">
      <c r="L273" s="56"/>
    </row>
    <row r="274" spans="12:12" ht="15.6" x14ac:dyDescent="0.3">
      <c r="L274" s="56"/>
    </row>
    <row r="275" spans="12:12" ht="15.6" x14ac:dyDescent="0.3">
      <c r="L275" s="56"/>
    </row>
    <row r="276" spans="12:12" ht="15.6" x14ac:dyDescent="0.3">
      <c r="L276" s="56"/>
    </row>
    <row r="277" spans="12:12" ht="15.6" x14ac:dyDescent="0.3">
      <c r="L277" s="56"/>
    </row>
    <row r="278" spans="12:12" ht="15.6" x14ac:dyDescent="0.3">
      <c r="L278" s="56"/>
    </row>
    <row r="279" spans="12:12" ht="15.6" x14ac:dyDescent="0.3">
      <c r="L279" s="56"/>
    </row>
    <row r="280" spans="12:12" ht="15.6" x14ac:dyDescent="0.3">
      <c r="L280" s="56"/>
    </row>
    <row r="281" spans="12:12" ht="15.6" x14ac:dyDescent="0.3">
      <c r="L281" s="56"/>
    </row>
    <row r="282" spans="12:12" ht="15.6" x14ac:dyDescent="0.3">
      <c r="L282" s="56"/>
    </row>
    <row r="283" spans="12:12" ht="15.6" x14ac:dyDescent="0.3">
      <c r="L283" s="56"/>
    </row>
    <row r="284" spans="12:12" ht="15.6" x14ac:dyDescent="0.3">
      <c r="L284" s="56"/>
    </row>
    <row r="285" spans="12:12" ht="15.6" x14ac:dyDescent="0.3">
      <c r="L285" s="56"/>
    </row>
    <row r="286" spans="12:12" ht="15.6" x14ac:dyDescent="0.3">
      <c r="L286" s="56"/>
    </row>
    <row r="287" spans="12:12" ht="15.6" x14ac:dyDescent="0.3">
      <c r="L287" s="56"/>
    </row>
    <row r="288" spans="12:12" ht="15.6" x14ac:dyDescent="0.3">
      <c r="L288" s="56"/>
    </row>
    <row r="289" spans="12:12" ht="15.6" x14ac:dyDescent="0.3">
      <c r="L289" s="56"/>
    </row>
    <row r="290" spans="12:12" ht="15.6" x14ac:dyDescent="0.3">
      <c r="L290" s="56"/>
    </row>
    <row r="291" spans="12:12" ht="15.6" x14ac:dyDescent="0.3">
      <c r="L291" s="56"/>
    </row>
    <row r="292" spans="12:12" ht="15.6" x14ac:dyDescent="0.3">
      <c r="L292" s="56"/>
    </row>
    <row r="293" spans="12:12" ht="15.6" x14ac:dyDescent="0.3">
      <c r="L293" s="56"/>
    </row>
    <row r="294" spans="12:12" ht="15.6" x14ac:dyDescent="0.3">
      <c r="L294" s="56"/>
    </row>
    <row r="295" spans="12:12" ht="15.6" x14ac:dyDescent="0.3">
      <c r="L295" s="56"/>
    </row>
    <row r="296" spans="12:12" ht="15.6" x14ac:dyDescent="0.3">
      <c r="L296" s="56"/>
    </row>
    <row r="297" spans="12:12" ht="15.6" x14ac:dyDescent="0.3">
      <c r="L297" s="56"/>
    </row>
    <row r="298" spans="12:12" ht="15.6" x14ac:dyDescent="0.3">
      <c r="L298" s="56"/>
    </row>
    <row r="299" spans="12:12" ht="15.6" x14ac:dyDescent="0.3">
      <c r="L299" s="56"/>
    </row>
    <row r="300" spans="12:12" ht="15.6" x14ac:dyDescent="0.3">
      <c r="L300" s="56"/>
    </row>
    <row r="301" spans="12:12" ht="15.6" x14ac:dyDescent="0.3">
      <c r="L301" s="56"/>
    </row>
    <row r="302" spans="12:12" ht="15.6" x14ac:dyDescent="0.3">
      <c r="L302" s="56"/>
    </row>
    <row r="303" spans="12:12" ht="15.6" x14ac:dyDescent="0.3">
      <c r="L303" s="56"/>
    </row>
    <row r="304" spans="12:12" ht="15.6" x14ac:dyDescent="0.3">
      <c r="L304" s="56"/>
    </row>
    <row r="305" spans="12:12" ht="15.6" x14ac:dyDescent="0.3">
      <c r="L305" s="56"/>
    </row>
    <row r="306" spans="12:12" ht="15.6" x14ac:dyDescent="0.3">
      <c r="L306" s="56"/>
    </row>
    <row r="307" spans="12:12" ht="15.6" x14ac:dyDescent="0.3">
      <c r="L307" s="56"/>
    </row>
    <row r="308" spans="12:12" ht="15.6" x14ac:dyDescent="0.3">
      <c r="L308" s="56"/>
    </row>
    <row r="309" spans="12:12" ht="15.6" x14ac:dyDescent="0.3">
      <c r="L309" s="56"/>
    </row>
    <row r="310" spans="12:12" ht="15.6" x14ac:dyDescent="0.3">
      <c r="L310" s="56"/>
    </row>
    <row r="311" spans="12:12" ht="15.6" x14ac:dyDescent="0.3">
      <c r="L311" s="56"/>
    </row>
    <row r="312" spans="12:12" ht="15.6" x14ac:dyDescent="0.3">
      <c r="L312" s="56"/>
    </row>
    <row r="313" spans="12:12" ht="15.6" x14ac:dyDescent="0.3">
      <c r="L313" s="56"/>
    </row>
    <row r="314" spans="12:12" ht="15.6" x14ac:dyDescent="0.3">
      <c r="L314" s="56"/>
    </row>
    <row r="315" spans="12:12" ht="15.6" x14ac:dyDescent="0.3">
      <c r="L315" s="56"/>
    </row>
    <row r="316" spans="12:12" ht="15.6" x14ac:dyDescent="0.3">
      <c r="L316" s="56"/>
    </row>
    <row r="317" spans="12:12" ht="15.6" x14ac:dyDescent="0.3">
      <c r="L317" s="56"/>
    </row>
    <row r="318" spans="12:12" ht="15.6" x14ac:dyDescent="0.3">
      <c r="L318" s="56"/>
    </row>
    <row r="319" spans="12:12" ht="15.6" x14ac:dyDescent="0.3">
      <c r="L319" s="56"/>
    </row>
    <row r="320" spans="12:12" ht="15.6" x14ac:dyDescent="0.3">
      <c r="L320" s="56"/>
    </row>
    <row r="321" spans="12:12" ht="15.6" x14ac:dyDescent="0.3">
      <c r="L321" s="56"/>
    </row>
    <row r="322" spans="12:12" ht="15.6" x14ac:dyDescent="0.3">
      <c r="L322" s="56"/>
    </row>
    <row r="323" spans="12:12" ht="15.6" x14ac:dyDescent="0.3">
      <c r="L323" s="56"/>
    </row>
    <row r="324" spans="12:12" ht="15.6" x14ac:dyDescent="0.3">
      <c r="L324" s="56"/>
    </row>
    <row r="325" spans="12:12" ht="15.6" x14ac:dyDescent="0.3">
      <c r="L325" s="56"/>
    </row>
    <row r="326" spans="12:12" ht="15.6" x14ac:dyDescent="0.3">
      <c r="L326" s="56"/>
    </row>
    <row r="327" spans="12:12" ht="15.6" x14ac:dyDescent="0.3">
      <c r="L327" s="56"/>
    </row>
    <row r="328" spans="12:12" ht="15.6" x14ac:dyDescent="0.3">
      <c r="L328" s="56"/>
    </row>
    <row r="329" spans="12:12" ht="15.6" x14ac:dyDescent="0.3">
      <c r="L329" s="56"/>
    </row>
    <row r="330" spans="12:12" ht="15.6" x14ac:dyDescent="0.3">
      <c r="L330" s="56"/>
    </row>
    <row r="331" spans="12:12" ht="15.6" x14ac:dyDescent="0.3">
      <c r="L331" s="56"/>
    </row>
    <row r="332" spans="12:12" ht="15.6" x14ac:dyDescent="0.3">
      <c r="L332" s="56"/>
    </row>
    <row r="333" spans="12:12" ht="15.6" x14ac:dyDescent="0.3">
      <c r="L333" s="56"/>
    </row>
    <row r="334" spans="12:12" ht="15.6" x14ac:dyDescent="0.3">
      <c r="L334" s="56"/>
    </row>
    <row r="335" spans="12:12" ht="15.6" x14ac:dyDescent="0.3">
      <c r="L335" s="56"/>
    </row>
    <row r="336" spans="12:12" ht="15.6" x14ac:dyDescent="0.3">
      <c r="L336" s="56"/>
    </row>
    <row r="337" spans="12:12" ht="15.6" x14ac:dyDescent="0.3">
      <c r="L337" s="56"/>
    </row>
    <row r="338" spans="12:12" ht="15.6" x14ac:dyDescent="0.3">
      <c r="L338" s="56"/>
    </row>
    <row r="339" spans="12:12" ht="15.6" x14ac:dyDescent="0.3">
      <c r="L339" s="56"/>
    </row>
    <row r="340" spans="12:12" ht="15.6" x14ac:dyDescent="0.3">
      <c r="L340" s="56"/>
    </row>
    <row r="341" spans="12:12" ht="15.6" x14ac:dyDescent="0.3">
      <c r="L341" s="56"/>
    </row>
    <row r="342" spans="12:12" ht="15.6" x14ac:dyDescent="0.3">
      <c r="L342" s="56"/>
    </row>
    <row r="343" spans="12:12" ht="15.6" x14ac:dyDescent="0.3">
      <c r="L343" s="56"/>
    </row>
    <row r="344" spans="12:12" ht="15.6" x14ac:dyDescent="0.3">
      <c r="L344" s="56"/>
    </row>
    <row r="345" spans="12:12" ht="15.6" x14ac:dyDescent="0.3">
      <c r="L345" s="56"/>
    </row>
    <row r="346" spans="12:12" ht="15.6" x14ac:dyDescent="0.3">
      <c r="L346" s="56"/>
    </row>
    <row r="347" spans="12:12" ht="15.6" x14ac:dyDescent="0.3">
      <c r="L347" s="56"/>
    </row>
    <row r="348" spans="12:12" ht="15.6" x14ac:dyDescent="0.3">
      <c r="L348" s="56"/>
    </row>
    <row r="349" spans="12:12" ht="15.6" x14ac:dyDescent="0.3">
      <c r="L349" s="56"/>
    </row>
    <row r="350" spans="12:12" ht="15.6" x14ac:dyDescent="0.3">
      <c r="L350" s="56"/>
    </row>
    <row r="351" spans="12:12" ht="15.6" x14ac:dyDescent="0.3">
      <c r="L351" s="56"/>
    </row>
    <row r="352" spans="12:12" ht="15.6" x14ac:dyDescent="0.3">
      <c r="L352" s="56"/>
    </row>
    <row r="353" spans="12:12" ht="15.6" x14ac:dyDescent="0.3">
      <c r="L353" s="56"/>
    </row>
    <row r="354" spans="12:12" ht="15.6" x14ac:dyDescent="0.3">
      <c r="L354" s="56"/>
    </row>
    <row r="355" spans="12:12" ht="15.6" x14ac:dyDescent="0.3">
      <c r="L355" s="56"/>
    </row>
    <row r="356" spans="12:12" ht="15.6" x14ac:dyDescent="0.3">
      <c r="L356" s="56"/>
    </row>
    <row r="357" spans="12:12" ht="15.6" x14ac:dyDescent="0.3">
      <c r="L357" s="56"/>
    </row>
    <row r="358" spans="12:12" ht="15.6" x14ac:dyDescent="0.3">
      <c r="L358" s="56"/>
    </row>
    <row r="359" spans="12:12" ht="15.6" x14ac:dyDescent="0.3">
      <c r="L359" s="56"/>
    </row>
    <row r="360" spans="12:12" ht="15.6" x14ac:dyDescent="0.3">
      <c r="L360" s="56"/>
    </row>
    <row r="361" spans="12:12" ht="15.6" x14ac:dyDescent="0.3">
      <c r="L361" s="56"/>
    </row>
    <row r="362" spans="12:12" ht="15.6" x14ac:dyDescent="0.3">
      <c r="L362" s="56"/>
    </row>
    <row r="363" spans="12:12" ht="15.6" x14ac:dyDescent="0.3">
      <c r="L363" s="56"/>
    </row>
    <row r="364" spans="12:12" ht="15.6" x14ac:dyDescent="0.3">
      <c r="L364" s="56"/>
    </row>
    <row r="365" spans="12:12" ht="15.6" x14ac:dyDescent="0.3">
      <c r="L365" s="56"/>
    </row>
    <row r="366" spans="12:12" ht="15.6" x14ac:dyDescent="0.3">
      <c r="L366" s="56"/>
    </row>
    <row r="367" spans="12:12" ht="15.6" x14ac:dyDescent="0.3">
      <c r="L367" s="56"/>
    </row>
    <row r="368" spans="12:12" ht="15.6" x14ac:dyDescent="0.3">
      <c r="L368" s="56"/>
    </row>
    <row r="369" spans="12:12" ht="15.6" x14ac:dyDescent="0.3">
      <c r="L369" s="56"/>
    </row>
    <row r="370" spans="12:12" ht="15.6" x14ac:dyDescent="0.3">
      <c r="L370" s="56"/>
    </row>
    <row r="371" spans="12:12" ht="15.6" x14ac:dyDescent="0.3">
      <c r="L371" s="56"/>
    </row>
    <row r="372" spans="12:12" ht="15.6" x14ac:dyDescent="0.3">
      <c r="L372" s="56"/>
    </row>
    <row r="373" spans="12:12" ht="15.6" x14ac:dyDescent="0.3">
      <c r="L373" s="56"/>
    </row>
    <row r="374" spans="12:12" ht="15.6" x14ac:dyDescent="0.3">
      <c r="L374" s="56"/>
    </row>
    <row r="375" spans="12:12" ht="15.6" x14ac:dyDescent="0.3">
      <c r="L375" s="56"/>
    </row>
    <row r="376" spans="12:12" ht="15.6" x14ac:dyDescent="0.3">
      <c r="L376" s="56"/>
    </row>
    <row r="377" spans="12:12" ht="15.6" x14ac:dyDescent="0.3">
      <c r="L377" s="56"/>
    </row>
    <row r="378" spans="12:12" ht="15.6" x14ac:dyDescent="0.3">
      <c r="L378" s="56"/>
    </row>
    <row r="379" spans="12:12" ht="15.6" x14ac:dyDescent="0.3">
      <c r="L379" s="56"/>
    </row>
    <row r="380" spans="12:12" ht="15.6" x14ac:dyDescent="0.3">
      <c r="L380" s="56"/>
    </row>
    <row r="381" spans="12:12" ht="15.6" x14ac:dyDescent="0.3">
      <c r="L381" s="56"/>
    </row>
    <row r="382" spans="12:12" ht="15.6" x14ac:dyDescent="0.3">
      <c r="L382" s="56"/>
    </row>
    <row r="383" spans="12:12" ht="15.6" x14ac:dyDescent="0.3">
      <c r="L383" s="56"/>
    </row>
    <row r="384" spans="12:12" ht="15.6" x14ac:dyDescent="0.3">
      <c r="L384" s="56"/>
    </row>
    <row r="385" spans="12:12" ht="15.6" x14ac:dyDescent="0.3">
      <c r="L385" s="56"/>
    </row>
    <row r="386" spans="12:12" ht="15.6" x14ac:dyDescent="0.3">
      <c r="L386" s="56"/>
    </row>
    <row r="387" spans="12:12" ht="15.6" x14ac:dyDescent="0.3">
      <c r="L387" s="56"/>
    </row>
    <row r="388" spans="12:12" ht="15.6" x14ac:dyDescent="0.3">
      <c r="L388" s="56"/>
    </row>
    <row r="389" spans="12:12" ht="15.6" x14ac:dyDescent="0.3">
      <c r="L389" s="56"/>
    </row>
    <row r="390" spans="12:12" ht="15.6" x14ac:dyDescent="0.3">
      <c r="L390" s="56"/>
    </row>
    <row r="391" spans="12:12" ht="15.6" x14ac:dyDescent="0.3">
      <c r="L391" s="56"/>
    </row>
    <row r="392" spans="12:12" ht="15.6" x14ac:dyDescent="0.3">
      <c r="L392" s="56"/>
    </row>
    <row r="393" spans="12:12" ht="15.6" x14ac:dyDescent="0.3">
      <c r="L393" s="56"/>
    </row>
    <row r="394" spans="12:12" ht="15.6" x14ac:dyDescent="0.3">
      <c r="L394" s="56"/>
    </row>
    <row r="395" spans="12:12" ht="15.6" x14ac:dyDescent="0.3">
      <c r="L395" s="56"/>
    </row>
    <row r="396" spans="12:12" ht="15.6" x14ac:dyDescent="0.3">
      <c r="L396" s="56"/>
    </row>
    <row r="397" spans="12:12" ht="15.6" x14ac:dyDescent="0.3">
      <c r="L397" s="56"/>
    </row>
    <row r="398" spans="12:12" ht="15.6" x14ac:dyDescent="0.3">
      <c r="L398" s="56"/>
    </row>
    <row r="399" spans="12:12" ht="15.6" x14ac:dyDescent="0.3">
      <c r="L399" s="56"/>
    </row>
    <row r="400" spans="12:12" ht="15.6" x14ac:dyDescent="0.3">
      <c r="L400" s="56"/>
    </row>
    <row r="401" spans="12:12" ht="15.6" x14ac:dyDescent="0.3">
      <c r="L401" s="56"/>
    </row>
    <row r="402" spans="12:12" ht="15.6" x14ac:dyDescent="0.3">
      <c r="L402" s="56"/>
    </row>
    <row r="403" spans="12:12" ht="15.6" x14ac:dyDescent="0.3">
      <c r="L403" s="56"/>
    </row>
    <row r="404" spans="12:12" ht="15.6" x14ac:dyDescent="0.3">
      <c r="L404" s="56"/>
    </row>
    <row r="405" spans="12:12" ht="15.6" x14ac:dyDescent="0.3">
      <c r="L405" s="56"/>
    </row>
    <row r="406" spans="12:12" ht="15.6" x14ac:dyDescent="0.3">
      <c r="L406" s="56"/>
    </row>
    <row r="407" spans="12:12" ht="15.6" x14ac:dyDescent="0.3">
      <c r="L407" s="56"/>
    </row>
    <row r="408" spans="12:12" ht="15.6" x14ac:dyDescent="0.3">
      <c r="L408" s="56"/>
    </row>
    <row r="409" spans="12:12" ht="15.6" x14ac:dyDescent="0.3">
      <c r="L409" s="56"/>
    </row>
    <row r="410" spans="12:12" ht="15.6" x14ac:dyDescent="0.3">
      <c r="L410" s="56"/>
    </row>
    <row r="411" spans="12:12" ht="15.6" x14ac:dyDescent="0.3">
      <c r="L411" s="56"/>
    </row>
    <row r="412" spans="12:12" ht="15.6" x14ac:dyDescent="0.3">
      <c r="L412" s="56"/>
    </row>
    <row r="413" spans="12:12" ht="15.6" x14ac:dyDescent="0.3">
      <c r="L413" s="56"/>
    </row>
    <row r="414" spans="12:12" ht="15.6" x14ac:dyDescent="0.3">
      <c r="L414" s="56"/>
    </row>
    <row r="415" spans="12:12" ht="15.6" x14ac:dyDescent="0.3">
      <c r="L415" s="56"/>
    </row>
    <row r="416" spans="12:12" ht="15.6" x14ac:dyDescent="0.3">
      <c r="L416" s="56"/>
    </row>
    <row r="417" spans="12:12" ht="15.6" x14ac:dyDescent="0.3">
      <c r="L417" s="56"/>
    </row>
    <row r="418" spans="12:12" ht="15.6" x14ac:dyDescent="0.3">
      <c r="L418" s="56"/>
    </row>
    <row r="419" spans="12:12" ht="15.6" x14ac:dyDescent="0.3">
      <c r="L419" s="56"/>
    </row>
    <row r="420" spans="12:12" ht="15.6" x14ac:dyDescent="0.3">
      <c r="L420" s="56"/>
    </row>
    <row r="421" spans="12:12" ht="15.6" x14ac:dyDescent="0.3">
      <c r="L421" s="56"/>
    </row>
    <row r="422" spans="12:12" ht="15.6" x14ac:dyDescent="0.3">
      <c r="L422" s="56"/>
    </row>
    <row r="423" spans="12:12" ht="15.6" x14ac:dyDescent="0.3">
      <c r="L423" s="56"/>
    </row>
    <row r="424" spans="12:12" ht="15.6" x14ac:dyDescent="0.3">
      <c r="L424" s="56"/>
    </row>
    <row r="425" spans="12:12" ht="15.6" x14ac:dyDescent="0.3">
      <c r="L425" s="56"/>
    </row>
    <row r="426" spans="12:12" ht="15.6" x14ac:dyDescent="0.3">
      <c r="L426" s="56"/>
    </row>
    <row r="427" spans="12:12" ht="15.6" x14ac:dyDescent="0.3">
      <c r="L427" s="56"/>
    </row>
    <row r="428" spans="12:12" ht="15.6" x14ac:dyDescent="0.3">
      <c r="L428" s="56"/>
    </row>
    <row r="429" spans="12:12" ht="15.6" x14ac:dyDescent="0.3">
      <c r="L429" s="56"/>
    </row>
    <row r="430" spans="12:12" ht="15.6" x14ac:dyDescent="0.3">
      <c r="L430" s="56"/>
    </row>
    <row r="431" spans="12:12" ht="15.6" x14ac:dyDescent="0.3">
      <c r="L431" s="56"/>
    </row>
    <row r="432" spans="12:12" ht="15.6" x14ac:dyDescent="0.3">
      <c r="L432" s="56"/>
    </row>
    <row r="433" spans="12:12" ht="15.6" x14ac:dyDescent="0.3">
      <c r="L433" s="56"/>
    </row>
    <row r="434" spans="12:12" ht="15.6" x14ac:dyDescent="0.3">
      <c r="L434" s="56"/>
    </row>
    <row r="435" spans="12:12" ht="15.6" x14ac:dyDescent="0.3">
      <c r="L435" s="56"/>
    </row>
    <row r="436" spans="12:12" ht="15.6" x14ac:dyDescent="0.3">
      <c r="L436" s="56"/>
    </row>
    <row r="437" spans="12:12" ht="15.6" x14ac:dyDescent="0.3">
      <c r="L437" s="56"/>
    </row>
    <row r="438" spans="12:12" ht="15.6" x14ac:dyDescent="0.3">
      <c r="L438" s="56"/>
    </row>
    <row r="439" spans="12:12" ht="15.6" x14ac:dyDescent="0.3">
      <c r="L439" s="56"/>
    </row>
    <row r="440" spans="12:12" ht="15.6" x14ac:dyDescent="0.3">
      <c r="L440" s="56"/>
    </row>
    <row r="441" spans="12:12" ht="15.6" x14ac:dyDescent="0.3">
      <c r="L441" s="56"/>
    </row>
    <row r="442" spans="12:12" ht="15.6" x14ac:dyDescent="0.3">
      <c r="L442" s="56"/>
    </row>
    <row r="443" spans="12:12" ht="15.6" x14ac:dyDescent="0.3">
      <c r="L443" s="56"/>
    </row>
    <row r="444" spans="12:12" ht="15.6" x14ac:dyDescent="0.3">
      <c r="L444" s="56"/>
    </row>
    <row r="445" spans="12:12" ht="15.6" x14ac:dyDescent="0.3">
      <c r="L445" s="56"/>
    </row>
    <row r="446" spans="12:12" ht="15.6" x14ac:dyDescent="0.3">
      <c r="L446" s="56"/>
    </row>
    <row r="447" spans="12:12" ht="15.6" x14ac:dyDescent="0.3">
      <c r="L447" s="56"/>
    </row>
    <row r="448" spans="12:12" ht="15.6" x14ac:dyDescent="0.3">
      <c r="L448" s="56"/>
    </row>
    <row r="449" spans="12:12" ht="15.6" x14ac:dyDescent="0.3">
      <c r="L449" s="56"/>
    </row>
    <row r="450" spans="12:12" ht="15.6" x14ac:dyDescent="0.3">
      <c r="L450" s="56"/>
    </row>
    <row r="451" spans="12:12" ht="15.6" x14ac:dyDescent="0.3">
      <c r="L451" s="56"/>
    </row>
    <row r="452" spans="12:12" ht="15.6" x14ac:dyDescent="0.3">
      <c r="L452" s="56"/>
    </row>
    <row r="453" spans="12:12" ht="15.6" x14ac:dyDescent="0.3">
      <c r="L453" s="56"/>
    </row>
    <row r="454" spans="12:12" ht="15.6" x14ac:dyDescent="0.3">
      <c r="L454" s="56"/>
    </row>
    <row r="455" spans="12:12" ht="15.6" x14ac:dyDescent="0.3">
      <c r="L455" s="56"/>
    </row>
    <row r="456" spans="12:12" ht="15.6" x14ac:dyDescent="0.3">
      <c r="L456" s="56"/>
    </row>
    <row r="457" spans="12:12" ht="15.6" x14ac:dyDescent="0.3">
      <c r="L457" s="56"/>
    </row>
    <row r="458" spans="12:12" ht="15.6" x14ac:dyDescent="0.3">
      <c r="L458" s="56"/>
    </row>
    <row r="459" spans="12:12" ht="15.6" x14ac:dyDescent="0.3">
      <c r="L459" s="56"/>
    </row>
    <row r="460" spans="12:12" ht="15.6" x14ac:dyDescent="0.3">
      <c r="L460" s="56"/>
    </row>
    <row r="461" spans="12:12" ht="15.6" x14ac:dyDescent="0.3">
      <c r="L461" s="56"/>
    </row>
    <row r="462" spans="12:12" ht="15.6" x14ac:dyDescent="0.3">
      <c r="L462" s="56"/>
    </row>
    <row r="463" spans="12:12" ht="15.6" x14ac:dyDescent="0.3">
      <c r="L463" s="56"/>
    </row>
    <row r="464" spans="12:12" ht="15.6" x14ac:dyDescent="0.3">
      <c r="L464" s="56"/>
    </row>
    <row r="465" spans="12:12" ht="15.6" x14ac:dyDescent="0.3">
      <c r="L465" s="56"/>
    </row>
    <row r="466" spans="12:12" ht="15.6" x14ac:dyDescent="0.3">
      <c r="L466" s="56"/>
    </row>
    <row r="467" spans="12:12" ht="15.6" x14ac:dyDescent="0.3">
      <c r="L467" s="56"/>
    </row>
    <row r="468" spans="12:12" ht="15.6" x14ac:dyDescent="0.3">
      <c r="L468" s="56"/>
    </row>
    <row r="469" spans="12:12" ht="15.6" x14ac:dyDescent="0.3">
      <c r="L469" s="56"/>
    </row>
    <row r="470" spans="12:12" ht="15.6" x14ac:dyDescent="0.3">
      <c r="L470" s="56"/>
    </row>
    <row r="471" spans="12:12" ht="15.6" x14ac:dyDescent="0.3">
      <c r="L471" s="56"/>
    </row>
    <row r="472" spans="12:12" ht="15.6" x14ac:dyDescent="0.3">
      <c r="L472" s="56"/>
    </row>
    <row r="473" spans="12:12" ht="15.6" x14ac:dyDescent="0.3">
      <c r="L473" s="56"/>
    </row>
    <row r="474" spans="12:12" ht="15.6" x14ac:dyDescent="0.3">
      <c r="L474" s="56"/>
    </row>
    <row r="475" spans="12:12" ht="15.6" x14ac:dyDescent="0.3">
      <c r="L475" s="56"/>
    </row>
    <row r="476" spans="12:12" ht="15.6" x14ac:dyDescent="0.3">
      <c r="L476" s="56"/>
    </row>
    <row r="477" spans="12:12" ht="15.6" x14ac:dyDescent="0.3">
      <c r="L477" s="56"/>
    </row>
    <row r="478" spans="12:12" ht="15.6" x14ac:dyDescent="0.3">
      <c r="L478" s="56"/>
    </row>
    <row r="479" spans="12:12" ht="15.6" x14ac:dyDescent="0.3">
      <c r="L479" s="56"/>
    </row>
    <row r="480" spans="12:12" ht="15.6" x14ac:dyDescent="0.3">
      <c r="L480" s="56"/>
    </row>
    <row r="481" spans="12:12" ht="15.6" x14ac:dyDescent="0.3">
      <c r="L481" s="56"/>
    </row>
    <row r="482" spans="12:12" ht="15.6" x14ac:dyDescent="0.3">
      <c r="L482" s="56"/>
    </row>
    <row r="483" spans="12:12" ht="15.6" x14ac:dyDescent="0.3">
      <c r="L483" s="56"/>
    </row>
    <row r="484" spans="12:12" ht="15.6" x14ac:dyDescent="0.3">
      <c r="L484" s="56"/>
    </row>
    <row r="485" spans="12:12" ht="15.6" x14ac:dyDescent="0.3">
      <c r="L485" s="56"/>
    </row>
    <row r="486" spans="12:12" ht="15.6" x14ac:dyDescent="0.3">
      <c r="L486" s="56"/>
    </row>
    <row r="487" spans="12:12" ht="15.6" x14ac:dyDescent="0.3">
      <c r="L487" s="56"/>
    </row>
    <row r="488" spans="12:12" ht="15.6" x14ac:dyDescent="0.3">
      <c r="L488" s="56"/>
    </row>
    <row r="489" spans="12:12" ht="15.6" x14ac:dyDescent="0.3">
      <c r="L489" s="56"/>
    </row>
    <row r="490" spans="12:12" ht="15.6" x14ac:dyDescent="0.3">
      <c r="L490" s="56"/>
    </row>
    <row r="491" spans="12:12" ht="15.6" x14ac:dyDescent="0.3">
      <c r="L491" s="56"/>
    </row>
    <row r="492" spans="12:12" ht="15.6" x14ac:dyDescent="0.3">
      <c r="L492" s="56"/>
    </row>
    <row r="493" spans="12:12" ht="15.6" x14ac:dyDescent="0.3">
      <c r="L493" s="56"/>
    </row>
    <row r="494" spans="12:12" ht="15.6" x14ac:dyDescent="0.3">
      <c r="L494" s="56"/>
    </row>
    <row r="495" spans="12:12" ht="15.6" x14ac:dyDescent="0.3">
      <c r="L495" s="56"/>
    </row>
    <row r="496" spans="12:12" ht="15.6" x14ac:dyDescent="0.3">
      <c r="L496" s="56"/>
    </row>
    <row r="497" spans="12:12" ht="15.6" x14ac:dyDescent="0.3">
      <c r="L497" s="56"/>
    </row>
    <row r="498" spans="12:12" ht="15.6" x14ac:dyDescent="0.3">
      <c r="L498" s="56"/>
    </row>
    <row r="499" spans="12:12" ht="15.6" x14ac:dyDescent="0.3">
      <c r="L499" s="56"/>
    </row>
    <row r="500" spans="12:12" ht="15.6" x14ac:dyDescent="0.3">
      <c r="L500" s="56"/>
    </row>
    <row r="501" spans="12:12" ht="15.6" x14ac:dyDescent="0.3">
      <c r="L501" s="56"/>
    </row>
    <row r="502" spans="12:12" ht="15.6" x14ac:dyDescent="0.3">
      <c r="L502" s="56"/>
    </row>
    <row r="503" spans="12:12" ht="15.6" x14ac:dyDescent="0.3">
      <c r="L503" s="56"/>
    </row>
    <row r="504" spans="12:12" ht="15.6" x14ac:dyDescent="0.3">
      <c r="L504" s="56"/>
    </row>
    <row r="505" spans="12:12" ht="15.6" x14ac:dyDescent="0.3">
      <c r="L505" s="56"/>
    </row>
    <row r="506" spans="12:12" ht="15.6" x14ac:dyDescent="0.3">
      <c r="L506" s="56"/>
    </row>
    <row r="507" spans="12:12" ht="15.6" x14ac:dyDescent="0.3">
      <c r="L507" s="56"/>
    </row>
    <row r="508" spans="12:12" ht="15.6" x14ac:dyDescent="0.3">
      <c r="L508" s="56"/>
    </row>
    <row r="509" spans="12:12" ht="15.6" x14ac:dyDescent="0.3">
      <c r="L509" s="56"/>
    </row>
    <row r="510" spans="12:12" ht="15.6" x14ac:dyDescent="0.3">
      <c r="L510" s="56"/>
    </row>
    <row r="511" spans="12:12" ht="15.6" x14ac:dyDescent="0.3">
      <c r="L511" s="56"/>
    </row>
    <row r="512" spans="12:12" ht="15.6" x14ac:dyDescent="0.3">
      <c r="L512" s="56"/>
    </row>
    <row r="513" spans="12:12" ht="15.6" x14ac:dyDescent="0.3">
      <c r="L513" s="56"/>
    </row>
    <row r="514" spans="12:12" ht="15.6" x14ac:dyDescent="0.3">
      <c r="L514" s="56"/>
    </row>
    <row r="515" spans="12:12" ht="15.6" x14ac:dyDescent="0.3">
      <c r="L515" s="56"/>
    </row>
    <row r="516" spans="12:12" ht="15.6" x14ac:dyDescent="0.3">
      <c r="L516" s="56"/>
    </row>
    <row r="517" spans="12:12" ht="15.6" x14ac:dyDescent="0.3">
      <c r="L517" s="56"/>
    </row>
    <row r="518" spans="12:12" ht="15.6" x14ac:dyDescent="0.3">
      <c r="L518" s="56"/>
    </row>
    <row r="519" spans="12:12" ht="15.6" x14ac:dyDescent="0.3">
      <c r="L519" s="56"/>
    </row>
    <row r="520" spans="12:12" ht="15.6" x14ac:dyDescent="0.3">
      <c r="L520" s="56"/>
    </row>
    <row r="521" spans="12:12" ht="15.6" x14ac:dyDescent="0.3">
      <c r="L521" s="56"/>
    </row>
    <row r="522" spans="12:12" ht="15.6" x14ac:dyDescent="0.3">
      <c r="L522" s="56"/>
    </row>
    <row r="523" spans="12:12" ht="15.6" x14ac:dyDescent="0.3">
      <c r="L523" s="56"/>
    </row>
    <row r="524" spans="12:12" ht="15.6" x14ac:dyDescent="0.3">
      <c r="L524" s="56"/>
    </row>
    <row r="525" spans="12:12" ht="15.6" x14ac:dyDescent="0.3">
      <c r="L525" s="56"/>
    </row>
    <row r="526" spans="12:12" ht="15.6" x14ac:dyDescent="0.3">
      <c r="L526" s="56"/>
    </row>
    <row r="527" spans="12:12" ht="15.6" x14ac:dyDescent="0.3">
      <c r="L527" s="56"/>
    </row>
    <row r="528" spans="12:12" ht="15.6" x14ac:dyDescent="0.3">
      <c r="L528" s="56"/>
    </row>
    <row r="529" spans="12:12" ht="15.6" x14ac:dyDescent="0.3">
      <c r="L529" s="56"/>
    </row>
    <row r="530" spans="12:12" ht="15.6" x14ac:dyDescent="0.3">
      <c r="L530" s="56"/>
    </row>
    <row r="531" spans="12:12" ht="15.6" x14ac:dyDescent="0.3">
      <c r="L531" s="56"/>
    </row>
    <row r="532" spans="12:12" ht="15.6" x14ac:dyDescent="0.3">
      <c r="L532" s="56"/>
    </row>
    <row r="533" spans="12:12" ht="15.6" x14ac:dyDescent="0.3">
      <c r="L533" s="56"/>
    </row>
    <row r="534" spans="12:12" ht="15.6" x14ac:dyDescent="0.3">
      <c r="L534" s="56"/>
    </row>
    <row r="535" spans="12:12" ht="15.6" x14ac:dyDescent="0.3">
      <c r="L535" s="56"/>
    </row>
    <row r="536" spans="12:12" ht="15.6" x14ac:dyDescent="0.3">
      <c r="L536" s="56"/>
    </row>
    <row r="537" spans="12:12" ht="15.6" x14ac:dyDescent="0.3">
      <c r="L537" s="56"/>
    </row>
    <row r="538" spans="12:12" ht="15.6" x14ac:dyDescent="0.3">
      <c r="L538" s="56"/>
    </row>
    <row r="539" spans="12:12" ht="15.6" x14ac:dyDescent="0.3">
      <c r="L539" s="56"/>
    </row>
    <row r="540" spans="12:12" ht="15.6" x14ac:dyDescent="0.3">
      <c r="L540" s="56"/>
    </row>
    <row r="541" spans="12:12" ht="15.6" x14ac:dyDescent="0.3">
      <c r="L541" s="56"/>
    </row>
    <row r="542" spans="12:12" ht="15.6" x14ac:dyDescent="0.3">
      <c r="L542" s="56"/>
    </row>
    <row r="543" spans="12:12" ht="15.6" x14ac:dyDescent="0.3">
      <c r="L543" s="56"/>
    </row>
    <row r="544" spans="12:12" ht="15.6" x14ac:dyDescent="0.3">
      <c r="L544" s="56"/>
    </row>
    <row r="545" spans="12:12" ht="15.6" x14ac:dyDescent="0.3">
      <c r="L545" s="56"/>
    </row>
    <row r="546" spans="12:12" ht="15.6" x14ac:dyDescent="0.3">
      <c r="L546" s="56"/>
    </row>
    <row r="547" spans="12:12" ht="15.6" x14ac:dyDescent="0.3">
      <c r="L547" s="56"/>
    </row>
    <row r="548" spans="12:12" ht="15.6" x14ac:dyDescent="0.3">
      <c r="L548" s="56"/>
    </row>
    <row r="549" spans="12:12" ht="15.6" x14ac:dyDescent="0.3">
      <c r="L549" s="56"/>
    </row>
    <row r="550" spans="12:12" ht="15.6" x14ac:dyDescent="0.3">
      <c r="L550" s="56"/>
    </row>
    <row r="551" spans="12:12" ht="15.6" x14ac:dyDescent="0.3">
      <c r="L551" s="56"/>
    </row>
    <row r="552" spans="12:12" ht="15.6" x14ac:dyDescent="0.3">
      <c r="L552" s="56"/>
    </row>
    <row r="553" spans="12:12" ht="15.6" x14ac:dyDescent="0.3">
      <c r="L553" s="56"/>
    </row>
    <row r="554" spans="12:12" ht="15.6" x14ac:dyDescent="0.3">
      <c r="L554" s="56"/>
    </row>
    <row r="555" spans="12:12" ht="15.6" x14ac:dyDescent="0.3">
      <c r="L555" s="56"/>
    </row>
    <row r="556" spans="12:12" ht="15.6" x14ac:dyDescent="0.3">
      <c r="L556" s="56"/>
    </row>
    <row r="557" spans="12:12" ht="15.6" x14ac:dyDescent="0.3">
      <c r="L557" s="56"/>
    </row>
    <row r="558" spans="12:12" ht="15.6" x14ac:dyDescent="0.3">
      <c r="L558" s="56"/>
    </row>
    <row r="559" spans="12:12" ht="15.6" x14ac:dyDescent="0.3">
      <c r="L559" s="56"/>
    </row>
    <row r="560" spans="12:12" ht="15.6" x14ac:dyDescent="0.3">
      <c r="L560" s="56"/>
    </row>
    <row r="561" spans="12:12" ht="15.6" x14ac:dyDescent="0.3">
      <c r="L561" s="56"/>
    </row>
    <row r="562" spans="12:12" ht="15.6" x14ac:dyDescent="0.3">
      <c r="L562" s="56"/>
    </row>
    <row r="563" spans="12:12" ht="15.6" x14ac:dyDescent="0.3">
      <c r="L563" s="56"/>
    </row>
    <row r="564" spans="12:12" ht="15.6" x14ac:dyDescent="0.3">
      <c r="L564" s="56"/>
    </row>
    <row r="565" spans="12:12" ht="15.6" x14ac:dyDescent="0.3">
      <c r="L565" s="56"/>
    </row>
    <row r="566" spans="12:12" ht="15.6" x14ac:dyDescent="0.3">
      <c r="L566" s="56"/>
    </row>
    <row r="567" spans="12:12" ht="15.6" x14ac:dyDescent="0.3">
      <c r="L567" s="56"/>
    </row>
    <row r="568" spans="12:12" ht="15.6" x14ac:dyDescent="0.3">
      <c r="L568" s="56"/>
    </row>
    <row r="569" spans="12:12" ht="15.6" x14ac:dyDescent="0.3">
      <c r="L569" s="56"/>
    </row>
    <row r="570" spans="12:12" ht="15.6" x14ac:dyDescent="0.3">
      <c r="L570" s="56"/>
    </row>
    <row r="571" spans="12:12" ht="15.6" x14ac:dyDescent="0.3">
      <c r="L571" s="56"/>
    </row>
    <row r="572" spans="12:12" ht="15.6" x14ac:dyDescent="0.3">
      <c r="L572" s="56"/>
    </row>
    <row r="573" spans="12:12" ht="15.6" x14ac:dyDescent="0.3">
      <c r="L573" s="56"/>
    </row>
    <row r="574" spans="12:12" ht="15.6" x14ac:dyDescent="0.3">
      <c r="L574" s="56"/>
    </row>
    <row r="575" spans="12:12" ht="15.6" x14ac:dyDescent="0.3">
      <c r="L575" s="56"/>
    </row>
    <row r="576" spans="12:12" ht="15.6" x14ac:dyDescent="0.3">
      <c r="L576" s="56"/>
    </row>
    <row r="577" spans="12:12" ht="15.6" x14ac:dyDescent="0.3">
      <c r="L577" s="56"/>
    </row>
    <row r="578" spans="12:12" ht="15.6" x14ac:dyDescent="0.3">
      <c r="L578" s="56"/>
    </row>
    <row r="579" spans="12:12" ht="15.6" x14ac:dyDescent="0.3">
      <c r="L579" s="56"/>
    </row>
    <row r="580" spans="12:12" ht="15.6" x14ac:dyDescent="0.3">
      <c r="L580" s="56"/>
    </row>
    <row r="581" spans="12:12" ht="15.6" x14ac:dyDescent="0.3">
      <c r="L581" s="56"/>
    </row>
    <row r="582" spans="12:12" ht="15.6" x14ac:dyDescent="0.3">
      <c r="L582" s="56"/>
    </row>
    <row r="583" spans="12:12" ht="15.6" x14ac:dyDescent="0.3">
      <c r="L583" s="56"/>
    </row>
    <row r="584" spans="12:12" ht="15.6" x14ac:dyDescent="0.3">
      <c r="L584" s="56"/>
    </row>
    <row r="585" spans="12:12" ht="15.6" x14ac:dyDescent="0.3">
      <c r="L585" s="56"/>
    </row>
    <row r="586" spans="12:12" ht="15.6" x14ac:dyDescent="0.3">
      <c r="L586" s="56"/>
    </row>
    <row r="587" spans="12:12" ht="15.6" x14ac:dyDescent="0.3">
      <c r="L587" s="56"/>
    </row>
    <row r="588" spans="12:12" ht="15.6" x14ac:dyDescent="0.3">
      <c r="L588" s="56"/>
    </row>
    <row r="589" spans="12:12" ht="15.6" x14ac:dyDescent="0.3">
      <c r="L589" s="56"/>
    </row>
    <row r="590" spans="12:12" ht="15.6" x14ac:dyDescent="0.3">
      <c r="L590" s="56"/>
    </row>
    <row r="591" spans="12:12" ht="15.6" x14ac:dyDescent="0.3">
      <c r="L591" s="56"/>
    </row>
    <row r="592" spans="12:12" ht="15.6" x14ac:dyDescent="0.3">
      <c r="L592" s="56"/>
    </row>
    <row r="593" spans="12:12" ht="15.6" x14ac:dyDescent="0.3">
      <c r="L593" s="56"/>
    </row>
    <row r="594" spans="12:12" ht="15.6" x14ac:dyDescent="0.3">
      <c r="L594" s="56"/>
    </row>
    <row r="595" spans="12:12" ht="15.6" x14ac:dyDescent="0.3">
      <c r="L595" s="56"/>
    </row>
    <row r="596" spans="12:12" ht="15.6" x14ac:dyDescent="0.3">
      <c r="L596" s="56"/>
    </row>
    <row r="597" spans="12:12" ht="15.6" x14ac:dyDescent="0.3">
      <c r="L597" s="56"/>
    </row>
    <row r="598" spans="12:12" ht="15.6" x14ac:dyDescent="0.3">
      <c r="L598" s="56"/>
    </row>
    <row r="599" spans="12:12" ht="15.6" x14ac:dyDescent="0.3">
      <c r="L599" s="56"/>
    </row>
    <row r="600" spans="12:12" ht="15.6" x14ac:dyDescent="0.3">
      <c r="L600" s="56"/>
    </row>
    <row r="601" spans="12:12" ht="15.6" x14ac:dyDescent="0.3">
      <c r="L601" s="56"/>
    </row>
    <row r="602" spans="12:12" ht="15.6" x14ac:dyDescent="0.3">
      <c r="L602" s="56"/>
    </row>
    <row r="603" spans="12:12" ht="15.6" x14ac:dyDescent="0.3">
      <c r="L603" s="56"/>
    </row>
    <row r="604" spans="12:12" ht="15.6" x14ac:dyDescent="0.3">
      <c r="L604" s="56"/>
    </row>
    <row r="605" spans="12:12" ht="15.6" x14ac:dyDescent="0.3">
      <c r="L605" s="56"/>
    </row>
    <row r="606" spans="12:12" ht="15.6" x14ac:dyDescent="0.3">
      <c r="L606" s="56"/>
    </row>
    <row r="607" spans="12:12" ht="15.6" x14ac:dyDescent="0.3">
      <c r="L607" s="56"/>
    </row>
    <row r="608" spans="12:12" ht="15.6" x14ac:dyDescent="0.3">
      <c r="L608" s="56"/>
    </row>
    <row r="609" spans="12:12" ht="15.6" x14ac:dyDescent="0.3">
      <c r="L609" s="56"/>
    </row>
    <row r="610" spans="12:12" ht="15.6" x14ac:dyDescent="0.3">
      <c r="L610" s="56"/>
    </row>
    <row r="611" spans="12:12" ht="15.6" x14ac:dyDescent="0.3">
      <c r="L611" s="56"/>
    </row>
    <row r="612" spans="12:12" ht="15.6" x14ac:dyDescent="0.3">
      <c r="L612" s="56"/>
    </row>
    <row r="613" spans="12:12" ht="15.6" x14ac:dyDescent="0.3">
      <c r="L613" s="56"/>
    </row>
    <row r="614" spans="12:12" ht="15.6" x14ac:dyDescent="0.3">
      <c r="L614" s="56"/>
    </row>
    <row r="615" spans="12:12" ht="15.6" x14ac:dyDescent="0.3">
      <c r="L615" s="56"/>
    </row>
    <row r="616" spans="12:12" ht="15.6" x14ac:dyDescent="0.3">
      <c r="L616" s="56"/>
    </row>
    <row r="617" spans="12:12" ht="15.6" x14ac:dyDescent="0.3">
      <c r="L617" s="56"/>
    </row>
    <row r="618" spans="12:12" ht="15.6" x14ac:dyDescent="0.3">
      <c r="L618" s="56"/>
    </row>
    <row r="619" spans="12:12" ht="15.6" x14ac:dyDescent="0.3">
      <c r="L619" s="56"/>
    </row>
    <row r="620" spans="12:12" ht="15.6" x14ac:dyDescent="0.3">
      <c r="L620" s="56"/>
    </row>
    <row r="621" spans="12:12" ht="15.6" x14ac:dyDescent="0.3">
      <c r="L621" s="56"/>
    </row>
    <row r="622" spans="12:12" ht="15.6" x14ac:dyDescent="0.3">
      <c r="L622" s="56"/>
    </row>
    <row r="623" spans="12:12" ht="15.6" x14ac:dyDescent="0.3">
      <c r="L623" s="56"/>
    </row>
    <row r="624" spans="12:12" ht="15.6" x14ac:dyDescent="0.3">
      <c r="L624" s="56"/>
    </row>
    <row r="625" spans="12:12" ht="15.6" x14ac:dyDescent="0.3">
      <c r="L625" s="56"/>
    </row>
    <row r="626" spans="12:12" ht="15.6" x14ac:dyDescent="0.3">
      <c r="L626" s="56"/>
    </row>
    <row r="627" spans="12:12" ht="15.6" x14ac:dyDescent="0.3">
      <c r="L627" s="56"/>
    </row>
    <row r="628" spans="12:12" ht="15.6" x14ac:dyDescent="0.3">
      <c r="L628" s="56"/>
    </row>
    <row r="629" spans="12:12" ht="15.6" x14ac:dyDescent="0.3">
      <c r="L629" s="56"/>
    </row>
    <row r="630" spans="12:12" ht="15.6" x14ac:dyDescent="0.3">
      <c r="L630" s="56"/>
    </row>
    <row r="631" spans="12:12" ht="15.6" x14ac:dyDescent="0.3">
      <c r="L631" s="56"/>
    </row>
    <row r="632" spans="12:12" ht="15.6" x14ac:dyDescent="0.3">
      <c r="L632" s="56"/>
    </row>
    <row r="633" spans="12:12" ht="15.6" x14ac:dyDescent="0.3">
      <c r="L633" s="56"/>
    </row>
    <row r="634" spans="12:12" ht="15.6" x14ac:dyDescent="0.3">
      <c r="L634" s="56"/>
    </row>
    <row r="635" spans="12:12" ht="15.6" x14ac:dyDescent="0.3">
      <c r="L635" s="56"/>
    </row>
    <row r="636" spans="12:12" ht="15.6" x14ac:dyDescent="0.3">
      <c r="L636" s="56"/>
    </row>
    <row r="637" spans="12:12" ht="15.6" x14ac:dyDescent="0.3">
      <c r="L637" s="56"/>
    </row>
    <row r="638" spans="12:12" ht="15.6" x14ac:dyDescent="0.3">
      <c r="L638" s="56"/>
    </row>
    <row r="639" spans="12:12" ht="15.6" x14ac:dyDescent="0.3">
      <c r="L639" s="56"/>
    </row>
    <row r="640" spans="12:12" ht="15.6" x14ac:dyDescent="0.3">
      <c r="L640" s="56"/>
    </row>
    <row r="641" spans="12:12" ht="15.6" x14ac:dyDescent="0.3">
      <c r="L641" s="56"/>
    </row>
    <row r="642" spans="12:12" ht="15.6" x14ac:dyDescent="0.3">
      <c r="L642" s="56"/>
    </row>
    <row r="643" spans="12:12" ht="15.6" x14ac:dyDescent="0.3">
      <c r="L643" s="56"/>
    </row>
    <row r="644" spans="12:12" ht="15.6" x14ac:dyDescent="0.3">
      <c r="L644" s="56"/>
    </row>
    <row r="645" spans="12:12" ht="15.6" x14ac:dyDescent="0.3">
      <c r="L645" s="56"/>
    </row>
    <row r="646" spans="12:12" ht="15.6" x14ac:dyDescent="0.3">
      <c r="L646" s="56"/>
    </row>
    <row r="647" spans="12:12" ht="15.6" x14ac:dyDescent="0.3">
      <c r="L647" s="56"/>
    </row>
    <row r="648" spans="12:12" ht="15.6" x14ac:dyDescent="0.3">
      <c r="L648" s="56"/>
    </row>
    <row r="649" spans="12:12" ht="15.6" x14ac:dyDescent="0.3">
      <c r="L649" s="56"/>
    </row>
    <row r="650" spans="12:12" ht="15.6" x14ac:dyDescent="0.3">
      <c r="L650" s="56"/>
    </row>
    <row r="651" spans="12:12" ht="15.6" x14ac:dyDescent="0.3">
      <c r="L651" s="56"/>
    </row>
    <row r="652" spans="12:12" ht="15.6" x14ac:dyDescent="0.3">
      <c r="L652" s="56"/>
    </row>
    <row r="653" spans="12:12" ht="15.6" x14ac:dyDescent="0.3">
      <c r="L653" s="56"/>
    </row>
    <row r="654" spans="12:12" ht="15.6" x14ac:dyDescent="0.3">
      <c r="L654" s="56"/>
    </row>
    <row r="655" spans="12:12" ht="15.6" x14ac:dyDescent="0.3">
      <c r="L655" s="56"/>
    </row>
    <row r="656" spans="12:12" ht="15.6" x14ac:dyDescent="0.3">
      <c r="L656" s="56"/>
    </row>
    <row r="657" spans="12:12" ht="15.6" x14ac:dyDescent="0.3">
      <c r="L657" s="56"/>
    </row>
    <row r="658" spans="12:12" ht="15.6" x14ac:dyDescent="0.3">
      <c r="L658" s="56"/>
    </row>
    <row r="659" spans="12:12" ht="15.6" x14ac:dyDescent="0.3">
      <c r="L659" s="56"/>
    </row>
    <row r="660" spans="12:12" ht="15.6" x14ac:dyDescent="0.3">
      <c r="L660" s="56"/>
    </row>
    <row r="661" spans="12:12" ht="15.6" x14ac:dyDescent="0.3">
      <c r="L661" s="56"/>
    </row>
    <row r="662" spans="12:12" ht="15.6" x14ac:dyDescent="0.3">
      <c r="L662" s="56"/>
    </row>
    <row r="663" spans="12:12" ht="15.6" x14ac:dyDescent="0.3">
      <c r="L663" s="56"/>
    </row>
    <row r="664" spans="12:12" ht="15.6" x14ac:dyDescent="0.3">
      <c r="L664" s="56"/>
    </row>
    <row r="665" spans="12:12" ht="15.6" x14ac:dyDescent="0.3">
      <c r="L665" s="56"/>
    </row>
    <row r="666" spans="12:12" ht="15.6" x14ac:dyDescent="0.3">
      <c r="L666" s="56"/>
    </row>
    <row r="667" spans="12:12" ht="15.6" x14ac:dyDescent="0.3">
      <c r="L667" s="56"/>
    </row>
    <row r="668" spans="12:12" ht="15.6" x14ac:dyDescent="0.3">
      <c r="L668" s="56"/>
    </row>
    <row r="669" spans="12:12" ht="15.6" x14ac:dyDescent="0.3">
      <c r="L669" s="56"/>
    </row>
    <row r="670" spans="12:12" ht="15.6" x14ac:dyDescent="0.3">
      <c r="L670" s="56"/>
    </row>
    <row r="671" spans="12:12" ht="15.6" x14ac:dyDescent="0.3">
      <c r="L671" s="56"/>
    </row>
    <row r="672" spans="12:12" ht="15.6" x14ac:dyDescent="0.3">
      <c r="L672" s="56"/>
    </row>
    <row r="673" spans="12:12" ht="15.6" x14ac:dyDescent="0.3">
      <c r="L673" s="56"/>
    </row>
    <row r="674" spans="12:12" ht="15.6" x14ac:dyDescent="0.3">
      <c r="L674" s="56"/>
    </row>
    <row r="675" spans="12:12" ht="15.6" x14ac:dyDescent="0.3">
      <c r="L675" s="56"/>
    </row>
    <row r="676" spans="12:12" ht="15.6" x14ac:dyDescent="0.3">
      <c r="L676" s="56"/>
    </row>
    <row r="677" spans="12:12" ht="15.6" x14ac:dyDescent="0.3">
      <c r="L677" s="56"/>
    </row>
    <row r="678" spans="12:12" ht="15.6" x14ac:dyDescent="0.3">
      <c r="L678" s="56"/>
    </row>
    <row r="679" spans="12:12" ht="15.6" x14ac:dyDescent="0.3">
      <c r="L679" s="56"/>
    </row>
    <row r="680" spans="12:12" ht="15.6" x14ac:dyDescent="0.3">
      <c r="L680" s="56"/>
    </row>
    <row r="681" spans="12:12" ht="15.6" x14ac:dyDescent="0.3">
      <c r="L681" s="56"/>
    </row>
    <row r="682" spans="12:12" ht="15.6" x14ac:dyDescent="0.3">
      <c r="L682" s="56"/>
    </row>
    <row r="683" spans="12:12" ht="15.6" x14ac:dyDescent="0.3">
      <c r="L683" s="56"/>
    </row>
    <row r="684" spans="12:12" ht="15.6" x14ac:dyDescent="0.3">
      <c r="L684" s="56"/>
    </row>
    <row r="685" spans="12:12" ht="15.6" x14ac:dyDescent="0.3">
      <c r="L685" s="56"/>
    </row>
    <row r="686" spans="12:12" ht="15.6" x14ac:dyDescent="0.3">
      <c r="L686" s="56"/>
    </row>
    <row r="687" spans="12:12" ht="15.6" x14ac:dyDescent="0.3">
      <c r="L687" s="56"/>
    </row>
    <row r="688" spans="12:12" ht="15.6" x14ac:dyDescent="0.3">
      <c r="L688" s="56"/>
    </row>
    <row r="689" spans="12:12" ht="15.6" x14ac:dyDescent="0.3">
      <c r="L689" s="56"/>
    </row>
    <row r="690" spans="12:12" ht="15.6" x14ac:dyDescent="0.3">
      <c r="L690" s="56"/>
    </row>
    <row r="691" spans="12:12" ht="15.6" x14ac:dyDescent="0.3">
      <c r="L691" s="56"/>
    </row>
    <row r="692" spans="12:12" ht="15.6" x14ac:dyDescent="0.3">
      <c r="L692" s="56"/>
    </row>
    <row r="693" spans="12:12" ht="15.6" x14ac:dyDescent="0.3">
      <c r="L693" s="56"/>
    </row>
    <row r="694" spans="12:12" ht="15.6" x14ac:dyDescent="0.3">
      <c r="L694" s="56"/>
    </row>
    <row r="695" spans="12:12" ht="15.6" x14ac:dyDescent="0.3">
      <c r="L695" s="56"/>
    </row>
    <row r="696" spans="12:12" ht="15.6" x14ac:dyDescent="0.3">
      <c r="L696" s="56"/>
    </row>
    <row r="697" spans="12:12" ht="15.6" x14ac:dyDescent="0.3">
      <c r="L697" s="56"/>
    </row>
    <row r="698" spans="12:12" ht="15.6" x14ac:dyDescent="0.3">
      <c r="L698" s="56"/>
    </row>
    <row r="699" spans="12:12" ht="15.6" x14ac:dyDescent="0.3">
      <c r="L699" s="56"/>
    </row>
    <row r="700" spans="12:12" ht="15.6" x14ac:dyDescent="0.3">
      <c r="L700" s="56"/>
    </row>
    <row r="701" spans="12:12" ht="15.6" x14ac:dyDescent="0.3">
      <c r="L701" s="56"/>
    </row>
    <row r="702" spans="12:12" ht="15.6" x14ac:dyDescent="0.3">
      <c r="L702" s="56"/>
    </row>
    <row r="703" spans="12:12" ht="15.6" x14ac:dyDescent="0.3">
      <c r="L703" s="56"/>
    </row>
    <row r="704" spans="12:12" ht="15.6" x14ac:dyDescent="0.3">
      <c r="L704" s="56"/>
    </row>
    <row r="705" spans="12:12" ht="15.6" x14ac:dyDescent="0.3">
      <c r="L705" s="56"/>
    </row>
    <row r="706" spans="12:12" ht="15.6" x14ac:dyDescent="0.3">
      <c r="L706" s="56"/>
    </row>
    <row r="707" spans="12:12" ht="15.6" x14ac:dyDescent="0.3">
      <c r="L707" s="56"/>
    </row>
    <row r="708" spans="12:12" ht="15.6" x14ac:dyDescent="0.3">
      <c r="L708" s="56"/>
    </row>
    <row r="709" spans="12:12" ht="15.6" x14ac:dyDescent="0.3">
      <c r="L709" s="56"/>
    </row>
    <row r="710" spans="12:12" ht="15.6" x14ac:dyDescent="0.3">
      <c r="L710" s="56"/>
    </row>
    <row r="711" spans="12:12" ht="15.6" x14ac:dyDescent="0.3">
      <c r="L711" s="56"/>
    </row>
    <row r="712" spans="12:12" ht="15.6" x14ac:dyDescent="0.3">
      <c r="L712" s="56"/>
    </row>
    <row r="713" spans="12:12" ht="15.6" x14ac:dyDescent="0.3">
      <c r="L713" s="56"/>
    </row>
    <row r="714" spans="12:12" ht="15.6" x14ac:dyDescent="0.3">
      <c r="L714" s="56"/>
    </row>
    <row r="715" spans="12:12" ht="15.6" x14ac:dyDescent="0.3">
      <c r="L715" s="56"/>
    </row>
    <row r="716" spans="12:12" ht="15.6" x14ac:dyDescent="0.3">
      <c r="L716" s="56"/>
    </row>
    <row r="717" spans="12:12" ht="15.6" x14ac:dyDescent="0.3">
      <c r="L717" s="56"/>
    </row>
    <row r="718" spans="12:12" ht="15.6" x14ac:dyDescent="0.3">
      <c r="L718" s="56"/>
    </row>
    <row r="719" spans="12:12" ht="15.6" x14ac:dyDescent="0.3">
      <c r="L719" s="56"/>
    </row>
    <row r="720" spans="12:12" ht="15.6" x14ac:dyDescent="0.3">
      <c r="L720" s="56"/>
    </row>
    <row r="721" spans="12:12" ht="15.6" x14ac:dyDescent="0.3">
      <c r="L721" s="56"/>
    </row>
    <row r="722" spans="12:12" ht="15.6" x14ac:dyDescent="0.3">
      <c r="L722" s="56"/>
    </row>
    <row r="723" spans="12:12" ht="15.6" x14ac:dyDescent="0.3">
      <c r="L723" s="56"/>
    </row>
    <row r="724" spans="12:12" ht="15.6" x14ac:dyDescent="0.3">
      <c r="L724" s="56"/>
    </row>
    <row r="725" spans="12:12" ht="15.6" x14ac:dyDescent="0.3">
      <c r="L725" s="56"/>
    </row>
    <row r="726" spans="12:12" ht="15.6" x14ac:dyDescent="0.3">
      <c r="L726" s="56"/>
    </row>
    <row r="727" spans="12:12" ht="15.6" x14ac:dyDescent="0.3">
      <c r="L727" s="56"/>
    </row>
    <row r="728" spans="12:12" ht="15.6" x14ac:dyDescent="0.3">
      <c r="L728" s="56"/>
    </row>
    <row r="729" spans="12:12" ht="15.6" x14ac:dyDescent="0.3">
      <c r="L729" s="56"/>
    </row>
    <row r="730" spans="12:12" ht="15.6" x14ac:dyDescent="0.3">
      <c r="L730" s="56"/>
    </row>
    <row r="731" spans="12:12" ht="15.6" x14ac:dyDescent="0.3">
      <c r="L731" s="56"/>
    </row>
    <row r="732" spans="12:12" ht="15.6" x14ac:dyDescent="0.3">
      <c r="L732" s="56"/>
    </row>
    <row r="733" spans="12:12" ht="15.6" x14ac:dyDescent="0.3">
      <c r="L733" s="56"/>
    </row>
    <row r="734" spans="12:12" ht="15.6" x14ac:dyDescent="0.3">
      <c r="L734" s="56"/>
    </row>
    <row r="735" spans="12:12" ht="15.6" x14ac:dyDescent="0.3">
      <c r="L735" s="56"/>
    </row>
    <row r="736" spans="12:12" ht="15.6" x14ac:dyDescent="0.3">
      <c r="L736" s="56"/>
    </row>
    <row r="737" spans="12:12" ht="15.6" x14ac:dyDescent="0.3">
      <c r="L737" s="56"/>
    </row>
    <row r="738" spans="12:12" ht="15.6" x14ac:dyDescent="0.3">
      <c r="L738" s="56"/>
    </row>
    <row r="739" spans="12:12" ht="15.6" x14ac:dyDescent="0.3">
      <c r="L739" s="56"/>
    </row>
    <row r="740" spans="12:12" ht="15.6" x14ac:dyDescent="0.3">
      <c r="L740" s="56"/>
    </row>
    <row r="741" spans="12:12" ht="15.6" x14ac:dyDescent="0.3">
      <c r="L741" s="56"/>
    </row>
    <row r="742" spans="12:12" ht="15.6" x14ac:dyDescent="0.3">
      <c r="L742" s="56"/>
    </row>
    <row r="743" spans="12:12" ht="15.6" x14ac:dyDescent="0.3">
      <c r="L743" s="56"/>
    </row>
    <row r="744" spans="12:12" ht="15.6" x14ac:dyDescent="0.3">
      <c r="L744" s="56"/>
    </row>
    <row r="745" spans="12:12" ht="15.6" x14ac:dyDescent="0.3">
      <c r="L745" s="56"/>
    </row>
    <row r="746" spans="12:12" ht="15.6" x14ac:dyDescent="0.3">
      <c r="L746" s="56"/>
    </row>
    <row r="747" spans="12:12" ht="15.6" x14ac:dyDescent="0.3">
      <c r="L747" s="56"/>
    </row>
    <row r="748" spans="12:12" ht="15.6" x14ac:dyDescent="0.3">
      <c r="L748" s="56"/>
    </row>
    <row r="749" spans="12:12" ht="15.6" x14ac:dyDescent="0.3">
      <c r="L749" s="56"/>
    </row>
    <row r="750" spans="12:12" ht="15.6" x14ac:dyDescent="0.3">
      <c r="L750" s="56"/>
    </row>
    <row r="751" spans="12:12" ht="15.6" x14ac:dyDescent="0.3">
      <c r="L751" s="56"/>
    </row>
    <row r="752" spans="12:12" ht="15.6" x14ac:dyDescent="0.3">
      <c r="L752" s="56"/>
    </row>
    <row r="753" spans="12:12" ht="15.6" x14ac:dyDescent="0.3">
      <c r="L753" s="56"/>
    </row>
    <row r="754" spans="12:12" ht="15.6" x14ac:dyDescent="0.3">
      <c r="L754" s="56"/>
    </row>
    <row r="755" spans="12:12" ht="15.6" x14ac:dyDescent="0.3">
      <c r="L755" s="56"/>
    </row>
    <row r="756" spans="12:12" ht="15.6" x14ac:dyDescent="0.3">
      <c r="L756" s="56"/>
    </row>
    <row r="757" spans="12:12" ht="15.6" x14ac:dyDescent="0.3">
      <c r="L757" s="56"/>
    </row>
    <row r="758" spans="12:12" ht="15.6" x14ac:dyDescent="0.3">
      <c r="L758" s="56"/>
    </row>
    <row r="759" spans="12:12" ht="15.6" x14ac:dyDescent="0.3">
      <c r="L759" s="56"/>
    </row>
    <row r="760" spans="12:12" ht="15.6" x14ac:dyDescent="0.3">
      <c r="L760" s="56"/>
    </row>
    <row r="761" spans="12:12" ht="15.6" x14ac:dyDescent="0.3">
      <c r="L761" s="56"/>
    </row>
    <row r="762" spans="12:12" ht="15.6" x14ac:dyDescent="0.3">
      <c r="L762" s="56"/>
    </row>
    <row r="763" spans="12:12" ht="15.6" x14ac:dyDescent="0.3">
      <c r="L763" s="56"/>
    </row>
    <row r="764" spans="12:12" ht="15.6" x14ac:dyDescent="0.3">
      <c r="L764" s="56"/>
    </row>
    <row r="765" spans="12:12" ht="15.6" x14ac:dyDescent="0.3">
      <c r="L765" s="56"/>
    </row>
    <row r="766" spans="12:12" ht="15.6" x14ac:dyDescent="0.3">
      <c r="L766" s="56"/>
    </row>
    <row r="767" spans="12:12" ht="15.6" x14ac:dyDescent="0.3">
      <c r="L767" s="56"/>
    </row>
    <row r="768" spans="12:12" ht="15.6" x14ac:dyDescent="0.3">
      <c r="L768" s="56"/>
    </row>
    <row r="769" spans="12:12" ht="15.6" x14ac:dyDescent="0.3">
      <c r="L769" s="56"/>
    </row>
    <row r="770" spans="12:12" ht="15.6" x14ac:dyDescent="0.3">
      <c r="L770" s="56"/>
    </row>
    <row r="771" spans="12:12" ht="15.6" x14ac:dyDescent="0.3">
      <c r="L771" s="56"/>
    </row>
    <row r="772" spans="12:12" ht="15.6" x14ac:dyDescent="0.3">
      <c r="L772" s="56"/>
    </row>
    <row r="773" spans="12:12" ht="15.6" x14ac:dyDescent="0.3">
      <c r="L773" s="56"/>
    </row>
    <row r="774" spans="12:12" ht="15.6" x14ac:dyDescent="0.3">
      <c r="L774" s="56"/>
    </row>
    <row r="775" spans="12:12" ht="15.6" x14ac:dyDescent="0.3">
      <c r="L775" s="56"/>
    </row>
    <row r="776" spans="12:12" ht="15.6" x14ac:dyDescent="0.3">
      <c r="L776" s="56"/>
    </row>
    <row r="777" spans="12:12" ht="15.6" x14ac:dyDescent="0.3">
      <c r="L777" s="56"/>
    </row>
    <row r="778" spans="12:12" ht="15.6" x14ac:dyDescent="0.3">
      <c r="L778" s="56"/>
    </row>
    <row r="779" spans="12:12" ht="15.6" x14ac:dyDescent="0.3">
      <c r="L779" s="56"/>
    </row>
    <row r="780" spans="12:12" ht="15.6" x14ac:dyDescent="0.3">
      <c r="L780" s="56"/>
    </row>
    <row r="781" spans="12:12" ht="15.6" x14ac:dyDescent="0.3">
      <c r="L781" s="56"/>
    </row>
    <row r="782" spans="12:12" ht="15.6" x14ac:dyDescent="0.3">
      <c r="L782" s="56"/>
    </row>
    <row r="783" spans="12:12" ht="15.6" x14ac:dyDescent="0.3">
      <c r="L783" s="56"/>
    </row>
    <row r="784" spans="12:12" ht="15.6" x14ac:dyDescent="0.3">
      <c r="L784" s="56"/>
    </row>
    <row r="785" spans="12:12" ht="15.6" x14ac:dyDescent="0.3">
      <c r="L785" s="56"/>
    </row>
    <row r="786" spans="12:12" ht="15.6" x14ac:dyDescent="0.3">
      <c r="L786" s="56"/>
    </row>
    <row r="787" spans="12:12" ht="15.6" x14ac:dyDescent="0.3">
      <c r="L787" s="56"/>
    </row>
    <row r="788" spans="12:12" ht="15.6" x14ac:dyDescent="0.3">
      <c r="L788" s="56"/>
    </row>
    <row r="789" spans="12:12" ht="15.6" x14ac:dyDescent="0.3">
      <c r="L789" s="56"/>
    </row>
    <row r="790" spans="12:12" ht="15.6" x14ac:dyDescent="0.3">
      <c r="L790" s="56"/>
    </row>
    <row r="791" spans="12:12" ht="15.6" x14ac:dyDescent="0.3">
      <c r="L791" s="56"/>
    </row>
    <row r="792" spans="12:12" ht="15.6" x14ac:dyDescent="0.3">
      <c r="L792" s="56"/>
    </row>
    <row r="793" spans="12:12" ht="15.6" x14ac:dyDescent="0.3">
      <c r="L793" s="56"/>
    </row>
    <row r="794" spans="12:12" ht="15.6" x14ac:dyDescent="0.3">
      <c r="L794" s="56"/>
    </row>
    <row r="795" spans="12:12" ht="15.6" x14ac:dyDescent="0.3">
      <c r="L795" s="56"/>
    </row>
    <row r="796" spans="12:12" ht="15.6" x14ac:dyDescent="0.3">
      <c r="L796" s="56"/>
    </row>
    <row r="797" spans="12:12" ht="15.6" x14ac:dyDescent="0.3">
      <c r="L797" s="56"/>
    </row>
    <row r="798" spans="12:12" ht="15.6" x14ac:dyDescent="0.3">
      <c r="L798" s="56"/>
    </row>
    <row r="799" spans="12:12" ht="15.6" x14ac:dyDescent="0.3">
      <c r="L799" s="56"/>
    </row>
    <row r="800" spans="12:12" ht="15.6" x14ac:dyDescent="0.3">
      <c r="L800" s="56"/>
    </row>
    <row r="801" spans="12:12" ht="15.6" x14ac:dyDescent="0.3">
      <c r="L801" s="56"/>
    </row>
    <row r="802" spans="12:12" ht="15.6" x14ac:dyDescent="0.3">
      <c r="L802" s="56"/>
    </row>
    <row r="803" spans="12:12" ht="15.6" x14ac:dyDescent="0.3">
      <c r="L803" s="56"/>
    </row>
    <row r="804" spans="12:12" ht="15.6" x14ac:dyDescent="0.3">
      <c r="L804" s="56"/>
    </row>
    <row r="805" spans="12:12" ht="15.6" x14ac:dyDescent="0.3">
      <c r="L805" s="56"/>
    </row>
    <row r="806" spans="12:12" ht="15.6" x14ac:dyDescent="0.3">
      <c r="L806" s="56"/>
    </row>
    <row r="807" spans="12:12" ht="15.6" x14ac:dyDescent="0.3">
      <c r="L807" s="56"/>
    </row>
    <row r="808" spans="12:12" ht="15.6" x14ac:dyDescent="0.3">
      <c r="L808" s="56"/>
    </row>
    <row r="809" spans="12:12" ht="15.6" x14ac:dyDescent="0.3">
      <c r="L809" s="56"/>
    </row>
    <row r="810" spans="12:12" ht="15.6" x14ac:dyDescent="0.3">
      <c r="L810" s="56"/>
    </row>
    <row r="811" spans="12:12" ht="15.6" x14ac:dyDescent="0.3">
      <c r="L811" s="56"/>
    </row>
    <row r="812" spans="12:12" ht="15.6" x14ac:dyDescent="0.3">
      <c r="L812" s="56"/>
    </row>
    <row r="813" spans="12:12" ht="15.6" x14ac:dyDescent="0.3">
      <c r="L813" s="56"/>
    </row>
    <row r="814" spans="12:12" ht="15.6" x14ac:dyDescent="0.3">
      <c r="L814" s="56"/>
    </row>
    <row r="815" spans="12:12" ht="15.6" x14ac:dyDescent="0.3">
      <c r="L815" s="56"/>
    </row>
    <row r="816" spans="12:12" ht="15.6" x14ac:dyDescent="0.3">
      <c r="L816" s="56"/>
    </row>
    <row r="817" spans="12:12" ht="15.6" x14ac:dyDescent="0.3">
      <c r="L817" s="56"/>
    </row>
    <row r="818" spans="12:12" ht="15.6" x14ac:dyDescent="0.3">
      <c r="L818" s="56"/>
    </row>
    <row r="819" spans="12:12" ht="15.6" x14ac:dyDescent="0.3">
      <c r="L819" s="56"/>
    </row>
    <row r="820" spans="12:12" ht="15.6" x14ac:dyDescent="0.3">
      <c r="L820" s="56"/>
    </row>
    <row r="821" spans="12:12" ht="15.6" x14ac:dyDescent="0.3">
      <c r="L821" s="56"/>
    </row>
    <row r="822" spans="12:12" ht="15.6" x14ac:dyDescent="0.3">
      <c r="L822" s="56"/>
    </row>
    <row r="823" spans="12:12" ht="15.6" x14ac:dyDescent="0.3">
      <c r="L823" s="56"/>
    </row>
    <row r="824" spans="12:12" ht="15.6" x14ac:dyDescent="0.3">
      <c r="L824" s="56"/>
    </row>
    <row r="825" spans="12:12" ht="15.6" x14ac:dyDescent="0.3">
      <c r="L825" s="56"/>
    </row>
    <row r="826" spans="12:12" ht="15.6" x14ac:dyDescent="0.3">
      <c r="L826" s="56"/>
    </row>
    <row r="827" spans="12:12" ht="15.6" x14ac:dyDescent="0.3">
      <c r="L827" s="56"/>
    </row>
    <row r="828" spans="12:12" ht="15.6" x14ac:dyDescent="0.3">
      <c r="L828" s="56"/>
    </row>
    <row r="829" spans="12:12" ht="15.6" x14ac:dyDescent="0.3">
      <c r="L829" s="56"/>
    </row>
    <row r="830" spans="12:12" ht="15.6" x14ac:dyDescent="0.3">
      <c r="L830" s="56"/>
    </row>
    <row r="831" spans="12:12" ht="15.6" x14ac:dyDescent="0.3">
      <c r="L831" s="56"/>
    </row>
    <row r="832" spans="12:12" ht="15.6" x14ac:dyDescent="0.3">
      <c r="L832" s="56"/>
    </row>
    <row r="833" spans="12:12" ht="15.6" x14ac:dyDescent="0.3">
      <c r="L833" s="56"/>
    </row>
    <row r="834" spans="12:12" ht="15.6" x14ac:dyDescent="0.3">
      <c r="L834" s="56"/>
    </row>
    <row r="835" spans="12:12" ht="15.6" x14ac:dyDescent="0.3">
      <c r="L835" s="56"/>
    </row>
    <row r="836" spans="12:12" ht="15.6" x14ac:dyDescent="0.3">
      <c r="L836" s="56"/>
    </row>
    <row r="837" spans="12:12" ht="15.6" x14ac:dyDescent="0.3">
      <c r="L837" s="56"/>
    </row>
    <row r="838" spans="12:12" ht="15.6" x14ac:dyDescent="0.3">
      <c r="L838" s="56"/>
    </row>
    <row r="839" spans="12:12" ht="15.6" x14ac:dyDescent="0.3">
      <c r="L839" s="56"/>
    </row>
    <row r="840" spans="12:12" ht="15.6" x14ac:dyDescent="0.3">
      <c r="L840" s="56"/>
    </row>
    <row r="841" spans="12:12" ht="15.6" x14ac:dyDescent="0.3">
      <c r="L841" s="56"/>
    </row>
    <row r="842" spans="12:12" ht="15.6" x14ac:dyDescent="0.3">
      <c r="L842" s="56"/>
    </row>
    <row r="843" spans="12:12" ht="15.6" x14ac:dyDescent="0.3">
      <c r="L843" s="56"/>
    </row>
    <row r="844" spans="12:12" ht="15.6" x14ac:dyDescent="0.3">
      <c r="L844" s="56"/>
    </row>
    <row r="845" spans="12:12" ht="15.6" x14ac:dyDescent="0.3">
      <c r="L845" s="56"/>
    </row>
    <row r="846" spans="12:12" ht="15.6" x14ac:dyDescent="0.3">
      <c r="L846" s="56"/>
    </row>
    <row r="847" spans="12:12" ht="15.6" x14ac:dyDescent="0.3">
      <c r="L847" s="56"/>
    </row>
    <row r="848" spans="12:12" ht="15.6" x14ac:dyDescent="0.3">
      <c r="L848" s="56"/>
    </row>
    <row r="849" spans="12:12" ht="15.6" x14ac:dyDescent="0.3">
      <c r="L849" s="56"/>
    </row>
    <row r="850" spans="12:12" ht="15.6" x14ac:dyDescent="0.3">
      <c r="L850" s="56"/>
    </row>
    <row r="851" spans="12:12" ht="15.6" x14ac:dyDescent="0.3">
      <c r="L851" s="56"/>
    </row>
    <row r="852" spans="12:12" ht="15.6" x14ac:dyDescent="0.3">
      <c r="L852" s="56"/>
    </row>
    <row r="853" spans="12:12" ht="15.6" x14ac:dyDescent="0.3">
      <c r="L853" s="56"/>
    </row>
    <row r="854" spans="12:12" ht="15.6" x14ac:dyDescent="0.3">
      <c r="L854" s="56"/>
    </row>
    <row r="855" spans="12:12" ht="15.6" x14ac:dyDescent="0.3">
      <c r="L855" s="56"/>
    </row>
    <row r="856" spans="12:12" ht="15.6" x14ac:dyDescent="0.3">
      <c r="L856" s="56"/>
    </row>
    <row r="857" spans="12:12" ht="15.6" x14ac:dyDescent="0.3">
      <c r="L857" s="56"/>
    </row>
    <row r="858" spans="12:12" ht="15.6" x14ac:dyDescent="0.3">
      <c r="L858" s="56"/>
    </row>
    <row r="859" spans="12:12" ht="15.6" x14ac:dyDescent="0.3">
      <c r="L859" s="56"/>
    </row>
    <row r="860" spans="12:12" ht="15.6" x14ac:dyDescent="0.3">
      <c r="L860" s="56"/>
    </row>
    <row r="861" spans="12:12" ht="15.6" x14ac:dyDescent="0.3">
      <c r="L861" s="56"/>
    </row>
    <row r="862" spans="12:12" ht="15.6" x14ac:dyDescent="0.3">
      <c r="L862" s="56"/>
    </row>
    <row r="863" spans="12:12" ht="15.6" x14ac:dyDescent="0.3">
      <c r="L863" s="56"/>
    </row>
    <row r="864" spans="12:12" ht="15.6" x14ac:dyDescent="0.3">
      <c r="L864" s="56"/>
    </row>
    <row r="865" spans="12:12" ht="15.6" x14ac:dyDescent="0.3">
      <c r="L865" s="56"/>
    </row>
    <row r="866" spans="12:12" ht="15.6" x14ac:dyDescent="0.3">
      <c r="L866" s="56"/>
    </row>
    <row r="867" spans="12:12" ht="15.6" x14ac:dyDescent="0.3">
      <c r="L867" s="56"/>
    </row>
    <row r="868" spans="12:12" ht="15.6" x14ac:dyDescent="0.3">
      <c r="L868" s="56"/>
    </row>
    <row r="869" spans="12:12" ht="15.6" x14ac:dyDescent="0.3">
      <c r="L869" s="56"/>
    </row>
    <row r="870" spans="12:12" ht="15.6" x14ac:dyDescent="0.3">
      <c r="L870" s="56"/>
    </row>
    <row r="871" spans="12:12" ht="15.6" x14ac:dyDescent="0.3">
      <c r="L871" s="56"/>
    </row>
    <row r="872" spans="12:12" ht="15.6" x14ac:dyDescent="0.3">
      <c r="L872" s="56"/>
    </row>
    <row r="873" spans="12:12" ht="15.6" x14ac:dyDescent="0.3">
      <c r="L873" s="56"/>
    </row>
    <row r="874" spans="12:12" ht="15.6" x14ac:dyDescent="0.3">
      <c r="L874" s="56"/>
    </row>
    <row r="875" spans="12:12" ht="15.6" x14ac:dyDescent="0.3">
      <c r="L875" s="56"/>
    </row>
    <row r="876" spans="12:12" ht="15.6" x14ac:dyDescent="0.3">
      <c r="L876" s="56"/>
    </row>
    <row r="877" spans="12:12" ht="15.6" x14ac:dyDescent="0.3">
      <c r="L877" s="56"/>
    </row>
    <row r="878" spans="12:12" ht="15.6" x14ac:dyDescent="0.3">
      <c r="L878" s="56"/>
    </row>
    <row r="879" spans="12:12" ht="15.6" x14ac:dyDescent="0.3">
      <c r="L879" s="56"/>
    </row>
    <row r="880" spans="12:12" ht="15.6" x14ac:dyDescent="0.3">
      <c r="L880" s="56"/>
    </row>
    <row r="881" spans="12:12" ht="15.6" x14ac:dyDescent="0.3">
      <c r="L881" s="56"/>
    </row>
    <row r="882" spans="12:12" ht="15.6" x14ac:dyDescent="0.3">
      <c r="L882" s="56"/>
    </row>
    <row r="883" spans="12:12" ht="15.6" x14ac:dyDescent="0.3">
      <c r="L883" s="56"/>
    </row>
    <row r="884" spans="12:12" ht="15.6" x14ac:dyDescent="0.3">
      <c r="L884" s="56"/>
    </row>
    <row r="885" spans="12:12" ht="15.6" x14ac:dyDescent="0.3">
      <c r="L885" s="56"/>
    </row>
    <row r="886" spans="12:12" ht="15.6" x14ac:dyDescent="0.3">
      <c r="L886" s="56"/>
    </row>
    <row r="887" spans="12:12" ht="15.6" x14ac:dyDescent="0.3">
      <c r="L887" s="56"/>
    </row>
    <row r="888" spans="12:12" ht="15.6" x14ac:dyDescent="0.3">
      <c r="L888" s="56"/>
    </row>
    <row r="889" spans="12:12" ht="15.6" x14ac:dyDescent="0.3">
      <c r="L889" s="56"/>
    </row>
    <row r="890" spans="12:12" ht="15.6" x14ac:dyDescent="0.3">
      <c r="L890" s="56"/>
    </row>
    <row r="891" spans="12:12" ht="15.6" x14ac:dyDescent="0.3">
      <c r="L891" s="56"/>
    </row>
    <row r="892" spans="12:12" ht="15.6" x14ac:dyDescent="0.3">
      <c r="L892" s="56"/>
    </row>
    <row r="893" spans="12:12" ht="15.6" x14ac:dyDescent="0.3">
      <c r="L893" s="56"/>
    </row>
    <row r="894" spans="12:12" ht="15.6" x14ac:dyDescent="0.3">
      <c r="L894" s="56"/>
    </row>
    <row r="895" spans="12:12" ht="15.6" x14ac:dyDescent="0.3">
      <c r="L895" s="56"/>
    </row>
    <row r="896" spans="12:12" ht="15.6" x14ac:dyDescent="0.3">
      <c r="L896" s="56"/>
    </row>
    <row r="897" spans="12:12" ht="15.6" x14ac:dyDescent="0.3">
      <c r="L897" s="56"/>
    </row>
    <row r="898" spans="12:12" ht="15.6" x14ac:dyDescent="0.3">
      <c r="L898" s="56"/>
    </row>
    <row r="899" spans="12:12" ht="15.6" x14ac:dyDescent="0.3">
      <c r="L899" s="56"/>
    </row>
    <row r="900" spans="12:12" ht="15.6" x14ac:dyDescent="0.3">
      <c r="L900" s="56"/>
    </row>
    <row r="901" spans="12:12" ht="15.6" x14ac:dyDescent="0.3">
      <c r="L901" s="56"/>
    </row>
    <row r="902" spans="12:12" ht="15.6" x14ac:dyDescent="0.3">
      <c r="L902" s="56"/>
    </row>
    <row r="903" spans="12:12" ht="15.6" x14ac:dyDescent="0.3">
      <c r="L903" s="56"/>
    </row>
    <row r="904" spans="12:12" ht="15.6" x14ac:dyDescent="0.3">
      <c r="L904" s="56"/>
    </row>
    <row r="905" spans="12:12" ht="15.6" x14ac:dyDescent="0.3">
      <c r="L905" s="56"/>
    </row>
    <row r="906" spans="12:12" ht="15.6" x14ac:dyDescent="0.3">
      <c r="L906" s="56"/>
    </row>
    <row r="907" spans="12:12" ht="15.6" x14ac:dyDescent="0.3">
      <c r="L907" s="56"/>
    </row>
    <row r="908" spans="12:12" ht="15.6" x14ac:dyDescent="0.3">
      <c r="L908" s="56"/>
    </row>
    <row r="909" spans="12:12" ht="15.6" x14ac:dyDescent="0.3">
      <c r="L909" s="56"/>
    </row>
    <row r="910" spans="12:12" ht="15.6" x14ac:dyDescent="0.3">
      <c r="L910" s="56"/>
    </row>
    <row r="911" spans="12:12" ht="15.6" x14ac:dyDescent="0.3">
      <c r="L911" s="56"/>
    </row>
    <row r="912" spans="12:12" ht="15.6" x14ac:dyDescent="0.3">
      <c r="L912" s="56"/>
    </row>
    <row r="913" spans="12:12" ht="15.6" x14ac:dyDescent="0.3">
      <c r="L913" s="56"/>
    </row>
    <row r="914" spans="12:12" ht="15.6" x14ac:dyDescent="0.3">
      <c r="L914" s="56"/>
    </row>
    <row r="915" spans="12:12" ht="15.6" x14ac:dyDescent="0.3">
      <c r="L915" s="56"/>
    </row>
    <row r="916" spans="12:12" ht="15.6" x14ac:dyDescent="0.3">
      <c r="L916" s="56"/>
    </row>
    <row r="917" spans="12:12" ht="15.6" x14ac:dyDescent="0.3">
      <c r="L917" s="56"/>
    </row>
    <row r="918" spans="12:12" ht="15.6" x14ac:dyDescent="0.3">
      <c r="L918" s="56"/>
    </row>
    <row r="919" spans="12:12" ht="15.6" x14ac:dyDescent="0.3">
      <c r="L919" s="56"/>
    </row>
    <row r="920" spans="12:12" ht="15.6" x14ac:dyDescent="0.3">
      <c r="L920" s="56"/>
    </row>
    <row r="921" spans="12:12" ht="15.6" x14ac:dyDescent="0.3">
      <c r="L921" s="56"/>
    </row>
    <row r="922" spans="12:12" ht="15.6" x14ac:dyDescent="0.3">
      <c r="L922" s="56"/>
    </row>
    <row r="923" spans="12:12" ht="15.6" x14ac:dyDescent="0.3">
      <c r="L923" s="56"/>
    </row>
    <row r="924" spans="12:12" ht="15.6" x14ac:dyDescent="0.3">
      <c r="L924" s="56"/>
    </row>
    <row r="925" spans="12:12" ht="15.6" x14ac:dyDescent="0.3">
      <c r="L925" s="56"/>
    </row>
    <row r="926" spans="12:12" ht="15.6" x14ac:dyDescent="0.3">
      <c r="L926" s="56"/>
    </row>
    <row r="927" spans="12:12" ht="15.6" x14ac:dyDescent="0.3">
      <c r="L927" s="56"/>
    </row>
    <row r="928" spans="12:12" ht="15.6" x14ac:dyDescent="0.3">
      <c r="L928" s="56"/>
    </row>
    <row r="929" spans="12:12" ht="15.6" x14ac:dyDescent="0.3">
      <c r="L929" s="56"/>
    </row>
    <row r="930" spans="12:12" ht="15.6" x14ac:dyDescent="0.3">
      <c r="L930" s="56"/>
    </row>
    <row r="931" spans="12:12" ht="15.6" x14ac:dyDescent="0.3">
      <c r="L931" s="56"/>
    </row>
    <row r="932" spans="12:12" ht="15.6" x14ac:dyDescent="0.3">
      <c r="L932" s="56"/>
    </row>
    <row r="933" spans="12:12" ht="15.6" x14ac:dyDescent="0.3">
      <c r="L933" s="56"/>
    </row>
    <row r="934" spans="12:12" ht="15.6" x14ac:dyDescent="0.3">
      <c r="L934" s="56"/>
    </row>
    <row r="935" spans="12:12" ht="15.6" x14ac:dyDescent="0.3">
      <c r="L935" s="56"/>
    </row>
    <row r="936" spans="12:12" ht="15.6" x14ac:dyDescent="0.3">
      <c r="L936" s="56"/>
    </row>
    <row r="937" spans="12:12" ht="15.6" x14ac:dyDescent="0.3">
      <c r="L937" s="56"/>
    </row>
    <row r="938" spans="12:12" ht="15.6" x14ac:dyDescent="0.3">
      <c r="L938" s="56"/>
    </row>
    <row r="939" spans="12:12" ht="15.6" x14ac:dyDescent="0.3">
      <c r="L939" s="56"/>
    </row>
    <row r="940" spans="12:12" ht="15.6" x14ac:dyDescent="0.3">
      <c r="L940" s="56"/>
    </row>
    <row r="941" spans="12:12" ht="15.6" x14ac:dyDescent="0.3">
      <c r="L941" s="56"/>
    </row>
    <row r="942" spans="12:12" ht="15.6" x14ac:dyDescent="0.3">
      <c r="L942" s="56"/>
    </row>
    <row r="943" spans="12:12" ht="15.6" x14ac:dyDescent="0.3">
      <c r="L943" s="56"/>
    </row>
    <row r="944" spans="12:12" ht="15.6" x14ac:dyDescent="0.3">
      <c r="L944" s="56"/>
    </row>
    <row r="945" spans="12:12" ht="15.6" x14ac:dyDescent="0.3">
      <c r="L945" s="56"/>
    </row>
    <row r="946" spans="12:12" ht="15.6" x14ac:dyDescent="0.3">
      <c r="L946" s="56"/>
    </row>
    <row r="947" spans="12:12" ht="15.6" x14ac:dyDescent="0.3">
      <c r="L947" s="56"/>
    </row>
    <row r="948" spans="12:12" ht="15.6" x14ac:dyDescent="0.3">
      <c r="L948" s="56"/>
    </row>
    <row r="949" spans="12:12" ht="15.6" x14ac:dyDescent="0.3">
      <c r="L949" s="56"/>
    </row>
    <row r="950" spans="12:12" ht="15.6" x14ac:dyDescent="0.3">
      <c r="L950" s="56"/>
    </row>
    <row r="951" spans="12:12" ht="15.6" x14ac:dyDescent="0.3">
      <c r="L951" s="56"/>
    </row>
    <row r="952" spans="12:12" ht="15.6" x14ac:dyDescent="0.3">
      <c r="L952" s="56"/>
    </row>
    <row r="953" spans="12:12" ht="15.6" x14ac:dyDescent="0.3">
      <c r="L953" s="56"/>
    </row>
    <row r="954" spans="12:12" ht="15.6" x14ac:dyDescent="0.3">
      <c r="L954" s="56"/>
    </row>
    <row r="955" spans="12:12" ht="15.6" x14ac:dyDescent="0.3">
      <c r="L955" s="56"/>
    </row>
    <row r="956" spans="12:12" ht="15.6" x14ac:dyDescent="0.3">
      <c r="L956" s="56"/>
    </row>
    <row r="957" spans="12:12" ht="15.6" x14ac:dyDescent="0.3">
      <c r="L957" s="56"/>
    </row>
    <row r="958" spans="12:12" ht="15.6" x14ac:dyDescent="0.3">
      <c r="L958" s="56"/>
    </row>
    <row r="959" spans="12:12" ht="15.6" x14ac:dyDescent="0.3">
      <c r="L959" s="56"/>
    </row>
    <row r="960" spans="12:12" ht="15.6" x14ac:dyDescent="0.3">
      <c r="L960" s="56"/>
    </row>
    <row r="961" spans="12:12" ht="15.6" x14ac:dyDescent="0.3">
      <c r="L961" s="56"/>
    </row>
    <row r="962" spans="12:12" ht="15.6" x14ac:dyDescent="0.3">
      <c r="L962" s="56"/>
    </row>
    <row r="963" spans="12:12" ht="15.6" x14ac:dyDescent="0.3">
      <c r="L963" s="56"/>
    </row>
    <row r="964" spans="12:12" ht="15.6" x14ac:dyDescent="0.3">
      <c r="L964" s="56"/>
    </row>
    <row r="965" spans="12:12" ht="15.6" x14ac:dyDescent="0.3">
      <c r="L965" s="56"/>
    </row>
    <row r="966" spans="12:12" ht="15.6" x14ac:dyDescent="0.3">
      <c r="L966" s="56"/>
    </row>
    <row r="967" spans="12:12" ht="15.6" x14ac:dyDescent="0.3">
      <c r="L967" s="56"/>
    </row>
    <row r="968" spans="12:12" ht="15.6" x14ac:dyDescent="0.3">
      <c r="L968" s="56"/>
    </row>
    <row r="969" spans="12:12" ht="15.6" x14ac:dyDescent="0.3">
      <c r="L969" s="56"/>
    </row>
    <row r="970" spans="12:12" ht="15.6" x14ac:dyDescent="0.3">
      <c r="L970" s="56"/>
    </row>
    <row r="971" spans="12:12" ht="15.6" x14ac:dyDescent="0.3">
      <c r="L971" s="56"/>
    </row>
    <row r="972" spans="12:12" ht="15.6" x14ac:dyDescent="0.3">
      <c r="L972" s="56"/>
    </row>
    <row r="973" spans="12:12" ht="15.6" x14ac:dyDescent="0.3">
      <c r="L973" s="56"/>
    </row>
    <row r="974" spans="12:12" ht="15.6" x14ac:dyDescent="0.3">
      <c r="L974" s="56"/>
    </row>
    <row r="975" spans="12:12" ht="15.6" x14ac:dyDescent="0.3">
      <c r="L975" s="56"/>
    </row>
    <row r="976" spans="12:12" ht="15.6" x14ac:dyDescent="0.3">
      <c r="L976" s="56"/>
    </row>
    <row r="977" spans="12:12" ht="15.6" x14ac:dyDescent="0.3">
      <c r="L977" s="56"/>
    </row>
    <row r="978" spans="12:12" ht="15.6" x14ac:dyDescent="0.3">
      <c r="L978" s="56"/>
    </row>
    <row r="979" spans="12:12" ht="15.6" x14ac:dyDescent="0.3">
      <c r="L979" s="56"/>
    </row>
    <row r="980" spans="12:12" ht="15.6" x14ac:dyDescent="0.3">
      <c r="L980" s="56"/>
    </row>
    <row r="981" spans="12:12" ht="15.6" x14ac:dyDescent="0.3">
      <c r="L981" s="56"/>
    </row>
    <row r="982" spans="12:12" ht="15.6" x14ac:dyDescent="0.3">
      <c r="L982" s="56"/>
    </row>
    <row r="983" spans="12:12" ht="15.6" x14ac:dyDescent="0.3">
      <c r="L983" s="56"/>
    </row>
    <row r="984" spans="12:12" ht="15.6" x14ac:dyDescent="0.3">
      <c r="L984" s="56"/>
    </row>
    <row r="985" spans="12:12" ht="15.6" x14ac:dyDescent="0.3">
      <c r="L985" s="56"/>
    </row>
    <row r="986" spans="12:12" ht="15.6" x14ac:dyDescent="0.3">
      <c r="L986" s="56"/>
    </row>
    <row r="987" spans="12:12" ht="15.6" x14ac:dyDescent="0.3">
      <c r="L987" s="56"/>
    </row>
    <row r="988" spans="12:12" ht="15.6" x14ac:dyDescent="0.3">
      <c r="L988" s="56"/>
    </row>
    <row r="989" spans="12:12" ht="15.6" x14ac:dyDescent="0.3">
      <c r="L989" s="56"/>
    </row>
    <row r="990" spans="12:12" ht="15.6" x14ac:dyDescent="0.3">
      <c r="L990" s="56"/>
    </row>
    <row r="991" spans="12:12" ht="15.6" x14ac:dyDescent="0.3">
      <c r="L991" s="56"/>
    </row>
    <row r="992" spans="12:12" ht="15.6" x14ac:dyDescent="0.3">
      <c r="L992" s="56"/>
    </row>
    <row r="993" spans="12:12" ht="15.6" x14ac:dyDescent="0.3">
      <c r="L993" s="56"/>
    </row>
    <row r="994" spans="12:12" ht="15.6" x14ac:dyDescent="0.3">
      <c r="L994" s="56"/>
    </row>
    <row r="995" spans="12:12" ht="15.6" x14ac:dyDescent="0.3">
      <c r="L995" s="56"/>
    </row>
    <row r="996" spans="12:12" ht="15.6" x14ac:dyDescent="0.3">
      <c r="L996" s="56"/>
    </row>
    <row r="997" spans="12:12" ht="15.6" x14ac:dyDescent="0.3">
      <c r="L997" s="56"/>
    </row>
    <row r="998" spans="12:12" ht="15.6" x14ac:dyDescent="0.3">
      <c r="L998" s="56"/>
    </row>
    <row r="999" spans="12:12" ht="15.6" x14ac:dyDescent="0.3">
      <c r="L999" s="56"/>
    </row>
    <row r="1000" spans="12:12" ht="15.6" x14ac:dyDescent="0.3">
      <c r="L1000" s="56"/>
    </row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DF3C5-F1F1-43B0-8202-0B2C048D8971}">
  <dimension ref="A1:O41"/>
  <sheetViews>
    <sheetView zoomScale="119" workbookViewId="0">
      <selection activeCell="B10" sqref="B10"/>
    </sheetView>
  </sheetViews>
  <sheetFormatPr defaultRowHeight="15.6" x14ac:dyDescent="0.3"/>
  <cols>
    <col min="1" max="1" width="16.09765625" bestFit="1" customWidth="1"/>
    <col min="2" max="2" width="10.09765625" customWidth="1"/>
    <col min="5" max="5" width="18.796875" bestFit="1" customWidth="1"/>
    <col min="15" max="15" width="10.09765625" bestFit="1" customWidth="1"/>
  </cols>
  <sheetData>
    <row r="1" spans="1:15" x14ac:dyDescent="0.3">
      <c r="A1" t="s">
        <v>42</v>
      </c>
      <c r="B1" s="2" t="s">
        <v>290</v>
      </c>
      <c r="E1" s="2" t="s">
        <v>291</v>
      </c>
    </row>
    <row r="2" spans="1:15" x14ac:dyDescent="0.3">
      <c r="A2" t="s">
        <v>267</v>
      </c>
      <c r="B2" s="98">
        <v>0.66830000000000001</v>
      </c>
    </row>
    <row r="3" spans="1:15" x14ac:dyDescent="0.3">
      <c r="A3" t="s">
        <v>268</v>
      </c>
      <c r="B3" s="98">
        <v>5.2812999999999999</v>
      </c>
      <c r="E3" s="172"/>
      <c r="F3" s="173"/>
    </row>
    <row r="4" spans="1:15" x14ac:dyDescent="0.3">
      <c r="A4" t="s">
        <v>269</v>
      </c>
      <c r="B4" s="98">
        <v>1.3753</v>
      </c>
      <c r="E4" s="172"/>
      <c r="F4" s="173"/>
    </row>
    <row r="5" spans="1:15" x14ac:dyDescent="0.3">
      <c r="A5" t="s">
        <v>270</v>
      </c>
      <c r="B5" s="98">
        <v>6.8869999999999996</v>
      </c>
      <c r="E5" s="172"/>
      <c r="F5" s="173"/>
    </row>
    <row r="6" spans="1:15" x14ac:dyDescent="0.3">
      <c r="A6" t="s">
        <v>271</v>
      </c>
      <c r="B6" s="98">
        <v>6.9924999999999997</v>
      </c>
      <c r="E6" s="172"/>
      <c r="F6" s="173"/>
    </row>
    <row r="7" spans="1:15" x14ac:dyDescent="0.3">
      <c r="A7" t="s">
        <v>272</v>
      </c>
      <c r="B7" s="98">
        <v>1.0647</v>
      </c>
      <c r="E7" s="172"/>
      <c r="F7" s="173"/>
    </row>
    <row r="8" spans="1:15" x14ac:dyDescent="0.3">
      <c r="A8" t="s">
        <v>273</v>
      </c>
      <c r="B8" s="98">
        <v>7.8493000000000004</v>
      </c>
    </row>
    <row r="9" spans="1:15" x14ac:dyDescent="0.3">
      <c r="A9" t="s">
        <v>274</v>
      </c>
      <c r="B9" s="98">
        <v>82.56</v>
      </c>
    </row>
    <row r="10" spans="1:15" x14ac:dyDescent="0.3">
      <c r="A10" t="s">
        <v>275</v>
      </c>
      <c r="B10" s="98">
        <v>132.01</v>
      </c>
    </row>
    <row r="11" spans="1:15" x14ac:dyDescent="0.3">
      <c r="A11" t="s">
        <v>276</v>
      </c>
      <c r="B11" s="98">
        <v>4.484</v>
      </c>
    </row>
    <row r="12" spans="1:15" x14ac:dyDescent="0.3">
      <c r="A12" t="s">
        <v>277</v>
      </c>
      <c r="B12" s="98">
        <v>18.98</v>
      </c>
    </row>
    <row r="13" spans="1:15" x14ac:dyDescent="0.3">
      <c r="A13" t="s">
        <v>278</v>
      </c>
      <c r="B13" s="98">
        <v>0.62490000000000001</v>
      </c>
      <c r="C13" s="173"/>
      <c r="D13" s="173"/>
      <c r="E13" s="173"/>
      <c r="F13" s="173"/>
      <c r="G13" s="173"/>
      <c r="H13" s="173"/>
      <c r="I13" s="173"/>
      <c r="J13" s="173"/>
      <c r="K13" s="173"/>
      <c r="L13" s="173"/>
      <c r="M13" s="173"/>
      <c r="N13" s="173"/>
      <c r="O13" s="173"/>
    </row>
    <row r="14" spans="1:15" x14ac:dyDescent="0.3">
      <c r="A14" t="s">
        <v>279</v>
      </c>
      <c r="B14" s="98">
        <v>10.7036</v>
      </c>
      <c r="C14" s="174"/>
      <c r="D14" s="174"/>
      <c r="E14" s="174"/>
      <c r="F14" s="174"/>
      <c r="G14" s="174"/>
      <c r="H14" s="174"/>
      <c r="I14" s="174"/>
      <c r="J14" s="174"/>
      <c r="K14" s="174"/>
      <c r="L14" s="174"/>
      <c r="M14" s="174"/>
      <c r="N14" s="174"/>
      <c r="O14" s="174"/>
    </row>
    <row r="15" spans="1:15" x14ac:dyDescent="0.3">
      <c r="A15" t="s">
        <v>280</v>
      </c>
      <c r="B15" s="98">
        <v>1.3422000000000001</v>
      </c>
      <c r="C15" s="174"/>
      <c r="D15" s="174"/>
      <c r="E15" s="174"/>
      <c r="F15" s="174"/>
      <c r="G15" s="174"/>
      <c r="H15" s="174"/>
      <c r="I15" s="174"/>
      <c r="J15" s="174"/>
      <c r="K15" s="174"/>
      <c r="L15" s="174"/>
      <c r="M15" s="174"/>
      <c r="N15" s="174"/>
      <c r="O15" s="174"/>
    </row>
    <row r="16" spans="1:15" x14ac:dyDescent="0.3">
      <c r="A16" t="s">
        <v>281</v>
      </c>
      <c r="B16" s="98">
        <v>18.43</v>
      </c>
    </row>
    <row r="17" spans="1:15" x14ac:dyDescent="0.3">
      <c r="A17" t="s">
        <v>282</v>
      </c>
      <c r="B17" s="98">
        <v>1303.75</v>
      </c>
    </row>
    <row r="18" spans="1:15" x14ac:dyDescent="0.3">
      <c r="A18" t="s">
        <v>283</v>
      </c>
      <c r="B18" s="98">
        <v>336</v>
      </c>
    </row>
    <row r="19" spans="1:15" x14ac:dyDescent="0.3">
      <c r="A19" t="s">
        <v>284</v>
      </c>
      <c r="B19" s="98">
        <v>10.496600000000001</v>
      </c>
    </row>
    <row r="20" spans="1:15" x14ac:dyDescent="0.3">
      <c r="A20" t="s">
        <v>285</v>
      </c>
      <c r="B20" s="98">
        <v>0.9284</v>
      </c>
    </row>
    <row r="21" spans="1:15" x14ac:dyDescent="0.3">
      <c r="A21" t="s">
        <v>286</v>
      </c>
      <c r="B21" s="98">
        <v>30.54</v>
      </c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</row>
    <row r="22" spans="1:15" x14ac:dyDescent="0.3">
      <c r="A22" t="s">
        <v>287</v>
      </c>
      <c r="B22" s="98">
        <v>34.07</v>
      </c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2"/>
      <c r="O22" s="174"/>
    </row>
    <row r="23" spans="1:15" x14ac:dyDescent="0.3">
      <c r="A23" t="s">
        <v>288</v>
      </c>
      <c r="B23" s="98">
        <v>1.2141</v>
      </c>
      <c r="C23" s="172"/>
      <c r="D23" s="172"/>
      <c r="E23" s="172"/>
      <c r="F23" s="172"/>
      <c r="G23" s="172"/>
      <c r="H23" s="172"/>
      <c r="I23" s="172"/>
      <c r="J23" s="172"/>
      <c r="K23" s="172"/>
      <c r="L23" s="172"/>
      <c r="M23" s="172"/>
      <c r="N23" s="172"/>
      <c r="O23" s="172"/>
    </row>
    <row r="24" spans="1:15" x14ac:dyDescent="0.3">
      <c r="A24" t="s">
        <v>289</v>
      </c>
      <c r="B24" s="98">
        <v>24.0655</v>
      </c>
    </row>
    <row r="25" spans="1:15" x14ac:dyDescent="0.3">
      <c r="A25" s="2" t="s">
        <v>292</v>
      </c>
      <c r="B25" s="98">
        <v>1</v>
      </c>
    </row>
    <row r="29" spans="1:15" x14ac:dyDescent="0.3"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  <c r="N29" s="102"/>
      <c r="O29" s="173"/>
    </row>
    <row r="30" spans="1:15" x14ac:dyDescent="0.3">
      <c r="C30" s="174"/>
      <c r="D30" s="174"/>
      <c r="E30" s="174"/>
      <c r="F30" s="174"/>
      <c r="G30" s="174"/>
      <c r="H30" s="174"/>
      <c r="I30" s="174"/>
      <c r="J30" s="174"/>
      <c r="K30" s="174"/>
      <c r="L30" s="174"/>
      <c r="M30" s="174"/>
      <c r="N30" s="174"/>
      <c r="O30" s="174"/>
    </row>
    <row r="31" spans="1:15" x14ac:dyDescent="0.3">
      <c r="C31" s="174"/>
      <c r="D31" s="174"/>
      <c r="E31" s="174"/>
      <c r="F31" s="174"/>
      <c r="G31" s="174"/>
      <c r="H31" s="174"/>
      <c r="I31" s="174"/>
      <c r="J31" s="174"/>
      <c r="K31" s="174"/>
      <c r="L31" s="174"/>
      <c r="M31" s="174"/>
      <c r="N31" s="174"/>
      <c r="O31" s="174"/>
    </row>
    <row r="33" spans="2:15" x14ac:dyDescent="0.3">
      <c r="B33" s="98"/>
    </row>
    <row r="37" spans="2:15" x14ac:dyDescent="0.3">
      <c r="C37" s="173"/>
      <c r="D37" s="173"/>
      <c r="E37" s="173"/>
      <c r="F37" s="173"/>
      <c r="G37" s="173"/>
      <c r="H37" s="173"/>
      <c r="I37" s="173"/>
      <c r="J37" s="173"/>
      <c r="K37" s="173"/>
      <c r="L37" s="173"/>
      <c r="M37" s="173"/>
      <c r="N37" s="173"/>
      <c r="O37" s="173"/>
    </row>
    <row r="38" spans="2:15" x14ac:dyDescent="0.3">
      <c r="C38" s="172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2"/>
      <c r="O38" s="174"/>
    </row>
    <row r="39" spans="2:15" x14ac:dyDescent="0.3">
      <c r="C39" s="172"/>
      <c r="D39" s="172"/>
      <c r="E39" s="172"/>
      <c r="F39" s="172"/>
      <c r="G39" s="172"/>
      <c r="H39" s="172"/>
      <c r="I39" s="172"/>
      <c r="J39" s="172"/>
      <c r="K39" s="172"/>
      <c r="L39" s="172"/>
      <c r="M39" s="172"/>
      <c r="N39" s="172"/>
      <c r="O39" s="172"/>
    </row>
    <row r="41" spans="2:15" x14ac:dyDescent="0.3">
      <c r="B41" s="98"/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09BF4-816A-47B9-982E-6CF899336104}">
  <dimension ref="A1:C30"/>
  <sheetViews>
    <sheetView topLeftCell="A12" workbookViewId="0">
      <selection activeCell="B2" sqref="A1:C30"/>
    </sheetView>
  </sheetViews>
  <sheetFormatPr defaultRowHeight="15.6" x14ac:dyDescent="0.3"/>
  <cols>
    <col min="1" max="1" width="15" customWidth="1"/>
    <col min="2" max="2" width="3.796875" bestFit="1" customWidth="1"/>
    <col min="3" max="3" width="22.5" customWidth="1"/>
  </cols>
  <sheetData>
    <row r="1" spans="1:3" x14ac:dyDescent="0.3">
      <c r="A1" s="206" t="s">
        <v>46</v>
      </c>
      <c r="B1" s="206" t="s">
        <v>158</v>
      </c>
      <c r="C1" s="206" t="s">
        <v>41</v>
      </c>
    </row>
    <row r="2" spans="1:3" x14ac:dyDescent="0.3">
      <c r="A2" s="205" t="s">
        <v>3</v>
      </c>
      <c r="B2" s="2">
        <v>1</v>
      </c>
      <c r="C2" t="s">
        <v>81</v>
      </c>
    </row>
    <row r="3" spans="1:3" x14ac:dyDescent="0.3">
      <c r="A3" s="205"/>
      <c r="B3" s="2">
        <v>2</v>
      </c>
      <c r="C3" t="s">
        <v>140</v>
      </c>
    </row>
    <row r="4" spans="1:3" x14ac:dyDescent="0.3">
      <c r="A4" s="205"/>
      <c r="B4" s="2">
        <v>3</v>
      </c>
      <c r="C4" t="s">
        <v>86</v>
      </c>
    </row>
    <row r="5" spans="1:3" x14ac:dyDescent="0.3">
      <c r="A5" s="205"/>
      <c r="B5" s="2">
        <v>4</v>
      </c>
      <c r="C5" t="s">
        <v>119</v>
      </c>
    </row>
    <row r="6" spans="1:3" x14ac:dyDescent="0.3">
      <c r="A6" s="205"/>
      <c r="B6" s="2">
        <v>5</v>
      </c>
      <c r="C6" t="s">
        <v>85</v>
      </c>
    </row>
    <row r="7" spans="1:3" x14ac:dyDescent="0.3">
      <c r="A7" s="205"/>
      <c r="B7" s="2">
        <v>6</v>
      </c>
      <c r="C7" t="s">
        <v>89</v>
      </c>
    </row>
    <row r="8" spans="1:3" x14ac:dyDescent="0.3">
      <c r="A8" s="205"/>
      <c r="B8" s="2">
        <v>7</v>
      </c>
      <c r="C8" t="s">
        <v>141</v>
      </c>
    </row>
    <row r="9" spans="1:3" x14ac:dyDescent="0.3">
      <c r="A9" s="205"/>
      <c r="B9" s="2">
        <v>8</v>
      </c>
      <c r="C9" t="s">
        <v>121</v>
      </c>
    </row>
    <row r="10" spans="1:3" x14ac:dyDescent="0.3">
      <c r="A10" s="205"/>
      <c r="B10" s="2">
        <v>9</v>
      </c>
      <c r="C10" t="s">
        <v>113</v>
      </c>
    </row>
    <row r="11" spans="1:3" x14ac:dyDescent="0.3">
      <c r="A11" s="205"/>
      <c r="B11" s="2">
        <v>10</v>
      </c>
      <c r="C11" t="s">
        <v>139</v>
      </c>
    </row>
    <row r="12" spans="1:3" x14ac:dyDescent="0.3">
      <c r="A12" s="205"/>
      <c r="B12" s="2">
        <v>11</v>
      </c>
      <c r="C12" t="s">
        <v>142</v>
      </c>
    </row>
    <row r="13" spans="1:3" x14ac:dyDescent="0.3">
      <c r="A13" s="205"/>
      <c r="B13" s="2">
        <v>12</v>
      </c>
      <c r="C13" t="s">
        <v>138</v>
      </c>
    </row>
    <row r="14" spans="1:3" x14ac:dyDescent="0.3">
      <c r="A14" s="205"/>
      <c r="B14" s="2">
        <v>13</v>
      </c>
      <c r="C14" t="s">
        <v>91</v>
      </c>
    </row>
    <row r="15" spans="1:3" x14ac:dyDescent="0.3">
      <c r="A15" s="205"/>
      <c r="B15" s="2">
        <v>14</v>
      </c>
      <c r="C15" t="s">
        <v>83</v>
      </c>
    </row>
    <row r="16" spans="1:3" x14ac:dyDescent="0.3">
      <c r="A16" s="205"/>
      <c r="B16" s="2">
        <v>15</v>
      </c>
      <c r="C16" t="s">
        <v>87</v>
      </c>
    </row>
    <row r="17" spans="1:3" x14ac:dyDescent="0.3">
      <c r="A17" s="205"/>
      <c r="B17" s="2">
        <v>16</v>
      </c>
      <c r="C17" t="s">
        <v>115</v>
      </c>
    </row>
    <row r="18" spans="1:3" x14ac:dyDescent="0.3">
      <c r="A18" s="205"/>
      <c r="B18" s="2">
        <v>17</v>
      </c>
      <c r="C18" t="s">
        <v>123</v>
      </c>
    </row>
    <row r="19" spans="1:3" x14ac:dyDescent="0.3">
      <c r="A19" s="205"/>
      <c r="B19" s="2">
        <v>18</v>
      </c>
      <c r="C19" t="s">
        <v>120</v>
      </c>
    </row>
    <row r="20" spans="1:3" x14ac:dyDescent="0.3">
      <c r="A20" s="205"/>
      <c r="B20" s="2">
        <v>19</v>
      </c>
      <c r="C20" t="s">
        <v>92</v>
      </c>
    </row>
    <row r="21" spans="1:3" x14ac:dyDescent="0.3">
      <c r="A21" s="205"/>
      <c r="B21" s="2">
        <v>20</v>
      </c>
      <c r="C21" t="s">
        <v>84</v>
      </c>
    </row>
    <row r="22" spans="1:3" x14ac:dyDescent="0.3">
      <c r="A22" s="205"/>
      <c r="B22" s="2">
        <v>21</v>
      </c>
      <c r="C22" t="s">
        <v>144</v>
      </c>
    </row>
    <row r="23" spans="1:3" x14ac:dyDescent="0.3">
      <c r="A23" s="205"/>
      <c r="B23" s="2">
        <v>22</v>
      </c>
      <c r="C23" t="s">
        <v>146</v>
      </c>
    </row>
    <row r="24" spans="1:3" x14ac:dyDescent="0.3">
      <c r="A24" s="205"/>
      <c r="B24" s="2">
        <v>23</v>
      </c>
      <c r="C24" t="s">
        <v>90</v>
      </c>
    </row>
    <row r="25" spans="1:3" x14ac:dyDescent="0.3">
      <c r="A25" s="205"/>
      <c r="B25" s="2">
        <v>24</v>
      </c>
      <c r="C25" t="s">
        <v>143</v>
      </c>
    </row>
    <row r="26" spans="1:3" x14ac:dyDescent="0.3">
      <c r="A26" s="205"/>
      <c r="B26" s="2">
        <v>25</v>
      </c>
      <c r="C26" t="s">
        <v>116</v>
      </c>
    </row>
    <row r="27" spans="1:3" x14ac:dyDescent="0.3">
      <c r="A27" s="205"/>
      <c r="B27" s="2">
        <v>26</v>
      </c>
      <c r="C27" t="s">
        <v>82</v>
      </c>
    </row>
    <row r="28" spans="1:3" x14ac:dyDescent="0.3">
      <c r="A28" s="205"/>
      <c r="B28" s="2">
        <v>27</v>
      </c>
      <c r="C28" t="s">
        <v>118</v>
      </c>
    </row>
    <row r="29" spans="1:3" x14ac:dyDescent="0.3">
      <c r="A29" s="205"/>
      <c r="B29" s="2">
        <v>28</v>
      </c>
      <c r="C29" t="s">
        <v>145</v>
      </c>
    </row>
    <row r="30" spans="1:3" x14ac:dyDescent="0.3">
      <c r="A30" s="207"/>
      <c r="B30" s="2">
        <v>29</v>
      </c>
      <c r="C30" t="s">
        <v>122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7A9ED-2C2D-4F12-93B0-1F6A3AE8318F}">
  <dimension ref="A1:XFD43"/>
  <sheetViews>
    <sheetView zoomScale="38" zoomScaleNormal="66" workbookViewId="0">
      <selection activeCell="X70" sqref="X70"/>
    </sheetView>
  </sheetViews>
  <sheetFormatPr defaultColWidth="9.8984375" defaultRowHeight="15.6" x14ac:dyDescent="0.3"/>
  <cols>
    <col min="1" max="1" width="22.8984375" customWidth="1"/>
    <col min="3" max="3" width="13.3984375" customWidth="1"/>
    <col min="10" max="13" width="12.59765625" customWidth="1"/>
  </cols>
  <sheetData>
    <row r="1" spans="1:1024 1026:2048 2050:3072 3074:4096 4098:5120 5122:6144 6146:7168 7170:8192 8194:9216 9218:10240 10242:11264 11266:12288 12290:13312 13314:14336 14338:15360 15362:16384" ht="17.399999999999999" x14ac:dyDescent="0.3">
      <c r="A1" s="16" t="s">
        <v>31</v>
      </c>
    </row>
    <row r="3" spans="1:1024 1026:2048 2050:3072 3074:4096 4098:5120 5122:6144 6146:7168 7170:8192 8194:9216 9218:10240 10242:11264 11266:12288 12290:13312 13314:14336 14338:15360 15362:16384" x14ac:dyDescent="0.3">
      <c r="B3" s="52" t="s">
        <v>229</v>
      </c>
      <c r="C3" s="19" t="s">
        <v>228</v>
      </c>
      <c r="D3" s="19" t="s">
        <v>17</v>
      </c>
      <c r="E3" s="19" t="s">
        <v>18</v>
      </c>
      <c r="F3" s="19" t="s">
        <v>19</v>
      </c>
      <c r="G3" s="19" t="s">
        <v>20</v>
      </c>
      <c r="H3" s="19" t="s">
        <v>21</v>
      </c>
      <c r="I3" s="19" t="s">
        <v>22</v>
      </c>
      <c r="J3" s="19" t="s">
        <v>6</v>
      </c>
      <c r="K3" s="19" t="s">
        <v>23</v>
      </c>
      <c r="L3" s="19" t="s">
        <v>24</v>
      </c>
      <c r="M3" s="19" t="s">
        <v>25</v>
      </c>
    </row>
    <row r="4" spans="1:1024 1026:2048 2050:3072 3074:4096 4098:5120 5122:6144 6146:7168 7170:8192 8194:9216 9218:10240 10242:11264 11266:12288 12290:13312 13314:14336 14338:15360 15362:16384" x14ac:dyDescent="0.3">
      <c r="A4" s="192" t="s">
        <v>295</v>
      </c>
      <c r="B4" s="193">
        <v>0.7</v>
      </c>
      <c r="C4" s="193">
        <v>0.7</v>
      </c>
      <c r="D4" s="193">
        <v>0.7</v>
      </c>
      <c r="E4" s="193">
        <v>0.7</v>
      </c>
      <c r="F4" s="193">
        <v>0.7</v>
      </c>
      <c r="G4" s="193">
        <v>0.7</v>
      </c>
      <c r="H4" s="193">
        <v>0.7</v>
      </c>
      <c r="I4" s="193">
        <v>0.7</v>
      </c>
      <c r="J4" s="193">
        <v>0.7</v>
      </c>
      <c r="K4" s="193">
        <v>0.7</v>
      </c>
      <c r="L4" s="193">
        <v>0.7</v>
      </c>
      <c r="M4" s="193">
        <v>0.7</v>
      </c>
    </row>
    <row r="5" spans="1:1024 1026:2048 2050:3072 3074:4096 4098:5120 5122:6144 6146:7168 7170:8192 8194:9216 9218:10240 10242:11264 11266:12288 12290:13312 13314:14336 14338:15360 15362:16384" x14ac:dyDescent="0.3">
      <c r="A5" s="192" t="s">
        <v>296</v>
      </c>
      <c r="B5" s="193">
        <v>0.8</v>
      </c>
      <c r="C5" s="193">
        <v>0.8</v>
      </c>
      <c r="D5" s="193">
        <v>0.8</v>
      </c>
      <c r="E5" s="193">
        <v>0.8</v>
      </c>
      <c r="F5" s="193">
        <v>0.8</v>
      </c>
      <c r="G5" s="193">
        <v>0.8</v>
      </c>
      <c r="H5" s="193">
        <v>0.8</v>
      </c>
      <c r="I5" s="193">
        <v>0.8</v>
      </c>
      <c r="J5" s="193">
        <v>0.8</v>
      </c>
      <c r="K5" s="193">
        <v>0.8</v>
      </c>
      <c r="L5" s="193">
        <v>0.8</v>
      </c>
      <c r="M5" s="193">
        <v>0.8</v>
      </c>
    </row>
    <row r="6" spans="1:1024 1026:2048 2050:3072 3074:4096 4098:5120 5122:6144 6146:7168 7170:8192 8194:9216 9218:10240 10242:11264 11266:12288 12290:13312 13314:14336 14338:15360 15362:16384" s="61" customFormat="1" x14ac:dyDescent="0.3">
      <c r="A6" s="195" t="s">
        <v>298</v>
      </c>
      <c r="B6" s="193">
        <v>3.5</v>
      </c>
      <c r="C6" s="193">
        <v>3.5</v>
      </c>
      <c r="D6" s="193">
        <v>3.5</v>
      </c>
      <c r="E6" s="193">
        <v>3.5</v>
      </c>
      <c r="F6" s="193">
        <v>3.5</v>
      </c>
      <c r="G6" s="193">
        <v>3.5</v>
      </c>
      <c r="H6" s="193">
        <v>3.5</v>
      </c>
      <c r="I6" s="193">
        <v>3.5</v>
      </c>
      <c r="J6" s="193">
        <v>3.5</v>
      </c>
      <c r="K6" s="193">
        <v>3.5</v>
      </c>
      <c r="L6" s="193">
        <v>3.5</v>
      </c>
      <c r="M6" s="193">
        <v>3.5</v>
      </c>
      <c r="N6" s="191"/>
      <c r="O6" s="191"/>
      <c r="P6" s="191"/>
      <c r="R6" s="191"/>
      <c r="S6" s="191"/>
      <c r="T6" s="191"/>
      <c r="V6" s="191"/>
      <c r="W6" s="191"/>
      <c r="X6" s="191"/>
      <c r="Z6" s="191"/>
      <c r="AA6" s="191"/>
      <c r="AB6" s="191"/>
      <c r="AD6" s="191"/>
      <c r="AE6" s="191"/>
      <c r="AF6" s="191"/>
      <c r="AH6" s="191"/>
      <c r="AI6" s="191"/>
      <c r="AJ6" s="191"/>
      <c r="AL6" s="191"/>
      <c r="AM6" s="191"/>
      <c r="AN6" s="191"/>
      <c r="AP6" s="191"/>
      <c r="AQ6" s="191"/>
      <c r="AR6" s="191"/>
      <c r="AT6" s="191"/>
      <c r="AU6" s="191"/>
      <c r="AV6" s="191"/>
      <c r="AX6" s="191"/>
      <c r="AY6" s="191"/>
      <c r="AZ6" s="191"/>
      <c r="BB6" s="191"/>
      <c r="BC6" s="191"/>
      <c r="BD6" s="191"/>
      <c r="BF6" s="191"/>
      <c r="BG6" s="191"/>
      <c r="BH6" s="191"/>
      <c r="BJ6" s="191"/>
      <c r="BK6" s="191"/>
      <c r="BL6" s="191"/>
      <c r="BN6" s="191"/>
      <c r="BO6" s="191"/>
      <c r="BP6" s="191"/>
      <c r="BR6" s="191"/>
      <c r="BS6" s="191"/>
      <c r="BT6" s="191"/>
      <c r="BV6" s="191"/>
      <c r="BW6" s="191"/>
      <c r="BX6" s="191"/>
      <c r="BZ6" s="191"/>
      <c r="CA6" s="191"/>
      <c r="CB6" s="191"/>
      <c r="CD6" s="191"/>
      <c r="CE6" s="191"/>
      <c r="CF6" s="191"/>
      <c r="CH6" s="191"/>
      <c r="CI6" s="191"/>
      <c r="CJ6" s="191"/>
      <c r="CL6" s="191"/>
      <c r="CM6" s="191"/>
      <c r="CN6" s="191"/>
      <c r="CP6" s="191"/>
      <c r="CQ6" s="191"/>
      <c r="CR6" s="191"/>
      <c r="CT6" s="191"/>
      <c r="CU6" s="191"/>
      <c r="CV6" s="191"/>
      <c r="CX6" s="191"/>
      <c r="CY6" s="191"/>
      <c r="CZ6" s="191"/>
      <c r="DB6" s="191"/>
      <c r="DC6" s="191"/>
      <c r="DD6" s="191"/>
      <c r="DF6" s="191"/>
      <c r="DG6" s="191"/>
      <c r="DH6" s="191"/>
      <c r="DJ6" s="191"/>
      <c r="DK6" s="191"/>
      <c r="DL6" s="191"/>
      <c r="DN6" s="191"/>
      <c r="DO6" s="191"/>
      <c r="DP6" s="191"/>
      <c r="DR6" s="191"/>
      <c r="DS6" s="191"/>
      <c r="DT6" s="191"/>
      <c r="DV6" s="191"/>
      <c r="DW6" s="191"/>
      <c r="DX6" s="191"/>
      <c r="DZ6" s="191"/>
      <c r="EA6" s="191"/>
      <c r="EB6" s="191"/>
      <c r="ED6" s="191"/>
      <c r="EE6" s="191"/>
      <c r="EF6" s="191"/>
      <c r="EH6" s="191"/>
      <c r="EI6" s="191"/>
      <c r="EJ6" s="191"/>
      <c r="EL6" s="191"/>
      <c r="EM6" s="191"/>
      <c r="EN6" s="191"/>
      <c r="EP6" s="191"/>
      <c r="EQ6" s="191"/>
      <c r="ER6" s="191"/>
      <c r="ET6" s="191"/>
      <c r="EU6" s="191"/>
      <c r="EV6" s="191"/>
      <c r="EX6" s="191"/>
      <c r="EY6" s="191"/>
      <c r="EZ6" s="191"/>
      <c r="FB6" s="191"/>
      <c r="FC6" s="191"/>
      <c r="FD6" s="191"/>
      <c r="FF6" s="191"/>
      <c r="FG6" s="191"/>
      <c r="FH6" s="191"/>
      <c r="FJ6" s="191"/>
      <c r="FK6" s="191"/>
      <c r="FL6" s="191"/>
      <c r="FN6" s="191"/>
      <c r="FO6" s="191"/>
      <c r="FP6" s="191"/>
      <c r="FR6" s="191"/>
      <c r="FS6" s="191"/>
      <c r="FT6" s="191"/>
      <c r="FV6" s="191"/>
      <c r="FW6" s="191"/>
      <c r="FX6" s="191"/>
      <c r="FZ6" s="191"/>
      <c r="GA6" s="191"/>
      <c r="GB6" s="191"/>
      <c r="GD6" s="191"/>
      <c r="GE6" s="191"/>
      <c r="GF6" s="191"/>
      <c r="GH6" s="191"/>
      <c r="GI6" s="191"/>
      <c r="GJ6" s="191"/>
      <c r="GL6" s="191"/>
      <c r="GM6" s="191"/>
      <c r="GN6" s="191"/>
      <c r="GP6" s="191"/>
      <c r="GQ6" s="191"/>
      <c r="GR6" s="191"/>
      <c r="GT6" s="191"/>
      <c r="GU6" s="191"/>
      <c r="GV6" s="191"/>
      <c r="GX6" s="191"/>
      <c r="GY6" s="191"/>
      <c r="GZ6" s="191"/>
      <c r="HB6" s="191"/>
      <c r="HC6" s="191"/>
      <c r="HD6" s="191"/>
      <c r="HF6" s="191"/>
      <c r="HG6" s="191"/>
      <c r="HH6" s="191"/>
      <c r="HJ6" s="191"/>
      <c r="HK6" s="191"/>
      <c r="HL6" s="191"/>
      <c r="HN6" s="191"/>
      <c r="HO6" s="191"/>
      <c r="HP6" s="191"/>
      <c r="HR6" s="191"/>
      <c r="HS6" s="191"/>
      <c r="HT6" s="191"/>
      <c r="HV6" s="191"/>
      <c r="HW6" s="191"/>
      <c r="HX6" s="191"/>
      <c r="HZ6" s="191"/>
      <c r="IA6" s="191"/>
      <c r="IB6" s="191"/>
      <c r="ID6" s="191"/>
      <c r="IE6" s="191"/>
      <c r="IF6" s="191"/>
      <c r="IH6" s="191"/>
      <c r="II6" s="191"/>
      <c r="IJ6" s="191"/>
      <c r="IL6" s="191"/>
      <c r="IM6" s="191"/>
      <c r="IN6" s="191"/>
      <c r="IP6" s="191"/>
      <c r="IQ6" s="191"/>
      <c r="IR6" s="191"/>
      <c r="IT6" s="191"/>
      <c r="IU6" s="191"/>
      <c r="IV6" s="191"/>
      <c r="IX6" s="191"/>
      <c r="IY6" s="191"/>
      <c r="IZ6" s="191"/>
      <c r="JB6" s="191"/>
      <c r="JC6" s="191"/>
      <c r="JD6" s="191"/>
      <c r="JF6" s="191"/>
      <c r="JG6" s="191"/>
      <c r="JH6" s="191"/>
      <c r="JJ6" s="191"/>
      <c r="JK6" s="191"/>
      <c r="JL6" s="191"/>
      <c r="JN6" s="191"/>
      <c r="JO6" s="191"/>
      <c r="JP6" s="191"/>
      <c r="JR6" s="191"/>
      <c r="JS6" s="191"/>
      <c r="JT6" s="191"/>
      <c r="JV6" s="191"/>
      <c r="JW6" s="191"/>
      <c r="JX6" s="191"/>
      <c r="JZ6" s="191"/>
      <c r="KA6" s="191"/>
      <c r="KB6" s="191"/>
      <c r="KD6" s="191"/>
      <c r="KE6" s="191"/>
      <c r="KF6" s="191"/>
      <c r="KH6" s="191"/>
      <c r="KI6" s="191"/>
      <c r="KJ6" s="191"/>
      <c r="KL6" s="191"/>
      <c r="KM6" s="191"/>
      <c r="KN6" s="191"/>
      <c r="KP6" s="191"/>
      <c r="KQ6" s="191"/>
      <c r="KR6" s="191"/>
      <c r="KT6" s="191"/>
      <c r="KU6" s="191"/>
      <c r="KV6" s="191"/>
      <c r="KX6" s="191"/>
      <c r="KY6" s="191"/>
      <c r="KZ6" s="191"/>
      <c r="LB6" s="191"/>
      <c r="LC6" s="191"/>
      <c r="LD6" s="191"/>
      <c r="LF6" s="191"/>
      <c r="LG6" s="191"/>
      <c r="LH6" s="191"/>
      <c r="LJ6" s="191"/>
      <c r="LK6" s="191"/>
      <c r="LL6" s="191"/>
      <c r="LN6" s="191"/>
      <c r="LO6" s="191"/>
      <c r="LP6" s="191"/>
      <c r="LR6" s="191"/>
      <c r="LS6" s="191"/>
      <c r="LT6" s="191"/>
      <c r="LV6" s="191"/>
      <c r="LW6" s="191"/>
      <c r="LX6" s="191"/>
      <c r="LZ6" s="191"/>
      <c r="MA6" s="191"/>
      <c r="MB6" s="191"/>
      <c r="MD6" s="191"/>
      <c r="ME6" s="191"/>
      <c r="MF6" s="191"/>
      <c r="MH6" s="191"/>
      <c r="MI6" s="191"/>
      <c r="MJ6" s="191"/>
      <c r="ML6" s="191"/>
      <c r="MM6" s="191"/>
      <c r="MN6" s="191"/>
      <c r="MP6" s="191"/>
      <c r="MQ6" s="191"/>
      <c r="MR6" s="191"/>
      <c r="MT6" s="191"/>
      <c r="MU6" s="191"/>
      <c r="MV6" s="191"/>
      <c r="MX6" s="191"/>
      <c r="MY6" s="191"/>
      <c r="MZ6" s="191"/>
      <c r="NB6" s="191"/>
      <c r="NC6" s="191"/>
      <c r="ND6" s="191"/>
      <c r="NF6" s="191"/>
      <c r="NG6" s="191"/>
      <c r="NH6" s="191"/>
      <c r="NJ6" s="191"/>
      <c r="NK6" s="191"/>
      <c r="NL6" s="191"/>
      <c r="NN6" s="191"/>
      <c r="NO6" s="191"/>
      <c r="NP6" s="191"/>
      <c r="NR6" s="191"/>
      <c r="NS6" s="191"/>
      <c r="NT6" s="191"/>
      <c r="NV6" s="191"/>
      <c r="NW6" s="191"/>
      <c r="NX6" s="191"/>
      <c r="NZ6" s="191"/>
      <c r="OA6" s="191"/>
      <c r="OB6" s="191"/>
      <c r="OD6" s="191"/>
      <c r="OE6" s="191"/>
      <c r="OF6" s="191"/>
      <c r="OH6" s="191"/>
      <c r="OI6" s="191"/>
      <c r="OJ6" s="191"/>
      <c r="OL6" s="191"/>
      <c r="OM6" s="191"/>
      <c r="ON6" s="191"/>
      <c r="OP6" s="191"/>
      <c r="OQ6" s="191"/>
      <c r="OR6" s="191"/>
      <c r="OT6" s="191"/>
      <c r="OU6" s="191"/>
      <c r="OV6" s="191"/>
      <c r="OX6" s="191"/>
      <c r="OY6" s="191"/>
      <c r="OZ6" s="191"/>
      <c r="PB6" s="191"/>
      <c r="PC6" s="191"/>
      <c r="PD6" s="191"/>
      <c r="PF6" s="191"/>
      <c r="PG6" s="191"/>
      <c r="PH6" s="191"/>
      <c r="PJ6" s="191"/>
      <c r="PK6" s="191"/>
      <c r="PL6" s="191"/>
      <c r="PN6" s="191"/>
      <c r="PO6" s="191"/>
      <c r="PP6" s="191"/>
      <c r="PR6" s="191"/>
      <c r="PS6" s="191"/>
      <c r="PT6" s="191"/>
      <c r="PV6" s="191"/>
      <c r="PW6" s="191"/>
      <c r="PX6" s="191"/>
      <c r="PZ6" s="191"/>
      <c r="QA6" s="191"/>
      <c r="QB6" s="191"/>
      <c r="QD6" s="191"/>
      <c r="QE6" s="191"/>
      <c r="QF6" s="191"/>
      <c r="QH6" s="191"/>
      <c r="QI6" s="191"/>
      <c r="QJ6" s="191"/>
      <c r="QL6" s="191"/>
      <c r="QM6" s="191"/>
      <c r="QN6" s="191"/>
      <c r="QP6" s="191"/>
      <c r="QQ6" s="191"/>
      <c r="QR6" s="191"/>
      <c r="QT6" s="191"/>
      <c r="QU6" s="191"/>
      <c r="QV6" s="191"/>
      <c r="QX6" s="191"/>
      <c r="QY6" s="191"/>
      <c r="QZ6" s="191"/>
      <c r="RB6" s="191"/>
      <c r="RC6" s="191"/>
      <c r="RD6" s="191"/>
      <c r="RF6" s="191"/>
      <c r="RG6" s="191"/>
      <c r="RH6" s="191"/>
      <c r="RJ6" s="191"/>
      <c r="RK6" s="191"/>
      <c r="RL6" s="191"/>
      <c r="RN6" s="191"/>
      <c r="RO6" s="191"/>
      <c r="RP6" s="191"/>
      <c r="RR6" s="191"/>
      <c r="RS6" s="191"/>
      <c r="RT6" s="191"/>
      <c r="RV6" s="191"/>
      <c r="RW6" s="191"/>
      <c r="RX6" s="191"/>
      <c r="RZ6" s="191"/>
      <c r="SA6" s="191"/>
      <c r="SB6" s="191"/>
      <c r="SD6" s="191"/>
      <c r="SE6" s="191"/>
      <c r="SF6" s="191"/>
      <c r="SH6" s="191"/>
      <c r="SI6" s="191"/>
      <c r="SJ6" s="191"/>
      <c r="SL6" s="191"/>
      <c r="SM6" s="191"/>
      <c r="SN6" s="191"/>
      <c r="SP6" s="191"/>
      <c r="SQ6" s="191"/>
      <c r="SR6" s="191"/>
      <c r="ST6" s="191"/>
      <c r="SU6" s="191"/>
      <c r="SV6" s="191"/>
      <c r="SX6" s="191"/>
      <c r="SY6" s="191"/>
      <c r="SZ6" s="191"/>
      <c r="TB6" s="191"/>
      <c r="TC6" s="191"/>
      <c r="TD6" s="191"/>
      <c r="TF6" s="191"/>
      <c r="TG6" s="191"/>
      <c r="TH6" s="191"/>
      <c r="TJ6" s="191"/>
      <c r="TK6" s="191"/>
      <c r="TL6" s="191"/>
      <c r="TN6" s="191"/>
      <c r="TO6" s="191"/>
      <c r="TP6" s="191"/>
      <c r="TR6" s="191"/>
      <c r="TS6" s="191"/>
      <c r="TT6" s="191"/>
      <c r="TV6" s="191"/>
      <c r="TW6" s="191"/>
      <c r="TX6" s="191"/>
      <c r="TZ6" s="191"/>
      <c r="UA6" s="191"/>
      <c r="UB6" s="191"/>
      <c r="UD6" s="191"/>
      <c r="UE6" s="191"/>
      <c r="UF6" s="191"/>
      <c r="UH6" s="191"/>
      <c r="UI6" s="191"/>
      <c r="UJ6" s="191"/>
      <c r="UL6" s="191"/>
      <c r="UM6" s="191"/>
      <c r="UN6" s="191"/>
      <c r="UP6" s="191"/>
      <c r="UQ6" s="191"/>
      <c r="UR6" s="191"/>
      <c r="UT6" s="191"/>
      <c r="UU6" s="191"/>
      <c r="UV6" s="191"/>
      <c r="UX6" s="191"/>
      <c r="UY6" s="191"/>
      <c r="UZ6" s="191"/>
      <c r="VB6" s="191"/>
      <c r="VC6" s="191"/>
      <c r="VD6" s="191"/>
      <c r="VF6" s="191"/>
      <c r="VG6" s="191"/>
      <c r="VH6" s="191"/>
      <c r="VJ6" s="191"/>
      <c r="VK6" s="191"/>
      <c r="VL6" s="191"/>
      <c r="VN6" s="191"/>
      <c r="VO6" s="191"/>
      <c r="VP6" s="191"/>
      <c r="VR6" s="191"/>
      <c r="VS6" s="191"/>
      <c r="VT6" s="191"/>
      <c r="VV6" s="191"/>
      <c r="VW6" s="191"/>
      <c r="VX6" s="191"/>
      <c r="VZ6" s="191"/>
      <c r="WA6" s="191"/>
      <c r="WB6" s="191"/>
      <c r="WD6" s="191"/>
      <c r="WE6" s="191"/>
      <c r="WF6" s="191"/>
      <c r="WH6" s="191"/>
      <c r="WI6" s="191"/>
      <c r="WJ6" s="191"/>
      <c r="WL6" s="191"/>
      <c r="WM6" s="191"/>
      <c r="WN6" s="191"/>
      <c r="WP6" s="191"/>
      <c r="WQ6" s="191"/>
      <c r="WR6" s="191"/>
      <c r="WT6" s="191"/>
      <c r="WU6" s="191"/>
      <c r="WV6" s="191"/>
      <c r="WX6" s="191"/>
      <c r="WY6" s="191"/>
      <c r="WZ6" s="191"/>
      <c r="XB6" s="191"/>
      <c r="XC6" s="191"/>
      <c r="XD6" s="191"/>
      <c r="XF6" s="191"/>
      <c r="XG6" s="191"/>
      <c r="XH6" s="191"/>
      <c r="XJ6" s="191"/>
      <c r="XK6" s="191"/>
      <c r="XL6" s="191"/>
      <c r="XN6" s="191"/>
      <c r="XO6" s="191"/>
      <c r="XP6" s="191"/>
      <c r="XR6" s="191"/>
      <c r="XS6" s="191"/>
      <c r="XT6" s="191"/>
      <c r="XV6" s="191"/>
      <c r="XW6" s="191"/>
      <c r="XX6" s="191"/>
      <c r="XZ6" s="191"/>
      <c r="YA6" s="191"/>
      <c r="YB6" s="191"/>
      <c r="YD6" s="191"/>
      <c r="YE6" s="191"/>
      <c r="YF6" s="191"/>
      <c r="YH6" s="191"/>
      <c r="YI6" s="191"/>
      <c r="YJ6" s="191"/>
      <c r="YL6" s="191"/>
      <c r="YM6" s="191"/>
      <c r="YN6" s="191"/>
      <c r="YP6" s="191"/>
      <c r="YQ6" s="191"/>
      <c r="YR6" s="191"/>
      <c r="YT6" s="191"/>
      <c r="YU6" s="191"/>
      <c r="YV6" s="191"/>
      <c r="YX6" s="191"/>
      <c r="YY6" s="191"/>
      <c r="YZ6" s="191"/>
      <c r="ZB6" s="191"/>
      <c r="ZC6" s="191"/>
      <c r="ZD6" s="191"/>
      <c r="ZF6" s="191"/>
      <c r="ZG6" s="191"/>
      <c r="ZH6" s="191"/>
      <c r="ZJ6" s="191"/>
      <c r="ZK6" s="191"/>
      <c r="ZL6" s="191"/>
      <c r="ZN6" s="191"/>
      <c r="ZO6" s="191"/>
      <c r="ZP6" s="191"/>
      <c r="ZR6" s="191"/>
      <c r="ZS6" s="191"/>
      <c r="ZT6" s="191"/>
      <c r="ZV6" s="191"/>
      <c r="ZW6" s="191"/>
      <c r="ZX6" s="191"/>
      <c r="ZZ6" s="191"/>
      <c r="AAA6" s="191"/>
      <c r="AAB6" s="191"/>
      <c r="AAD6" s="191"/>
      <c r="AAE6" s="191"/>
      <c r="AAF6" s="191"/>
      <c r="AAH6" s="191"/>
      <c r="AAI6" s="191"/>
      <c r="AAJ6" s="191"/>
      <c r="AAL6" s="191"/>
      <c r="AAM6" s="191"/>
      <c r="AAN6" s="191"/>
      <c r="AAP6" s="191"/>
      <c r="AAQ6" s="191"/>
      <c r="AAR6" s="191"/>
      <c r="AAT6" s="191"/>
      <c r="AAU6" s="191"/>
      <c r="AAV6" s="191"/>
      <c r="AAX6" s="191"/>
      <c r="AAY6" s="191"/>
      <c r="AAZ6" s="191"/>
      <c r="ABB6" s="191"/>
      <c r="ABC6" s="191"/>
      <c r="ABD6" s="191"/>
      <c r="ABF6" s="191"/>
      <c r="ABG6" s="191"/>
      <c r="ABH6" s="191"/>
      <c r="ABJ6" s="191"/>
      <c r="ABK6" s="191"/>
      <c r="ABL6" s="191"/>
      <c r="ABN6" s="191"/>
      <c r="ABO6" s="191"/>
      <c r="ABP6" s="191"/>
      <c r="ABR6" s="191"/>
      <c r="ABS6" s="191"/>
      <c r="ABT6" s="191"/>
      <c r="ABV6" s="191"/>
      <c r="ABW6" s="191"/>
      <c r="ABX6" s="191"/>
      <c r="ABZ6" s="191"/>
      <c r="ACA6" s="191"/>
      <c r="ACB6" s="191"/>
      <c r="ACD6" s="191"/>
      <c r="ACE6" s="191"/>
      <c r="ACF6" s="191"/>
      <c r="ACH6" s="191"/>
      <c r="ACI6" s="191"/>
      <c r="ACJ6" s="191"/>
      <c r="ACL6" s="191"/>
      <c r="ACM6" s="191"/>
      <c r="ACN6" s="191"/>
      <c r="ACP6" s="191"/>
      <c r="ACQ6" s="191"/>
      <c r="ACR6" s="191"/>
      <c r="ACT6" s="191"/>
      <c r="ACU6" s="191"/>
      <c r="ACV6" s="191"/>
      <c r="ACX6" s="191"/>
      <c r="ACY6" s="191"/>
      <c r="ACZ6" s="191"/>
      <c r="ADB6" s="191"/>
      <c r="ADC6" s="191"/>
      <c r="ADD6" s="191"/>
      <c r="ADF6" s="191"/>
      <c r="ADG6" s="191"/>
      <c r="ADH6" s="191"/>
      <c r="ADJ6" s="191"/>
      <c r="ADK6" s="191"/>
      <c r="ADL6" s="191"/>
      <c r="ADN6" s="191"/>
      <c r="ADO6" s="191"/>
      <c r="ADP6" s="191"/>
      <c r="ADR6" s="191"/>
      <c r="ADS6" s="191"/>
      <c r="ADT6" s="191"/>
      <c r="ADV6" s="191"/>
      <c r="ADW6" s="191"/>
      <c r="ADX6" s="191"/>
      <c r="ADZ6" s="191"/>
      <c r="AEA6" s="191"/>
      <c r="AEB6" s="191"/>
      <c r="AED6" s="191"/>
      <c r="AEE6" s="191"/>
      <c r="AEF6" s="191"/>
      <c r="AEH6" s="191"/>
      <c r="AEI6" s="191"/>
      <c r="AEJ6" s="191"/>
      <c r="AEL6" s="191"/>
      <c r="AEM6" s="191"/>
      <c r="AEN6" s="191"/>
      <c r="AEP6" s="191"/>
      <c r="AEQ6" s="191"/>
      <c r="AER6" s="191"/>
      <c r="AET6" s="191"/>
      <c r="AEU6" s="191"/>
      <c r="AEV6" s="191"/>
      <c r="AEX6" s="191"/>
      <c r="AEY6" s="191"/>
      <c r="AEZ6" s="191"/>
      <c r="AFB6" s="191"/>
      <c r="AFC6" s="191"/>
      <c r="AFD6" s="191"/>
      <c r="AFF6" s="191"/>
      <c r="AFG6" s="191"/>
      <c r="AFH6" s="191"/>
      <c r="AFJ6" s="191"/>
      <c r="AFK6" s="191"/>
      <c r="AFL6" s="191"/>
      <c r="AFN6" s="191"/>
      <c r="AFO6" s="191"/>
      <c r="AFP6" s="191"/>
      <c r="AFR6" s="191"/>
      <c r="AFS6" s="191"/>
      <c r="AFT6" s="191"/>
      <c r="AFV6" s="191"/>
      <c r="AFW6" s="191"/>
      <c r="AFX6" s="191"/>
      <c r="AFZ6" s="191"/>
      <c r="AGA6" s="191"/>
      <c r="AGB6" s="191"/>
      <c r="AGD6" s="191"/>
      <c r="AGE6" s="191"/>
      <c r="AGF6" s="191"/>
      <c r="AGH6" s="191"/>
      <c r="AGI6" s="191"/>
      <c r="AGJ6" s="191"/>
      <c r="AGL6" s="191"/>
      <c r="AGM6" s="191"/>
      <c r="AGN6" s="191"/>
      <c r="AGP6" s="191"/>
      <c r="AGQ6" s="191"/>
      <c r="AGR6" s="191"/>
      <c r="AGT6" s="191"/>
      <c r="AGU6" s="191"/>
      <c r="AGV6" s="191"/>
      <c r="AGX6" s="191"/>
      <c r="AGY6" s="191"/>
      <c r="AGZ6" s="191"/>
      <c r="AHB6" s="191"/>
      <c r="AHC6" s="191"/>
      <c r="AHD6" s="191"/>
      <c r="AHF6" s="191"/>
      <c r="AHG6" s="191"/>
      <c r="AHH6" s="191"/>
      <c r="AHJ6" s="191"/>
      <c r="AHK6" s="191"/>
      <c r="AHL6" s="191"/>
      <c r="AHN6" s="191"/>
      <c r="AHO6" s="191"/>
      <c r="AHP6" s="191"/>
      <c r="AHR6" s="191"/>
      <c r="AHS6" s="191"/>
      <c r="AHT6" s="191"/>
      <c r="AHV6" s="191"/>
      <c r="AHW6" s="191"/>
      <c r="AHX6" s="191"/>
      <c r="AHZ6" s="191"/>
      <c r="AIA6" s="191"/>
      <c r="AIB6" s="191"/>
      <c r="AID6" s="191"/>
      <c r="AIE6" s="191"/>
      <c r="AIF6" s="191"/>
      <c r="AIH6" s="191"/>
      <c r="AII6" s="191"/>
      <c r="AIJ6" s="191"/>
      <c r="AIL6" s="191"/>
      <c r="AIM6" s="191"/>
      <c r="AIN6" s="191"/>
      <c r="AIP6" s="191"/>
      <c r="AIQ6" s="191"/>
      <c r="AIR6" s="191"/>
      <c r="AIT6" s="191"/>
      <c r="AIU6" s="191"/>
      <c r="AIV6" s="191"/>
      <c r="AIX6" s="191"/>
      <c r="AIY6" s="191"/>
      <c r="AIZ6" s="191"/>
      <c r="AJB6" s="191"/>
      <c r="AJC6" s="191"/>
      <c r="AJD6" s="191"/>
      <c r="AJF6" s="191"/>
      <c r="AJG6" s="191"/>
      <c r="AJH6" s="191"/>
      <c r="AJJ6" s="191"/>
      <c r="AJK6" s="191"/>
      <c r="AJL6" s="191"/>
      <c r="AJN6" s="191"/>
      <c r="AJO6" s="191"/>
      <c r="AJP6" s="191"/>
      <c r="AJR6" s="191"/>
      <c r="AJS6" s="191"/>
      <c r="AJT6" s="191"/>
      <c r="AJV6" s="191"/>
      <c r="AJW6" s="191"/>
      <c r="AJX6" s="191"/>
      <c r="AJZ6" s="191"/>
      <c r="AKA6" s="191"/>
      <c r="AKB6" s="191"/>
      <c r="AKD6" s="191"/>
      <c r="AKE6" s="191"/>
      <c r="AKF6" s="191"/>
      <c r="AKH6" s="191"/>
      <c r="AKI6" s="191"/>
      <c r="AKJ6" s="191"/>
      <c r="AKL6" s="191"/>
      <c r="AKM6" s="191"/>
      <c r="AKN6" s="191"/>
      <c r="AKP6" s="191"/>
      <c r="AKQ6" s="191"/>
      <c r="AKR6" s="191"/>
      <c r="AKT6" s="191"/>
      <c r="AKU6" s="191"/>
      <c r="AKV6" s="191"/>
      <c r="AKX6" s="191"/>
      <c r="AKY6" s="191"/>
      <c r="AKZ6" s="191"/>
      <c r="ALB6" s="191"/>
      <c r="ALC6" s="191"/>
      <c r="ALD6" s="191"/>
      <c r="ALF6" s="191"/>
      <c r="ALG6" s="191"/>
      <c r="ALH6" s="191"/>
      <c r="ALJ6" s="191"/>
      <c r="ALK6" s="191"/>
      <c r="ALL6" s="191"/>
      <c r="ALN6" s="191"/>
      <c r="ALO6" s="191"/>
      <c r="ALP6" s="191"/>
      <c r="ALR6" s="191"/>
      <c r="ALS6" s="191"/>
      <c r="ALT6" s="191"/>
      <c r="ALV6" s="191"/>
      <c r="ALW6" s="191"/>
      <c r="ALX6" s="191"/>
      <c r="ALZ6" s="191"/>
      <c r="AMA6" s="191"/>
      <c r="AMB6" s="191"/>
      <c r="AMD6" s="191"/>
      <c r="AME6" s="191"/>
      <c r="AMF6" s="191"/>
      <c r="AMH6" s="191"/>
      <c r="AMI6" s="191"/>
      <c r="AMJ6" s="191"/>
      <c r="AML6" s="191"/>
      <c r="AMM6" s="191"/>
      <c r="AMN6" s="191"/>
      <c r="AMP6" s="191"/>
      <c r="AMQ6" s="191"/>
      <c r="AMR6" s="191"/>
      <c r="AMT6" s="191"/>
      <c r="AMU6" s="191"/>
      <c r="AMV6" s="191"/>
      <c r="AMX6" s="191"/>
      <c r="AMY6" s="191"/>
      <c r="AMZ6" s="191"/>
      <c r="ANB6" s="191"/>
      <c r="ANC6" s="191"/>
      <c r="AND6" s="191"/>
      <c r="ANF6" s="191"/>
      <c r="ANG6" s="191"/>
      <c r="ANH6" s="191"/>
      <c r="ANJ6" s="191"/>
      <c r="ANK6" s="191"/>
      <c r="ANL6" s="191"/>
      <c r="ANN6" s="191"/>
      <c r="ANO6" s="191"/>
      <c r="ANP6" s="191"/>
      <c r="ANR6" s="191"/>
      <c r="ANS6" s="191"/>
      <c r="ANT6" s="191"/>
      <c r="ANV6" s="191"/>
      <c r="ANW6" s="191"/>
      <c r="ANX6" s="191"/>
      <c r="ANZ6" s="191"/>
      <c r="AOA6" s="191"/>
      <c r="AOB6" s="191"/>
      <c r="AOD6" s="191"/>
      <c r="AOE6" s="191"/>
      <c r="AOF6" s="191"/>
      <c r="AOH6" s="191"/>
      <c r="AOI6" s="191"/>
      <c r="AOJ6" s="191"/>
      <c r="AOL6" s="191"/>
      <c r="AOM6" s="191"/>
      <c r="AON6" s="191"/>
      <c r="AOP6" s="191"/>
      <c r="AOQ6" s="191"/>
      <c r="AOR6" s="191"/>
      <c r="AOT6" s="191"/>
      <c r="AOU6" s="191"/>
      <c r="AOV6" s="191"/>
      <c r="AOX6" s="191"/>
      <c r="AOY6" s="191"/>
      <c r="AOZ6" s="191"/>
      <c r="APB6" s="191"/>
      <c r="APC6" s="191"/>
      <c r="APD6" s="191"/>
      <c r="APF6" s="191"/>
      <c r="APG6" s="191"/>
      <c r="APH6" s="191"/>
      <c r="APJ6" s="191"/>
      <c r="APK6" s="191"/>
      <c r="APL6" s="191"/>
      <c r="APN6" s="191"/>
      <c r="APO6" s="191"/>
      <c r="APP6" s="191"/>
      <c r="APR6" s="191"/>
      <c r="APS6" s="191"/>
      <c r="APT6" s="191"/>
      <c r="APV6" s="191"/>
      <c r="APW6" s="191"/>
      <c r="APX6" s="191"/>
      <c r="APZ6" s="191"/>
      <c r="AQA6" s="191"/>
      <c r="AQB6" s="191"/>
      <c r="AQD6" s="191"/>
      <c r="AQE6" s="191"/>
      <c r="AQF6" s="191"/>
      <c r="AQH6" s="191"/>
      <c r="AQI6" s="191"/>
      <c r="AQJ6" s="191"/>
      <c r="AQL6" s="191"/>
      <c r="AQM6" s="191"/>
      <c r="AQN6" s="191"/>
      <c r="AQP6" s="191"/>
      <c r="AQQ6" s="191"/>
      <c r="AQR6" s="191"/>
      <c r="AQT6" s="191"/>
      <c r="AQU6" s="191"/>
      <c r="AQV6" s="191"/>
      <c r="AQX6" s="191"/>
      <c r="AQY6" s="191"/>
      <c r="AQZ6" s="191"/>
      <c r="ARB6" s="191"/>
      <c r="ARC6" s="191"/>
      <c r="ARD6" s="191"/>
      <c r="ARF6" s="191"/>
      <c r="ARG6" s="191"/>
      <c r="ARH6" s="191"/>
      <c r="ARJ6" s="191"/>
      <c r="ARK6" s="191"/>
      <c r="ARL6" s="191"/>
      <c r="ARN6" s="191"/>
      <c r="ARO6" s="191"/>
      <c r="ARP6" s="191"/>
      <c r="ARR6" s="191"/>
      <c r="ARS6" s="191"/>
      <c r="ART6" s="191"/>
      <c r="ARV6" s="191"/>
      <c r="ARW6" s="191"/>
      <c r="ARX6" s="191"/>
      <c r="ARZ6" s="191"/>
      <c r="ASA6" s="191"/>
      <c r="ASB6" s="191"/>
      <c r="ASD6" s="191"/>
      <c r="ASE6" s="191"/>
      <c r="ASF6" s="191"/>
      <c r="ASH6" s="191"/>
      <c r="ASI6" s="191"/>
      <c r="ASJ6" s="191"/>
      <c r="ASL6" s="191"/>
      <c r="ASM6" s="191"/>
      <c r="ASN6" s="191"/>
      <c r="ASP6" s="191"/>
      <c r="ASQ6" s="191"/>
      <c r="ASR6" s="191"/>
      <c r="AST6" s="191"/>
      <c r="ASU6" s="191"/>
      <c r="ASV6" s="191"/>
      <c r="ASX6" s="191"/>
      <c r="ASY6" s="191"/>
      <c r="ASZ6" s="191"/>
      <c r="ATB6" s="191"/>
      <c r="ATC6" s="191"/>
      <c r="ATD6" s="191"/>
      <c r="ATF6" s="191"/>
      <c r="ATG6" s="191"/>
      <c r="ATH6" s="191"/>
      <c r="ATJ6" s="191"/>
      <c r="ATK6" s="191"/>
      <c r="ATL6" s="191"/>
      <c r="ATN6" s="191"/>
      <c r="ATO6" s="191"/>
      <c r="ATP6" s="191"/>
      <c r="ATR6" s="191"/>
      <c r="ATS6" s="191"/>
      <c r="ATT6" s="191"/>
      <c r="ATV6" s="191"/>
      <c r="ATW6" s="191"/>
      <c r="ATX6" s="191"/>
      <c r="ATZ6" s="191"/>
      <c r="AUA6" s="191"/>
      <c r="AUB6" s="191"/>
      <c r="AUD6" s="191"/>
      <c r="AUE6" s="191"/>
      <c r="AUF6" s="191"/>
      <c r="AUH6" s="191"/>
      <c r="AUI6" s="191"/>
      <c r="AUJ6" s="191"/>
      <c r="AUL6" s="191"/>
      <c r="AUM6" s="191"/>
      <c r="AUN6" s="191"/>
      <c r="AUP6" s="191"/>
      <c r="AUQ6" s="191"/>
      <c r="AUR6" s="191"/>
      <c r="AUT6" s="191"/>
      <c r="AUU6" s="191"/>
      <c r="AUV6" s="191"/>
      <c r="AUX6" s="191"/>
      <c r="AUY6" s="191"/>
      <c r="AUZ6" s="191"/>
      <c r="AVB6" s="191"/>
      <c r="AVC6" s="191"/>
      <c r="AVD6" s="191"/>
      <c r="AVF6" s="191"/>
      <c r="AVG6" s="191"/>
      <c r="AVH6" s="191"/>
      <c r="AVJ6" s="191"/>
      <c r="AVK6" s="191"/>
      <c r="AVL6" s="191"/>
      <c r="AVN6" s="191"/>
      <c r="AVO6" s="191"/>
      <c r="AVP6" s="191"/>
      <c r="AVR6" s="191"/>
      <c r="AVS6" s="191"/>
      <c r="AVT6" s="191"/>
      <c r="AVV6" s="191"/>
      <c r="AVW6" s="191"/>
      <c r="AVX6" s="191"/>
      <c r="AVZ6" s="191"/>
      <c r="AWA6" s="191"/>
      <c r="AWB6" s="191"/>
      <c r="AWD6" s="191"/>
      <c r="AWE6" s="191"/>
      <c r="AWF6" s="191"/>
      <c r="AWH6" s="191"/>
      <c r="AWI6" s="191"/>
      <c r="AWJ6" s="191"/>
      <c r="AWL6" s="191"/>
      <c r="AWM6" s="191"/>
      <c r="AWN6" s="191"/>
      <c r="AWP6" s="191"/>
      <c r="AWQ6" s="191"/>
      <c r="AWR6" s="191"/>
      <c r="AWT6" s="191"/>
      <c r="AWU6" s="191"/>
      <c r="AWV6" s="191"/>
      <c r="AWX6" s="191"/>
      <c r="AWY6" s="191"/>
      <c r="AWZ6" s="191"/>
      <c r="AXB6" s="191"/>
      <c r="AXC6" s="191"/>
      <c r="AXD6" s="191"/>
      <c r="AXF6" s="191"/>
      <c r="AXG6" s="191"/>
      <c r="AXH6" s="191"/>
      <c r="AXJ6" s="191"/>
      <c r="AXK6" s="191"/>
      <c r="AXL6" s="191"/>
      <c r="AXN6" s="191"/>
      <c r="AXO6" s="191"/>
      <c r="AXP6" s="191"/>
      <c r="AXR6" s="191"/>
      <c r="AXS6" s="191"/>
      <c r="AXT6" s="191"/>
      <c r="AXV6" s="191"/>
      <c r="AXW6" s="191"/>
      <c r="AXX6" s="191"/>
      <c r="AXZ6" s="191"/>
      <c r="AYA6" s="191"/>
      <c r="AYB6" s="191"/>
      <c r="AYD6" s="191"/>
      <c r="AYE6" s="191"/>
      <c r="AYF6" s="191"/>
      <c r="AYH6" s="191"/>
      <c r="AYI6" s="191"/>
      <c r="AYJ6" s="191"/>
      <c r="AYL6" s="191"/>
      <c r="AYM6" s="191"/>
      <c r="AYN6" s="191"/>
      <c r="AYP6" s="191"/>
      <c r="AYQ6" s="191"/>
      <c r="AYR6" s="191"/>
      <c r="AYT6" s="191"/>
      <c r="AYU6" s="191"/>
      <c r="AYV6" s="191"/>
      <c r="AYX6" s="191"/>
      <c r="AYY6" s="191"/>
      <c r="AYZ6" s="191"/>
      <c r="AZB6" s="191"/>
      <c r="AZC6" s="191"/>
      <c r="AZD6" s="191"/>
      <c r="AZF6" s="191"/>
      <c r="AZG6" s="191"/>
      <c r="AZH6" s="191"/>
      <c r="AZJ6" s="191"/>
      <c r="AZK6" s="191"/>
      <c r="AZL6" s="191"/>
      <c r="AZN6" s="191"/>
      <c r="AZO6" s="191"/>
      <c r="AZP6" s="191"/>
      <c r="AZR6" s="191"/>
      <c r="AZS6" s="191"/>
      <c r="AZT6" s="191"/>
      <c r="AZV6" s="191"/>
      <c r="AZW6" s="191"/>
      <c r="AZX6" s="191"/>
      <c r="AZZ6" s="191"/>
      <c r="BAA6" s="191"/>
      <c r="BAB6" s="191"/>
      <c r="BAD6" s="191"/>
      <c r="BAE6" s="191"/>
      <c r="BAF6" s="191"/>
      <c r="BAH6" s="191"/>
      <c r="BAI6" s="191"/>
      <c r="BAJ6" s="191"/>
      <c r="BAL6" s="191"/>
      <c r="BAM6" s="191"/>
      <c r="BAN6" s="191"/>
      <c r="BAP6" s="191"/>
      <c r="BAQ6" s="191"/>
      <c r="BAR6" s="191"/>
      <c r="BAT6" s="191"/>
      <c r="BAU6" s="191"/>
      <c r="BAV6" s="191"/>
      <c r="BAX6" s="191"/>
      <c r="BAY6" s="191"/>
      <c r="BAZ6" s="191"/>
      <c r="BBB6" s="191"/>
      <c r="BBC6" s="191"/>
      <c r="BBD6" s="191"/>
      <c r="BBF6" s="191"/>
      <c r="BBG6" s="191"/>
      <c r="BBH6" s="191"/>
      <c r="BBJ6" s="191"/>
      <c r="BBK6" s="191"/>
      <c r="BBL6" s="191"/>
      <c r="BBN6" s="191"/>
      <c r="BBO6" s="191"/>
      <c r="BBP6" s="191"/>
      <c r="BBR6" s="191"/>
      <c r="BBS6" s="191"/>
      <c r="BBT6" s="191"/>
      <c r="BBV6" s="191"/>
      <c r="BBW6" s="191"/>
      <c r="BBX6" s="191"/>
      <c r="BBZ6" s="191"/>
      <c r="BCA6" s="191"/>
      <c r="BCB6" s="191"/>
      <c r="BCD6" s="191"/>
      <c r="BCE6" s="191"/>
      <c r="BCF6" s="191"/>
      <c r="BCH6" s="191"/>
      <c r="BCI6" s="191"/>
      <c r="BCJ6" s="191"/>
      <c r="BCL6" s="191"/>
      <c r="BCM6" s="191"/>
      <c r="BCN6" s="191"/>
      <c r="BCP6" s="191"/>
      <c r="BCQ6" s="191"/>
      <c r="BCR6" s="191"/>
      <c r="BCT6" s="191"/>
      <c r="BCU6" s="191"/>
      <c r="BCV6" s="191"/>
      <c r="BCX6" s="191"/>
      <c r="BCY6" s="191"/>
      <c r="BCZ6" s="191"/>
      <c r="BDB6" s="191"/>
      <c r="BDC6" s="191"/>
      <c r="BDD6" s="191"/>
      <c r="BDF6" s="191"/>
      <c r="BDG6" s="191"/>
      <c r="BDH6" s="191"/>
      <c r="BDJ6" s="191"/>
      <c r="BDK6" s="191"/>
      <c r="BDL6" s="191"/>
      <c r="BDN6" s="191"/>
      <c r="BDO6" s="191"/>
      <c r="BDP6" s="191"/>
      <c r="BDR6" s="191"/>
      <c r="BDS6" s="191"/>
      <c r="BDT6" s="191"/>
      <c r="BDV6" s="191"/>
      <c r="BDW6" s="191"/>
      <c r="BDX6" s="191"/>
      <c r="BDZ6" s="191"/>
      <c r="BEA6" s="191"/>
      <c r="BEB6" s="191"/>
      <c r="BED6" s="191"/>
      <c r="BEE6" s="191"/>
      <c r="BEF6" s="191"/>
      <c r="BEH6" s="191"/>
      <c r="BEI6" s="191"/>
      <c r="BEJ6" s="191"/>
      <c r="BEL6" s="191"/>
      <c r="BEM6" s="191"/>
      <c r="BEN6" s="191"/>
      <c r="BEP6" s="191"/>
      <c r="BEQ6" s="191"/>
      <c r="BER6" s="191"/>
      <c r="BET6" s="191"/>
      <c r="BEU6" s="191"/>
      <c r="BEV6" s="191"/>
      <c r="BEX6" s="191"/>
      <c r="BEY6" s="191"/>
      <c r="BEZ6" s="191"/>
      <c r="BFB6" s="191"/>
      <c r="BFC6" s="191"/>
      <c r="BFD6" s="191"/>
      <c r="BFF6" s="191"/>
      <c r="BFG6" s="191"/>
      <c r="BFH6" s="191"/>
      <c r="BFJ6" s="191"/>
      <c r="BFK6" s="191"/>
      <c r="BFL6" s="191"/>
      <c r="BFN6" s="191"/>
      <c r="BFO6" s="191"/>
      <c r="BFP6" s="191"/>
      <c r="BFR6" s="191"/>
      <c r="BFS6" s="191"/>
      <c r="BFT6" s="191"/>
      <c r="BFV6" s="191"/>
      <c r="BFW6" s="191"/>
      <c r="BFX6" s="191"/>
      <c r="BFZ6" s="191"/>
      <c r="BGA6" s="191"/>
      <c r="BGB6" s="191"/>
      <c r="BGD6" s="191"/>
      <c r="BGE6" s="191"/>
      <c r="BGF6" s="191"/>
      <c r="BGH6" s="191"/>
      <c r="BGI6" s="191"/>
      <c r="BGJ6" s="191"/>
      <c r="BGL6" s="191"/>
      <c r="BGM6" s="191"/>
      <c r="BGN6" s="191"/>
      <c r="BGP6" s="191"/>
      <c r="BGQ6" s="191"/>
      <c r="BGR6" s="191"/>
      <c r="BGT6" s="191"/>
      <c r="BGU6" s="191"/>
      <c r="BGV6" s="191"/>
      <c r="BGX6" s="191"/>
      <c r="BGY6" s="191"/>
      <c r="BGZ6" s="191"/>
      <c r="BHB6" s="191"/>
      <c r="BHC6" s="191"/>
      <c r="BHD6" s="191"/>
      <c r="BHF6" s="191"/>
      <c r="BHG6" s="191"/>
      <c r="BHH6" s="191"/>
      <c r="BHJ6" s="191"/>
      <c r="BHK6" s="191"/>
      <c r="BHL6" s="191"/>
      <c r="BHN6" s="191"/>
      <c r="BHO6" s="191"/>
      <c r="BHP6" s="191"/>
      <c r="BHR6" s="191"/>
      <c r="BHS6" s="191"/>
      <c r="BHT6" s="191"/>
      <c r="BHV6" s="191"/>
      <c r="BHW6" s="191"/>
      <c r="BHX6" s="191"/>
      <c r="BHZ6" s="191"/>
      <c r="BIA6" s="191"/>
      <c r="BIB6" s="191"/>
      <c r="BID6" s="191"/>
      <c r="BIE6" s="191"/>
      <c r="BIF6" s="191"/>
      <c r="BIH6" s="191"/>
      <c r="BII6" s="191"/>
      <c r="BIJ6" s="191"/>
      <c r="BIL6" s="191"/>
      <c r="BIM6" s="191"/>
      <c r="BIN6" s="191"/>
      <c r="BIP6" s="191"/>
      <c r="BIQ6" s="191"/>
      <c r="BIR6" s="191"/>
      <c r="BIT6" s="191"/>
      <c r="BIU6" s="191"/>
      <c r="BIV6" s="191"/>
      <c r="BIX6" s="191"/>
      <c r="BIY6" s="191"/>
      <c r="BIZ6" s="191"/>
      <c r="BJB6" s="191"/>
      <c r="BJC6" s="191"/>
      <c r="BJD6" s="191"/>
      <c r="BJF6" s="191"/>
      <c r="BJG6" s="191"/>
      <c r="BJH6" s="191"/>
      <c r="BJJ6" s="191"/>
      <c r="BJK6" s="191"/>
      <c r="BJL6" s="191"/>
      <c r="BJN6" s="191"/>
      <c r="BJO6" s="191"/>
      <c r="BJP6" s="191"/>
      <c r="BJR6" s="191"/>
      <c r="BJS6" s="191"/>
      <c r="BJT6" s="191"/>
      <c r="BJV6" s="191"/>
      <c r="BJW6" s="191"/>
      <c r="BJX6" s="191"/>
      <c r="BJZ6" s="191"/>
      <c r="BKA6" s="191"/>
      <c r="BKB6" s="191"/>
      <c r="BKD6" s="191"/>
      <c r="BKE6" s="191"/>
      <c r="BKF6" s="191"/>
      <c r="BKH6" s="191"/>
      <c r="BKI6" s="191"/>
      <c r="BKJ6" s="191"/>
      <c r="BKL6" s="191"/>
      <c r="BKM6" s="191"/>
      <c r="BKN6" s="191"/>
      <c r="BKP6" s="191"/>
      <c r="BKQ6" s="191"/>
      <c r="BKR6" s="191"/>
      <c r="BKT6" s="191"/>
      <c r="BKU6" s="191"/>
      <c r="BKV6" s="191"/>
      <c r="BKX6" s="191"/>
      <c r="BKY6" s="191"/>
      <c r="BKZ6" s="191"/>
      <c r="BLB6" s="191"/>
      <c r="BLC6" s="191"/>
      <c r="BLD6" s="191"/>
      <c r="BLF6" s="191"/>
      <c r="BLG6" s="191"/>
      <c r="BLH6" s="191"/>
      <c r="BLJ6" s="191"/>
      <c r="BLK6" s="191"/>
      <c r="BLL6" s="191"/>
      <c r="BLN6" s="191"/>
      <c r="BLO6" s="191"/>
      <c r="BLP6" s="191"/>
      <c r="BLR6" s="191"/>
      <c r="BLS6" s="191"/>
      <c r="BLT6" s="191"/>
      <c r="BLV6" s="191"/>
      <c r="BLW6" s="191"/>
      <c r="BLX6" s="191"/>
      <c r="BLZ6" s="191"/>
      <c r="BMA6" s="191"/>
      <c r="BMB6" s="191"/>
      <c r="BMD6" s="191"/>
      <c r="BME6" s="191"/>
      <c r="BMF6" s="191"/>
      <c r="BMH6" s="191"/>
      <c r="BMI6" s="191"/>
      <c r="BMJ6" s="191"/>
      <c r="BML6" s="191"/>
      <c r="BMM6" s="191"/>
      <c r="BMN6" s="191"/>
      <c r="BMP6" s="191"/>
      <c r="BMQ6" s="191"/>
      <c r="BMR6" s="191"/>
      <c r="BMT6" s="191"/>
      <c r="BMU6" s="191"/>
      <c r="BMV6" s="191"/>
      <c r="BMX6" s="191"/>
      <c r="BMY6" s="191"/>
      <c r="BMZ6" s="191"/>
      <c r="BNB6" s="191"/>
      <c r="BNC6" s="191"/>
      <c r="BND6" s="191"/>
      <c r="BNF6" s="191"/>
      <c r="BNG6" s="191"/>
      <c r="BNH6" s="191"/>
      <c r="BNJ6" s="191"/>
      <c r="BNK6" s="191"/>
      <c r="BNL6" s="191"/>
      <c r="BNN6" s="191"/>
      <c r="BNO6" s="191"/>
      <c r="BNP6" s="191"/>
      <c r="BNR6" s="191"/>
      <c r="BNS6" s="191"/>
      <c r="BNT6" s="191"/>
      <c r="BNV6" s="191"/>
      <c r="BNW6" s="191"/>
      <c r="BNX6" s="191"/>
      <c r="BNZ6" s="191"/>
      <c r="BOA6" s="191"/>
      <c r="BOB6" s="191"/>
      <c r="BOD6" s="191"/>
      <c r="BOE6" s="191"/>
      <c r="BOF6" s="191"/>
      <c r="BOH6" s="191"/>
      <c r="BOI6" s="191"/>
      <c r="BOJ6" s="191"/>
      <c r="BOL6" s="191"/>
      <c r="BOM6" s="191"/>
      <c r="BON6" s="191"/>
      <c r="BOP6" s="191"/>
      <c r="BOQ6" s="191"/>
      <c r="BOR6" s="191"/>
      <c r="BOT6" s="191"/>
      <c r="BOU6" s="191"/>
      <c r="BOV6" s="191"/>
      <c r="BOX6" s="191"/>
      <c r="BOY6" s="191"/>
      <c r="BOZ6" s="191"/>
      <c r="BPB6" s="191"/>
      <c r="BPC6" s="191"/>
      <c r="BPD6" s="191"/>
      <c r="BPF6" s="191"/>
      <c r="BPG6" s="191"/>
      <c r="BPH6" s="191"/>
      <c r="BPJ6" s="191"/>
      <c r="BPK6" s="191"/>
      <c r="BPL6" s="191"/>
      <c r="BPN6" s="191"/>
      <c r="BPO6" s="191"/>
      <c r="BPP6" s="191"/>
      <c r="BPR6" s="191"/>
      <c r="BPS6" s="191"/>
      <c r="BPT6" s="191"/>
      <c r="BPV6" s="191"/>
      <c r="BPW6" s="191"/>
      <c r="BPX6" s="191"/>
      <c r="BPZ6" s="191"/>
      <c r="BQA6" s="191"/>
      <c r="BQB6" s="191"/>
      <c r="BQD6" s="191"/>
      <c r="BQE6" s="191"/>
      <c r="BQF6" s="191"/>
      <c r="BQH6" s="191"/>
      <c r="BQI6" s="191"/>
      <c r="BQJ6" s="191"/>
      <c r="BQL6" s="191"/>
      <c r="BQM6" s="191"/>
      <c r="BQN6" s="191"/>
      <c r="BQP6" s="191"/>
      <c r="BQQ6" s="191"/>
      <c r="BQR6" s="191"/>
      <c r="BQT6" s="191"/>
      <c r="BQU6" s="191"/>
      <c r="BQV6" s="191"/>
      <c r="BQX6" s="191"/>
      <c r="BQY6" s="191"/>
      <c r="BQZ6" s="191"/>
      <c r="BRB6" s="191"/>
      <c r="BRC6" s="191"/>
      <c r="BRD6" s="191"/>
      <c r="BRF6" s="191"/>
      <c r="BRG6" s="191"/>
      <c r="BRH6" s="191"/>
      <c r="BRJ6" s="191"/>
      <c r="BRK6" s="191"/>
      <c r="BRL6" s="191"/>
      <c r="BRN6" s="191"/>
      <c r="BRO6" s="191"/>
      <c r="BRP6" s="191"/>
      <c r="BRR6" s="191"/>
      <c r="BRS6" s="191"/>
      <c r="BRT6" s="191"/>
      <c r="BRV6" s="191"/>
      <c r="BRW6" s="191"/>
      <c r="BRX6" s="191"/>
      <c r="BRZ6" s="191"/>
      <c r="BSA6" s="191"/>
      <c r="BSB6" s="191"/>
      <c r="BSD6" s="191"/>
      <c r="BSE6" s="191"/>
      <c r="BSF6" s="191"/>
      <c r="BSH6" s="191"/>
      <c r="BSI6" s="191"/>
      <c r="BSJ6" s="191"/>
      <c r="BSL6" s="191"/>
      <c r="BSM6" s="191"/>
      <c r="BSN6" s="191"/>
      <c r="BSP6" s="191"/>
      <c r="BSQ6" s="191"/>
      <c r="BSR6" s="191"/>
      <c r="BST6" s="191"/>
      <c r="BSU6" s="191"/>
      <c r="BSV6" s="191"/>
      <c r="BSX6" s="191"/>
      <c r="BSY6" s="191"/>
      <c r="BSZ6" s="191"/>
      <c r="BTB6" s="191"/>
      <c r="BTC6" s="191"/>
      <c r="BTD6" s="191"/>
      <c r="BTF6" s="191"/>
      <c r="BTG6" s="191"/>
      <c r="BTH6" s="191"/>
      <c r="BTJ6" s="191"/>
      <c r="BTK6" s="191"/>
      <c r="BTL6" s="191"/>
      <c r="BTN6" s="191"/>
      <c r="BTO6" s="191"/>
      <c r="BTP6" s="191"/>
      <c r="BTR6" s="191"/>
      <c r="BTS6" s="191"/>
      <c r="BTT6" s="191"/>
      <c r="BTV6" s="191"/>
      <c r="BTW6" s="191"/>
      <c r="BTX6" s="191"/>
      <c r="BTZ6" s="191"/>
      <c r="BUA6" s="191"/>
      <c r="BUB6" s="191"/>
      <c r="BUD6" s="191"/>
      <c r="BUE6" s="191"/>
      <c r="BUF6" s="191"/>
      <c r="BUH6" s="191"/>
      <c r="BUI6" s="191"/>
      <c r="BUJ6" s="191"/>
      <c r="BUL6" s="191"/>
      <c r="BUM6" s="191"/>
      <c r="BUN6" s="191"/>
      <c r="BUP6" s="191"/>
      <c r="BUQ6" s="191"/>
      <c r="BUR6" s="191"/>
      <c r="BUT6" s="191"/>
      <c r="BUU6" s="191"/>
      <c r="BUV6" s="191"/>
      <c r="BUX6" s="191"/>
      <c r="BUY6" s="191"/>
      <c r="BUZ6" s="191"/>
      <c r="BVB6" s="191"/>
      <c r="BVC6" s="191"/>
      <c r="BVD6" s="191"/>
      <c r="BVF6" s="191"/>
      <c r="BVG6" s="191"/>
      <c r="BVH6" s="191"/>
      <c r="BVJ6" s="191"/>
      <c r="BVK6" s="191"/>
      <c r="BVL6" s="191"/>
      <c r="BVN6" s="191"/>
      <c r="BVO6" s="191"/>
      <c r="BVP6" s="191"/>
      <c r="BVR6" s="191"/>
      <c r="BVS6" s="191"/>
      <c r="BVT6" s="191"/>
      <c r="BVV6" s="191"/>
      <c r="BVW6" s="191"/>
      <c r="BVX6" s="191"/>
      <c r="BVZ6" s="191"/>
      <c r="BWA6" s="191"/>
      <c r="BWB6" s="191"/>
      <c r="BWD6" s="191"/>
      <c r="BWE6" s="191"/>
      <c r="BWF6" s="191"/>
      <c r="BWH6" s="191"/>
      <c r="BWI6" s="191"/>
      <c r="BWJ6" s="191"/>
      <c r="BWL6" s="191"/>
      <c r="BWM6" s="191"/>
      <c r="BWN6" s="191"/>
      <c r="BWP6" s="191"/>
      <c r="BWQ6" s="191"/>
      <c r="BWR6" s="191"/>
      <c r="BWT6" s="191"/>
      <c r="BWU6" s="191"/>
      <c r="BWV6" s="191"/>
      <c r="BWX6" s="191"/>
      <c r="BWY6" s="191"/>
      <c r="BWZ6" s="191"/>
      <c r="BXB6" s="191"/>
      <c r="BXC6" s="191"/>
      <c r="BXD6" s="191"/>
      <c r="BXF6" s="191"/>
      <c r="BXG6" s="191"/>
      <c r="BXH6" s="191"/>
      <c r="BXJ6" s="191"/>
      <c r="BXK6" s="191"/>
      <c r="BXL6" s="191"/>
      <c r="BXN6" s="191"/>
      <c r="BXO6" s="191"/>
      <c r="BXP6" s="191"/>
      <c r="BXR6" s="191"/>
      <c r="BXS6" s="191"/>
      <c r="BXT6" s="191"/>
      <c r="BXV6" s="191"/>
      <c r="BXW6" s="191"/>
      <c r="BXX6" s="191"/>
      <c r="BXZ6" s="191"/>
      <c r="BYA6" s="191"/>
      <c r="BYB6" s="191"/>
      <c r="BYD6" s="191"/>
      <c r="BYE6" s="191"/>
      <c r="BYF6" s="191"/>
      <c r="BYH6" s="191"/>
      <c r="BYI6" s="191"/>
      <c r="BYJ6" s="191"/>
      <c r="BYL6" s="191"/>
      <c r="BYM6" s="191"/>
      <c r="BYN6" s="191"/>
      <c r="BYP6" s="191"/>
      <c r="BYQ6" s="191"/>
      <c r="BYR6" s="191"/>
      <c r="BYT6" s="191"/>
      <c r="BYU6" s="191"/>
      <c r="BYV6" s="191"/>
      <c r="BYX6" s="191"/>
      <c r="BYY6" s="191"/>
      <c r="BYZ6" s="191"/>
      <c r="BZB6" s="191"/>
      <c r="BZC6" s="191"/>
      <c r="BZD6" s="191"/>
      <c r="BZF6" s="191"/>
      <c r="BZG6" s="191"/>
      <c r="BZH6" s="191"/>
      <c r="BZJ6" s="191"/>
      <c r="BZK6" s="191"/>
      <c r="BZL6" s="191"/>
      <c r="BZN6" s="191"/>
      <c r="BZO6" s="191"/>
      <c r="BZP6" s="191"/>
      <c r="BZR6" s="191"/>
      <c r="BZS6" s="191"/>
      <c r="BZT6" s="191"/>
      <c r="BZV6" s="191"/>
      <c r="BZW6" s="191"/>
      <c r="BZX6" s="191"/>
      <c r="BZZ6" s="191"/>
      <c r="CAA6" s="191"/>
      <c r="CAB6" s="191"/>
      <c r="CAD6" s="191"/>
      <c r="CAE6" s="191"/>
      <c r="CAF6" s="191"/>
      <c r="CAH6" s="191"/>
      <c r="CAI6" s="191"/>
      <c r="CAJ6" s="191"/>
      <c r="CAL6" s="191"/>
      <c r="CAM6" s="191"/>
      <c r="CAN6" s="191"/>
      <c r="CAP6" s="191"/>
      <c r="CAQ6" s="191"/>
      <c r="CAR6" s="191"/>
      <c r="CAT6" s="191"/>
      <c r="CAU6" s="191"/>
      <c r="CAV6" s="191"/>
      <c r="CAX6" s="191"/>
      <c r="CAY6" s="191"/>
      <c r="CAZ6" s="191"/>
      <c r="CBB6" s="191"/>
      <c r="CBC6" s="191"/>
      <c r="CBD6" s="191"/>
      <c r="CBF6" s="191"/>
      <c r="CBG6" s="191"/>
      <c r="CBH6" s="191"/>
      <c r="CBJ6" s="191"/>
      <c r="CBK6" s="191"/>
      <c r="CBL6" s="191"/>
      <c r="CBN6" s="191"/>
      <c r="CBO6" s="191"/>
      <c r="CBP6" s="191"/>
      <c r="CBR6" s="191"/>
      <c r="CBS6" s="191"/>
      <c r="CBT6" s="191"/>
      <c r="CBV6" s="191"/>
      <c r="CBW6" s="191"/>
      <c r="CBX6" s="191"/>
      <c r="CBZ6" s="191"/>
      <c r="CCA6" s="191"/>
      <c r="CCB6" s="191"/>
      <c r="CCD6" s="191"/>
      <c r="CCE6" s="191"/>
      <c r="CCF6" s="191"/>
      <c r="CCH6" s="191"/>
      <c r="CCI6" s="191"/>
      <c r="CCJ6" s="191"/>
      <c r="CCL6" s="191"/>
      <c r="CCM6" s="191"/>
      <c r="CCN6" s="191"/>
      <c r="CCP6" s="191"/>
      <c r="CCQ6" s="191"/>
      <c r="CCR6" s="191"/>
      <c r="CCT6" s="191"/>
      <c r="CCU6" s="191"/>
      <c r="CCV6" s="191"/>
      <c r="CCX6" s="191"/>
      <c r="CCY6" s="191"/>
      <c r="CCZ6" s="191"/>
      <c r="CDB6" s="191"/>
      <c r="CDC6" s="191"/>
      <c r="CDD6" s="191"/>
      <c r="CDF6" s="191"/>
      <c r="CDG6" s="191"/>
      <c r="CDH6" s="191"/>
      <c r="CDJ6" s="191"/>
      <c r="CDK6" s="191"/>
      <c r="CDL6" s="191"/>
      <c r="CDN6" s="191"/>
      <c r="CDO6" s="191"/>
      <c r="CDP6" s="191"/>
      <c r="CDR6" s="191"/>
      <c r="CDS6" s="191"/>
      <c r="CDT6" s="191"/>
      <c r="CDV6" s="191"/>
      <c r="CDW6" s="191"/>
      <c r="CDX6" s="191"/>
      <c r="CDZ6" s="191"/>
      <c r="CEA6" s="191"/>
      <c r="CEB6" s="191"/>
      <c r="CED6" s="191"/>
      <c r="CEE6" s="191"/>
      <c r="CEF6" s="191"/>
      <c r="CEH6" s="191"/>
      <c r="CEI6" s="191"/>
      <c r="CEJ6" s="191"/>
      <c r="CEL6" s="191"/>
      <c r="CEM6" s="191"/>
      <c r="CEN6" s="191"/>
      <c r="CEP6" s="191"/>
      <c r="CEQ6" s="191"/>
      <c r="CER6" s="191"/>
      <c r="CET6" s="191"/>
      <c r="CEU6" s="191"/>
      <c r="CEV6" s="191"/>
      <c r="CEX6" s="191"/>
      <c r="CEY6" s="191"/>
      <c r="CEZ6" s="191"/>
      <c r="CFB6" s="191"/>
      <c r="CFC6" s="191"/>
      <c r="CFD6" s="191"/>
      <c r="CFF6" s="191"/>
      <c r="CFG6" s="191"/>
      <c r="CFH6" s="191"/>
      <c r="CFJ6" s="191"/>
      <c r="CFK6" s="191"/>
      <c r="CFL6" s="191"/>
      <c r="CFN6" s="191"/>
      <c r="CFO6" s="191"/>
      <c r="CFP6" s="191"/>
      <c r="CFR6" s="191"/>
      <c r="CFS6" s="191"/>
      <c r="CFT6" s="191"/>
      <c r="CFV6" s="191"/>
      <c r="CFW6" s="191"/>
      <c r="CFX6" s="191"/>
      <c r="CFZ6" s="191"/>
      <c r="CGA6" s="191"/>
      <c r="CGB6" s="191"/>
      <c r="CGD6" s="191"/>
      <c r="CGE6" s="191"/>
      <c r="CGF6" s="191"/>
      <c r="CGH6" s="191"/>
      <c r="CGI6" s="191"/>
      <c r="CGJ6" s="191"/>
      <c r="CGL6" s="191"/>
      <c r="CGM6" s="191"/>
      <c r="CGN6" s="191"/>
      <c r="CGP6" s="191"/>
      <c r="CGQ6" s="191"/>
      <c r="CGR6" s="191"/>
      <c r="CGT6" s="191"/>
      <c r="CGU6" s="191"/>
      <c r="CGV6" s="191"/>
      <c r="CGX6" s="191"/>
      <c r="CGY6" s="191"/>
      <c r="CGZ6" s="191"/>
      <c r="CHB6" s="191"/>
      <c r="CHC6" s="191"/>
      <c r="CHD6" s="191"/>
      <c r="CHF6" s="191"/>
      <c r="CHG6" s="191"/>
      <c r="CHH6" s="191"/>
      <c r="CHJ6" s="191"/>
      <c r="CHK6" s="191"/>
      <c r="CHL6" s="191"/>
      <c r="CHN6" s="191"/>
      <c r="CHO6" s="191"/>
      <c r="CHP6" s="191"/>
      <c r="CHR6" s="191"/>
      <c r="CHS6" s="191"/>
      <c r="CHT6" s="191"/>
      <c r="CHV6" s="191"/>
      <c r="CHW6" s="191"/>
      <c r="CHX6" s="191"/>
      <c r="CHZ6" s="191"/>
      <c r="CIA6" s="191"/>
      <c r="CIB6" s="191"/>
      <c r="CID6" s="191"/>
      <c r="CIE6" s="191"/>
      <c r="CIF6" s="191"/>
      <c r="CIH6" s="191"/>
      <c r="CII6" s="191"/>
      <c r="CIJ6" s="191"/>
      <c r="CIL6" s="191"/>
      <c r="CIM6" s="191"/>
      <c r="CIN6" s="191"/>
      <c r="CIP6" s="191"/>
      <c r="CIQ6" s="191"/>
      <c r="CIR6" s="191"/>
      <c r="CIT6" s="191"/>
      <c r="CIU6" s="191"/>
      <c r="CIV6" s="191"/>
      <c r="CIX6" s="191"/>
      <c r="CIY6" s="191"/>
      <c r="CIZ6" s="191"/>
      <c r="CJB6" s="191"/>
      <c r="CJC6" s="191"/>
      <c r="CJD6" s="191"/>
      <c r="CJF6" s="191"/>
      <c r="CJG6" s="191"/>
      <c r="CJH6" s="191"/>
      <c r="CJJ6" s="191"/>
      <c r="CJK6" s="191"/>
      <c r="CJL6" s="191"/>
      <c r="CJN6" s="191"/>
      <c r="CJO6" s="191"/>
      <c r="CJP6" s="191"/>
      <c r="CJR6" s="191"/>
      <c r="CJS6" s="191"/>
      <c r="CJT6" s="191"/>
      <c r="CJV6" s="191"/>
      <c r="CJW6" s="191"/>
      <c r="CJX6" s="191"/>
      <c r="CJZ6" s="191"/>
      <c r="CKA6" s="191"/>
      <c r="CKB6" s="191"/>
      <c r="CKD6" s="191"/>
      <c r="CKE6" s="191"/>
      <c r="CKF6" s="191"/>
      <c r="CKH6" s="191"/>
      <c r="CKI6" s="191"/>
      <c r="CKJ6" s="191"/>
      <c r="CKL6" s="191"/>
      <c r="CKM6" s="191"/>
      <c r="CKN6" s="191"/>
      <c r="CKP6" s="191"/>
      <c r="CKQ6" s="191"/>
      <c r="CKR6" s="191"/>
      <c r="CKT6" s="191"/>
      <c r="CKU6" s="191"/>
      <c r="CKV6" s="191"/>
      <c r="CKX6" s="191"/>
      <c r="CKY6" s="191"/>
      <c r="CKZ6" s="191"/>
      <c r="CLB6" s="191"/>
      <c r="CLC6" s="191"/>
      <c r="CLD6" s="191"/>
      <c r="CLF6" s="191"/>
      <c r="CLG6" s="191"/>
      <c r="CLH6" s="191"/>
      <c r="CLJ6" s="191"/>
      <c r="CLK6" s="191"/>
      <c r="CLL6" s="191"/>
      <c r="CLN6" s="191"/>
      <c r="CLO6" s="191"/>
      <c r="CLP6" s="191"/>
      <c r="CLR6" s="191"/>
      <c r="CLS6" s="191"/>
      <c r="CLT6" s="191"/>
      <c r="CLV6" s="191"/>
      <c r="CLW6" s="191"/>
      <c r="CLX6" s="191"/>
      <c r="CLZ6" s="191"/>
      <c r="CMA6" s="191"/>
      <c r="CMB6" s="191"/>
      <c r="CMD6" s="191"/>
      <c r="CME6" s="191"/>
      <c r="CMF6" s="191"/>
      <c r="CMH6" s="191"/>
      <c r="CMI6" s="191"/>
      <c r="CMJ6" s="191"/>
      <c r="CML6" s="191"/>
      <c r="CMM6" s="191"/>
      <c r="CMN6" s="191"/>
      <c r="CMP6" s="191"/>
      <c r="CMQ6" s="191"/>
      <c r="CMR6" s="191"/>
      <c r="CMT6" s="191"/>
      <c r="CMU6" s="191"/>
      <c r="CMV6" s="191"/>
      <c r="CMX6" s="191"/>
      <c r="CMY6" s="191"/>
      <c r="CMZ6" s="191"/>
      <c r="CNB6" s="191"/>
      <c r="CNC6" s="191"/>
      <c r="CND6" s="191"/>
      <c r="CNF6" s="191"/>
      <c r="CNG6" s="191"/>
      <c r="CNH6" s="191"/>
      <c r="CNJ6" s="191"/>
      <c r="CNK6" s="191"/>
      <c r="CNL6" s="191"/>
      <c r="CNN6" s="191"/>
      <c r="CNO6" s="191"/>
      <c r="CNP6" s="191"/>
      <c r="CNR6" s="191"/>
      <c r="CNS6" s="191"/>
      <c r="CNT6" s="191"/>
      <c r="CNV6" s="191"/>
      <c r="CNW6" s="191"/>
      <c r="CNX6" s="191"/>
      <c r="CNZ6" s="191"/>
      <c r="COA6" s="191"/>
      <c r="COB6" s="191"/>
      <c r="COD6" s="191"/>
      <c r="COE6" s="191"/>
      <c r="COF6" s="191"/>
      <c r="COH6" s="191"/>
      <c r="COI6" s="191"/>
      <c r="COJ6" s="191"/>
      <c r="COL6" s="191"/>
      <c r="COM6" s="191"/>
      <c r="CON6" s="191"/>
      <c r="COP6" s="191"/>
      <c r="COQ6" s="191"/>
      <c r="COR6" s="191"/>
      <c r="COT6" s="191"/>
      <c r="COU6" s="191"/>
      <c r="COV6" s="191"/>
      <c r="COX6" s="191"/>
      <c r="COY6" s="191"/>
      <c r="COZ6" s="191"/>
      <c r="CPB6" s="191"/>
      <c r="CPC6" s="191"/>
      <c r="CPD6" s="191"/>
      <c r="CPF6" s="191"/>
      <c r="CPG6" s="191"/>
      <c r="CPH6" s="191"/>
      <c r="CPJ6" s="191"/>
      <c r="CPK6" s="191"/>
      <c r="CPL6" s="191"/>
      <c r="CPN6" s="191"/>
      <c r="CPO6" s="191"/>
      <c r="CPP6" s="191"/>
      <c r="CPR6" s="191"/>
      <c r="CPS6" s="191"/>
      <c r="CPT6" s="191"/>
      <c r="CPV6" s="191"/>
      <c r="CPW6" s="191"/>
      <c r="CPX6" s="191"/>
      <c r="CPZ6" s="191"/>
      <c r="CQA6" s="191"/>
      <c r="CQB6" s="191"/>
      <c r="CQD6" s="191"/>
      <c r="CQE6" s="191"/>
      <c r="CQF6" s="191"/>
      <c r="CQH6" s="191"/>
      <c r="CQI6" s="191"/>
      <c r="CQJ6" s="191"/>
      <c r="CQL6" s="191"/>
      <c r="CQM6" s="191"/>
      <c r="CQN6" s="191"/>
      <c r="CQP6" s="191"/>
      <c r="CQQ6" s="191"/>
      <c r="CQR6" s="191"/>
      <c r="CQT6" s="191"/>
      <c r="CQU6" s="191"/>
      <c r="CQV6" s="191"/>
      <c r="CQX6" s="191"/>
      <c r="CQY6" s="191"/>
      <c r="CQZ6" s="191"/>
      <c r="CRB6" s="191"/>
      <c r="CRC6" s="191"/>
      <c r="CRD6" s="191"/>
      <c r="CRF6" s="191"/>
      <c r="CRG6" s="191"/>
      <c r="CRH6" s="191"/>
      <c r="CRJ6" s="191"/>
      <c r="CRK6" s="191"/>
      <c r="CRL6" s="191"/>
      <c r="CRN6" s="191"/>
      <c r="CRO6" s="191"/>
      <c r="CRP6" s="191"/>
      <c r="CRR6" s="191"/>
      <c r="CRS6" s="191"/>
      <c r="CRT6" s="191"/>
      <c r="CRV6" s="191"/>
      <c r="CRW6" s="191"/>
      <c r="CRX6" s="191"/>
      <c r="CRZ6" s="191"/>
      <c r="CSA6" s="191"/>
      <c r="CSB6" s="191"/>
      <c r="CSD6" s="191"/>
      <c r="CSE6" s="191"/>
      <c r="CSF6" s="191"/>
      <c r="CSH6" s="191"/>
      <c r="CSI6" s="191"/>
      <c r="CSJ6" s="191"/>
      <c r="CSL6" s="191"/>
      <c r="CSM6" s="191"/>
      <c r="CSN6" s="191"/>
      <c r="CSP6" s="191"/>
      <c r="CSQ6" s="191"/>
      <c r="CSR6" s="191"/>
      <c r="CST6" s="191"/>
      <c r="CSU6" s="191"/>
      <c r="CSV6" s="191"/>
      <c r="CSX6" s="191"/>
      <c r="CSY6" s="191"/>
      <c r="CSZ6" s="191"/>
      <c r="CTB6" s="191"/>
      <c r="CTC6" s="191"/>
      <c r="CTD6" s="191"/>
      <c r="CTF6" s="191"/>
      <c r="CTG6" s="191"/>
      <c r="CTH6" s="191"/>
      <c r="CTJ6" s="191"/>
      <c r="CTK6" s="191"/>
      <c r="CTL6" s="191"/>
      <c r="CTN6" s="191"/>
      <c r="CTO6" s="191"/>
      <c r="CTP6" s="191"/>
      <c r="CTR6" s="191"/>
      <c r="CTS6" s="191"/>
      <c r="CTT6" s="191"/>
      <c r="CTV6" s="191"/>
      <c r="CTW6" s="191"/>
      <c r="CTX6" s="191"/>
      <c r="CTZ6" s="191"/>
      <c r="CUA6" s="191"/>
      <c r="CUB6" s="191"/>
      <c r="CUD6" s="191"/>
      <c r="CUE6" s="191"/>
      <c r="CUF6" s="191"/>
      <c r="CUH6" s="191"/>
      <c r="CUI6" s="191"/>
      <c r="CUJ6" s="191"/>
      <c r="CUL6" s="191"/>
      <c r="CUM6" s="191"/>
      <c r="CUN6" s="191"/>
      <c r="CUP6" s="191"/>
      <c r="CUQ6" s="191"/>
      <c r="CUR6" s="191"/>
      <c r="CUT6" s="191"/>
      <c r="CUU6" s="191"/>
      <c r="CUV6" s="191"/>
      <c r="CUX6" s="191"/>
      <c r="CUY6" s="191"/>
      <c r="CUZ6" s="191"/>
      <c r="CVB6" s="191"/>
      <c r="CVC6" s="191"/>
      <c r="CVD6" s="191"/>
      <c r="CVF6" s="191"/>
      <c r="CVG6" s="191"/>
      <c r="CVH6" s="191"/>
      <c r="CVJ6" s="191"/>
      <c r="CVK6" s="191"/>
      <c r="CVL6" s="191"/>
      <c r="CVN6" s="191"/>
      <c r="CVO6" s="191"/>
      <c r="CVP6" s="191"/>
      <c r="CVR6" s="191"/>
      <c r="CVS6" s="191"/>
      <c r="CVT6" s="191"/>
      <c r="CVV6" s="191"/>
      <c r="CVW6" s="191"/>
      <c r="CVX6" s="191"/>
      <c r="CVZ6" s="191"/>
      <c r="CWA6" s="191"/>
      <c r="CWB6" s="191"/>
      <c r="CWD6" s="191"/>
      <c r="CWE6" s="191"/>
      <c r="CWF6" s="191"/>
      <c r="CWH6" s="191"/>
      <c r="CWI6" s="191"/>
      <c r="CWJ6" s="191"/>
      <c r="CWL6" s="191"/>
      <c r="CWM6" s="191"/>
      <c r="CWN6" s="191"/>
      <c r="CWP6" s="191"/>
      <c r="CWQ6" s="191"/>
      <c r="CWR6" s="191"/>
      <c r="CWT6" s="191"/>
      <c r="CWU6" s="191"/>
      <c r="CWV6" s="191"/>
      <c r="CWX6" s="191"/>
      <c r="CWY6" s="191"/>
      <c r="CWZ6" s="191"/>
      <c r="CXB6" s="191"/>
      <c r="CXC6" s="191"/>
      <c r="CXD6" s="191"/>
      <c r="CXF6" s="191"/>
      <c r="CXG6" s="191"/>
      <c r="CXH6" s="191"/>
      <c r="CXJ6" s="191"/>
      <c r="CXK6" s="191"/>
      <c r="CXL6" s="191"/>
      <c r="CXN6" s="191"/>
      <c r="CXO6" s="191"/>
      <c r="CXP6" s="191"/>
      <c r="CXR6" s="191"/>
      <c r="CXS6" s="191"/>
      <c r="CXT6" s="191"/>
      <c r="CXV6" s="191"/>
      <c r="CXW6" s="191"/>
      <c r="CXX6" s="191"/>
      <c r="CXZ6" s="191"/>
      <c r="CYA6" s="191"/>
      <c r="CYB6" s="191"/>
      <c r="CYD6" s="191"/>
      <c r="CYE6" s="191"/>
      <c r="CYF6" s="191"/>
      <c r="CYH6" s="191"/>
      <c r="CYI6" s="191"/>
      <c r="CYJ6" s="191"/>
      <c r="CYL6" s="191"/>
      <c r="CYM6" s="191"/>
      <c r="CYN6" s="191"/>
      <c r="CYP6" s="191"/>
      <c r="CYQ6" s="191"/>
      <c r="CYR6" s="191"/>
      <c r="CYT6" s="191"/>
      <c r="CYU6" s="191"/>
      <c r="CYV6" s="191"/>
      <c r="CYX6" s="191"/>
      <c r="CYY6" s="191"/>
      <c r="CYZ6" s="191"/>
      <c r="CZB6" s="191"/>
      <c r="CZC6" s="191"/>
      <c r="CZD6" s="191"/>
      <c r="CZF6" s="191"/>
      <c r="CZG6" s="191"/>
      <c r="CZH6" s="191"/>
      <c r="CZJ6" s="191"/>
      <c r="CZK6" s="191"/>
      <c r="CZL6" s="191"/>
      <c r="CZN6" s="191"/>
      <c r="CZO6" s="191"/>
      <c r="CZP6" s="191"/>
      <c r="CZR6" s="191"/>
      <c r="CZS6" s="191"/>
      <c r="CZT6" s="191"/>
      <c r="CZV6" s="191"/>
      <c r="CZW6" s="191"/>
      <c r="CZX6" s="191"/>
      <c r="CZZ6" s="191"/>
      <c r="DAA6" s="191"/>
      <c r="DAB6" s="191"/>
      <c r="DAD6" s="191"/>
      <c r="DAE6" s="191"/>
      <c r="DAF6" s="191"/>
      <c r="DAH6" s="191"/>
      <c r="DAI6" s="191"/>
      <c r="DAJ6" s="191"/>
      <c r="DAL6" s="191"/>
      <c r="DAM6" s="191"/>
      <c r="DAN6" s="191"/>
      <c r="DAP6" s="191"/>
      <c r="DAQ6" s="191"/>
      <c r="DAR6" s="191"/>
      <c r="DAT6" s="191"/>
      <c r="DAU6" s="191"/>
      <c r="DAV6" s="191"/>
      <c r="DAX6" s="191"/>
      <c r="DAY6" s="191"/>
      <c r="DAZ6" s="191"/>
      <c r="DBB6" s="191"/>
      <c r="DBC6" s="191"/>
      <c r="DBD6" s="191"/>
      <c r="DBF6" s="191"/>
      <c r="DBG6" s="191"/>
      <c r="DBH6" s="191"/>
      <c r="DBJ6" s="191"/>
      <c r="DBK6" s="191"/>
      <c r="DBL6" s="191"/>
      <c r="DBN6" s="191"/>
      <c r="DBO6" s="191"/>
      <c r="DBP6" s="191"/>
      <c r="DBR6" s="191"/>
      <c r="DBS6" s="191"/>
      <c r="DBT6" s="191"/>
      <c r="DBV6" s="191"/>
      <c r="DBW6" s="191"/>
      <c r="DBX6" s="191"/>
      <c r="DBZ6" s="191"/>
      <c r="DCA6" s="191"/>
      <c r="DCB6" s="191"/>
      <c r="DCD6" s="191"/>
      <c r="DCE6" s="191"/>
      <c r="DCF6" s="191"/>
      <c r="DCH6" s="191"/>
      <c r="DCI6" s="191"/>
      <c r="DCJ6" s="191"/>
      <c r="DCL6" s="191"/>
      <c r="DCM6" s="191"/>
      <c r="DCN6" s="191"/>
      <c r="DCP6" s="191"/>
      <c r="DCQ6" s="191"/>
      <c r="DCR6" s="191"/>
      <c r="DCT6" s="191"/>
      <c r="DCU6" s="191"/>
      <c r="DCV6" s="191"/>
      <c r="DCX6" s="191"/>
      <c r="DCY6" s="191"/>
      <c r="DCZ6" s="191"/>
      <c r="DDB6" s="191"/>
      <c r="DDC6" s="191"/>
      <c r="DDD6" s="191"/>
      <c r="DDF6" s="191"/>
      <c r="DDG6" s="191"/>
      <c r="DDH6" s="191"/>
      <c r="DDJ6" s="191"/>
      <c r="DDK6" s="191"/>
      <c r="DDL6" s="191"/>
      <c r="DDN6" s="191"/>
      <c r="DDO6" s="191"/>
      <c r="DDP6" s="191"/>
      <c r="DDR6" s="191"/>
      <c r="DDS6" s="191"/>
      <c r="DDT6" s="191"/>
      <c r="DDV6" s="191"/>
      <c r="DDW6" s="191"/>
      <c r="DDX6" s="191"/>
      <c r="DDZ6" s="191"/>
      <c r="DEA6" s="191"/>
      <c r="DEB6" s="191"/>
      <c r="DED6" s="191"/>
      <c r="DEE6" s="191"/>
      <c r="DEF6" s="191"/>
      <c r="DEH6" s="191"/>
      <c r="DEI6" s="191"/>
      <c r="DEJ6" s="191"/>
      <c r="DEL6" s="191"/>
      <c r="DEM6" s="191"/>
      <c r="DEN6" s="191"/>
      <c r="DEP6" s="191"/>
      <c r="DEQ6" s="191"/>
      <c r="DER6" s="191"/>
      <c r="DET6" s="191"/>
      <c r="DEU6" s="191"/>
      <c r="DEV6" s="191"/>
      <c r="DEX6" s="191"/>
      <c r="DEY6" s="191"/>
      <c r="DEZ6" s="191"/>
      <c r="DFB6" s="191"/>
      <c r="DFC6" s="191"/>
      <c r="DFD6" s="191"/>
      <c r="DFF6" s="191"/>
      <c r="DFG6" s="191"/>
      <c r="DFH6" s="191"/>
      <c r="DFJ6" s="191"/>
      <c r="DFK6" s="191"/>
      <c r="DFL6" s="191"/>
      <c r="DFN6" s="191"/>
      <c r="DFO6" s="191"/>
      <c r="DFP6" s="191"/>
      <c r="DFR6" s="191"/>
      <c r="DFS6" s="191"/>
      <c r="DFT6" s="191"/>
      <c r="DFV6" s="191"/>
      <c r="DFW6" s="191"/>
      <c r="DFX6" s="191"/>
      <c r="DFZ6" s="191"/>
      <c r="DGA6" s="191"/>
      <c r="DGB6" s="191"/>
      <c r="DGD6" s="191"/>
      <c r="DGE6" s="191"/>
      <c r="DGF6" s="191"/>
      <c r="DGH6" s="191"/>
      <c r="DGI6" s="191"/>
      <c r="DGJ6" s="191"/>
      <c r="DGL6" s="191"/>
      <c r="DGM6" s="191"/>
      <c r="DGN6" s="191"/>
      <c r="DGP6" s="191"/>
      <c r="DGQ6" s="191"/>
      <c r="DGR6" s="191"/>
      <c r="DGT6" s="191"/>
      <c r="DGU6" s="191"/>
      <c r="DGV6" s="191"/>
      <c r="DGX6" s="191"/>
      <c r="DGY6" s="191"/>
      <c r="DGZ6" s="191"/>
      <c r="DHB6" s="191"/>
      <c r="DHC6" s="191"/>
      <c r="DHD6" s="191"/>
      <c r="DHF6" s="191"/>
      <c r="DHG6" s="191"/>
      <c r="DHH6" s="191"/>
      <c r="DHJ6" s="191"/>
      <c r="DHK6" s="191"/>
      <c r="DHL6" s="191"/>
      <c r="DHN6" s="191"/>
      <c r="DHO6" s="191"/>
      <c r="DHP6" s="191"/>
      <c r="DHR6" s="191"/>
      <c r="DHS6" s="191"/>
      <c r="DHT6" s="191"/>
      <c r="DHV6" s="191"/>
      <c r="DHW6" s="191"/>
      <c r="DHX6" s="191"/>
      <c r="DHZ6" s="191"/>
      <c r="DIA6" s="191"/>
      <c r="DIB6" s="191"/>
      <c r="DID6" s="191"/>
      <c r="DIE6" s="191"/>
      <c r="DIF6" s="191"/>
      <c r="DIH6" s="191"/>
      <c r="DII6" s="191"/>
      <c r="DIJ6" s="191"/>
      <c r="DIL6" s="191"/>
      <c r="DIM6" s="191"/>
      <c r="DIN6" s="191"/>
      <c r="DIP6" s="191"/>
      <c r="DIQ6" s="191"/>
      <c r="DIR6" s="191"/>
      <c r="DIT6" s="191"/>
      <c r="DIU6" s="191"/>
      <c r="DIV6" s="191"/>
      <c r="DIX6" s="191"/>
      <c r="DIY6" s="191"/>
      <c r="DIZ6" s="191"/>
      <c r="DJB6" s="191"/>
      <c r="DJC6" s="191"/>
      <c r="DJD6" s="191"/>
      <c r="DJF6" s="191"/>
      <c r="DJG6" s="191"/>
      <c r="DJH6" s="191"/>
      <c r="DJJ6" s="191"/>
      <c r="DJK6" s="191"/>
      <c r="DJL6" s="191"/>
      <c r="DJN6" s="191"/>
      <c r="DJO6" s="191"/>
      <c r="DJP6" s="191"/>
      <c r="DJR6" s="191"/>
      <c r="DJS6" s="191"/>
      <c r="DJT6" s="191"/>
      <c r="DJV6" s="191"/>
      <c r="DJW6" s="191"/>
      <c r="DJX6" s="191"/>
      <c r="DJZ6" s="191"/>
      <c r="DKA6" s="191"/>
      <c r="DKB6" s="191"/>
      <c r="DKD6" s="191"/>
      <c r="DKE6" s="191"/>
      <c r="DKF6" s="191"/>
      <c r="DKH6" s="191"/>
      <c r="DKI6" s="191"/>
      <c r="DKJ6" s="191"/>
      <c r="DKL6" s="191"/>
      <c r="DKM6" s="191"/>
      <c r="DKN6" s="191"/>
      <c r="DKP6" s="191"/>
      <c r="DKQ6" s="191"/>
      <c r="DKR6" s="191"/>
      <c r="DKT6" s="191"/>
      <c r="DKU6" s="191"/>
      <c r="DKV6" s="191"/>
      <c r="DKX6" s="191"/>
      <c r="DKY6" s="191"/>
      <c r="DKZ6" s="191"/>
      <c r="DLB6" s="191"/>
      <c r="DLC6" s="191"/>
      <c r="DLD6" s="191"/>
      <c r="DLF6" s="191"/>
      <c r="DLG6" s="191"/>
      <c r="DLH6" s="191"/>
      <c r="DLJ6" s="191"/>
      <c r="DLK6" s="191"/>
      <c r="DLL6" s="191"/>
      <c r="DLN6" s="191"/>
      <c r="DLO6" s="191"/>
      <c r="DLP6" s="191"/>
      <c r="DLR6" s="191"/>
      <c r="DLS6" s="191"/>
      <c r="DLT6" s="191"/>
      <c r="DLV6" s="191"/>
      <c r="DLW6" s="191"/>
      <c r="DLX6" s="191"/>
      <c r="DLZ6" s="191"/>
      <c r="DMA6" s="191"/>
      <c r="DMB6" s="191"/>
      <c r="DMD6" s="191"/>
      <c r="DME6" s="191"/>
      <c r="DMF6" s="191"/>
      <c r="DMH6" s="191"/>
      <c r="DMI6" s="191"/>
      <c r="DMJ6" s="191"/>
      <c r="DML6" s="191"/>
      <c r="DMM6" s="191"/>
      <c r="DMN6" s="191"/>
      <c r="DMP6" s="191"/>
      <c r="DMQ6" s="191"/>
      <c r="DMR6" s="191"/>
      <c r="DMT6" s="191"/>
      <c r="DMU6" s="191"/>
      <c r="DMV6" s="191"/>
      <c r="DMX6" s="191"/>
      <c r="DMY6" s="191"/>
      <c r="DMZ6" s="191"/>
      <c r="DNB6" s="191"/>
      <c r="DNC6" s="191"/>
      <c r="DND6" s="191"/>
      <c r="DNF6" s="191"/>
      <c r="DNG6" s="191"/>
      <c r="DNH6" s="191"/>
      <c r="DNJ6" s="191"/>
      <c r="DNK6" s="191"/>
      <c r="DNL6" s="191"/>
      <c r="DNN6" s="191"/>
      <c r="DNO6" s="191"/>
      <c r="DNP6" s="191"/>
      <c r="DNR6" s="191"/>
      <c r="DNS6" s="191"/>
      <c r="DNT6" s="191"/>
      <c r="DNV6" s="191"/>
      <c r="DNW6" s="191"/>
      <c r="DNX6" s="191"/>
      <c r="DNZ6" s="191"/>
      <c r="DOA6" s="191"/>
      <c r="DOB6" s="191"/>
      <c r="DOD6" s="191"/>
      <c r="DOE6" s="191"/>
      <c r="DOF6" s="191"/>
      <c r="DOH6" s="191"/>
      <c r="DOI6" s="191"/>
      <c r="DOJ6" s="191"/>
      <c r="DOL6" s="191"/>
      <c r="DOM6" s="191"/>
      <c r="DON6" s="191"/>
      <c r="DOP6" s="191"/>
      <c r="DOQ6" s="191"/>
      <c r="DOR6" s="191"/>
      <c r="DOT6" s="191"/>
      <c r="DOU6" s="191"/>
      <c r="DOV6" s="191"/>
      <c r="DOX6" s="191"/>
      <c r="DOY6" s="191"/>
      <c r="DOZ6" s="191"/>
      <c r="DPB6" s="191"/>
      <c r="DPC6" s="191"/>
      <c r="DPD6" s="191"/>
      <c r="DPF6" s="191"/>
      <c r="DPG6" s="191"/>
      <c r="DPH6" s="191"/>
      <c r="DPJ6" s="191"/>
      <c r="DPK6" s="191"/>
      <c r="DPL6" s="191"/>
      <c r="DPN6" s="191"/>
      <c r="DPO6" s="191"/>
      <c r="DPP6" s="191"/>
      <c r="DPR6" s="191"/>
      <c r="DPS6" s="191"/>
      <c r="DPT6" s="191"/>
      <c r="DPV6" s="191"/>
      <c r="DPW6" s="191"/>
      <c r="DPX6" s="191"/>
      <c r="DPZ6" s="191"/>
      <c r="DQA6" s="191"/>
      <c r="DQB6" s="191"/>
      <c r="DQD6" s="191"/>
      <c r="DQE6" s="191"/>
      <c r="DQF6" s="191"/>
      <c r="DQH6" s="191"/>
      <c r="DQI6" s="191"/>
      <c r="DQJ6" s="191"/>
      <c r="DQL6" s="191"/>
      <c r="DQM6" s="191"/>
      <c r="DQN6" s="191"/>
      <c r="DQP6" s="191"/>
      <c r="DQQ6" s="191"/>
      <c r="DQR6" s="191"/>
      <c r="DQT6" s="191"/>
      <c r="DQU6" s="191"/>
      <c r="DQV6" s="191"/>
      <c r="DQX6" s="191"/>
      <c r="DQY6" s="191"/>
      <c r="DQZ6" s="191"/>
      <c r="DRB6" s="191"/>
      <c r="DRC6" s="191"/>
      <c r="DRD6" s="191"/>
      <c r="DRF6" s="191"/>
      <c r="DRG6" s="191"/>
      <c r="DRH6" s="191"/>
      <c r="DRJ6" s="191"/>
      <c r="DRK6" s="191"/>
      <c r="DRL6" s="191"/>
      <c r="DRN6" s="191"/>
      <c r="DRO6" s="191"/>
      <c r="DRP6" s="191"/>
      <c r="DRR6" s="191"/>
      <c r="DRS6" s="191"/>
      <c r="DRT6" s="191"/>
      <c r="DRV6" s="191"/>
      <c r="DRW6" s="191"/>
      <c r="DRX6" s="191"/>
      <c r="DRZ6" s="191"/>
      <c r="DSA6" s="191"/>
      <c r="DSB6" s="191"/>
      <c r="DSD6" s="191"/>
      <c r="DSE6" s="191"/>
      <c r="DSF6" s="191"/>
      <c r="DSH6" s="191"/>
      <c r="DSI6" s="191"/>
      <c r="DSJ6" s="191"/>
      <c r="DSL6" s="191"/>
      <c r="DSM6" s="191"/>
      <c r="DSN6" s="191"/>
      <c r="DSP6" s="191"/>
      <c r="DSQ6" s="191"/>
      <c r="DSR6" s="191"/>
      <c r="DST6" s="191"/>
      <c r="DSU6" s="191"/>
      <c r="DSV6" s="191"/>
      <c r="DSX6" s="191"/>
      <c r="DSY6" s="191"/>
      <c r="DSZ6" s="191"/>
      <c r="DTB6" s="191"/>
      <c r="DTC6" s="191"/>
      <c r="DTD6" s="191"/>
      <c r="DTF6" s="191"/>
      <c r="DTG6" s="191"/>
      <c r="DTH6" s="191"/>
      <c r="DTJ6" s="191"/>
      <c r="DTK6" s="191"/>
      <c r="DTL6" s="191"/>
      <c r="DTN6" s="191"/>
      <c r="DTO6" s="191"/>
      <c r="DTP6" s="191"/>
      <c r="DTR6" s="191"/>
      <c r="DTS6" s="191"/>
      <c r="DTT6" s="191"/>
      <c r="DTV6" s="191"/>
      <c r="DTW6" s="191"/>
      <c r="DTX6" s="191"/>
      <c r="DTZ6" s="191"/>
      <c r="DUA6" s="191"/>
      <c r="DUB6" s="191"/>
      <c r="DUD6" s="191"/>
      <c r="DUE6" s="191"/>
      <c r="DUF6" s="191"/>
      <c r="DUH6" s="191"/>
      <c r="DUI6" s="191"/>
      <c r="DUJ6" s="191"/>
      <c r="DUL6" s="191"/>
      <c r="DUM6" s="191"/>
      <c r="DUN6" s="191"/>
      <c r="DUP6" s="191"/>
      <c r="DUQ6" s="191"/>
      <c r="DUR6" s="191"/>
      <c r="DUT6" s="191"/>
      <c r="DUU6" s="191"/>
      <c r="DUV6" s="191"/>
      <c r="DUX6" s="191"/>
      <c r="DUY6" s="191"/>
      <c r="DUZ6" s="191"/>
      <c r="DVB6" s="191"/>
      <c r="DVC6" s="191"/>
      <c r="DVD6" s="191"/>
      <c r="DVF6" s="191"/>
      <c r="DVG6" s="191"/>
      <c r="DVH6" s="191"/>
      <c r="DVJ6" s="191"/>
      <c r="DVK6" s="191"/>
      <c r="DVL6" s="191"/>
      <c r="DVN6" s="191"/>
      <c r="DVO6" s="191"/>
      <c r="DVP6" s="191"/>
      <c r="DVR6" s="191"/>
      <c r="DVS6" s="191"/>
      <c r="DVT6" s="191"/>
      <c r="DVV6" s="191"/>
      <c r="DVW6" s="191"/>
      <c r="DVX6" s="191"/>
      <c r="DVZ6" s="191"/>
      <c r="DWA6" s="191"/>
      <c r="DWB6" s="191"/>
      <c r="DWD6" s="191"/>
      <c r="DWE6" s="191"/>
      <c r="DWF6" s="191"/>
      <c r="DWH6" s="191"/>
      <c r="DWI6" s="191"/>
      <c r="DWJ6" s="191"/>
      <c r="DWL6" s="191"/>
      <c r="DWM6" s="191"/>
      <c r="DWN6" s="191"/>
      <c r="DWP6" s="191"/>
      <c r="DWQ6" s="191"/>
      <c r="DWR6" s="191"/>
      <c r="DWT6" s="191"/>
      <c r="DWU6" s="191"/>
      <c r="DWV6" s="191"/>
      <c r="DWX6" s="191"/>
      <c r="DWY6" s="191"/>
      <c r="DWZ6" s="191"/>
      <c r="DXB6" s="191"/>
      <c r="DXC6" s="191"/>
      <c r="DXD6" s="191"/>
      <c r="DXF6" s="191"/>
      <c r="DXG6" s="191"/>
      <c r="DXH6" s="191"/>
      <c r="DXJ6" s="191"/>
      <c r="DXK6" s="191"/>
      <c r="DXL6" s="191"/>
      <c r="DXN6" s="191"/>
      <c r="DXO6" s="191"/>
      <c r="DXP6" s="191"/>
      <c r="DXR6" s="191"/>
      <c r="DXS6" s="191"/>
      <c r="DXT6" s="191"/>
      <c r="DXV6" s="191"/>
      <c r="DXW6" s="191"/>
      <c r="DXX6" s="191"/>
      <c r="DXZ6" s="191"/>
      <c r="DYA6" s="191"/>
      <c r="DYB6" s="191"/>
      <c r="DYD6" s="191"/>
      <c r="DYE6" s="191"/>
      <c r="DYF6" s="191"/>
      <c r="DYH6" s="191"/>
      <c r="DYI6" s="191"/>
      <c r="DYJ6" s="191"/>
      <c r="DYL6" s="191"/>
      <c r="DYM6" s="191"/>
      <c r="DYN6" s="191"/>
      <c r="DYP6" s="191"/>
      <c r="DYQ6" s="191"/>
      <c r="DYR6" s="191"/>
      <c r="DYT6" s="191"/>
      <c r="DYU6" s="191"/>
      <c r="DYV6" s="191"/>
      <c r="DYX6" s="191"/>
      <c r="DYY6" s="191"/>
      <c r="DYZ6" s="191"/>
      <c r="DZB6" s="191"/>
      <c r="DZC6" s="191"/>
      <c r="DZD6" s="191"/>
      <c r="DZF6" s="191"/>
      <c r="DZG6" s="191"/>
      <c r="DZH6" s="191"/>
      <c r="DZJ6" s="191"/>
      <c r="DZK6" s="191"/>
      <c r="DZL6" s="191"/>
      <c r="DZN6" s="191"/>
      <c r="DZO6" s="191"/>
      <c r="DZP6" s="191"/>
      <c r="DZR6" s="191"/>
      <c r="DZS6" s="191"/>
      <c r="DZT6" s="191"/>
      <c r="DZV6" s="191"/>
      <c r="DZW6" s="191"/>
      <c r="DZX6" s="191"/>
      <c r="DZZ6" s="191"/>
      <c r="EAA6" s="191"/>
      <c r="EAB6" s="191"/>
      <c r="EAD6" s="191"/>
      <c r="EAE6" s="191"/>
      <c r="EAF6" s="191"/>
      <c r="EAH6" s="191"/>
      <c r="EAI6" s="191"/>
      <c r="EAJ6" s="191"/>
      <c r="EAL6" s="191"/>
      <c r="EAM6" s="191"/>
      <c r="EAN6" s="191"/>
      <c r="EAP6" s="191"/>
      <c r="EAQ6" s="191"/>
      <c r="EAR6" s="191"/>
      <c r="EAT6" s="191"/>
      <c r="EAU6" s="191"/>
      <c r="EAV6" s="191"/>
      <c r="EAX6" s="191"/>
      <c r="EAY6" s="191"/>
      <c r="EAZ6" s="191"/>
      <c r="EBB6" s="191"/>
      <c r="EBC6" s="191"/>
      <c r="EBD6" s="191"/>
      <c r="EBF6" s="191"/>
      <c r="EBG6" s="191"/>
      <c r="EBH6" s="191"/>
      <c r="EBJ6" s="191"/>
      <c r="EBK6" s="191"/>
      <c r="EBL6" s="191"/>
      <c r="EBN6" s="191"/>
      <c r="EBO6" s="191"/>
      <c r="EBP6" s="191"/>
      <c r="EBR6" s="191"/>
      <c r="EBS6" s="191"/>
      <c r="EBT6" s="191"/>
      <c r="EBV6" s="191"/>
      <c r="EBW6" s="191"/>
      <c r="EBX6" s="191"/>
      <c r="EBZ6" s="191"/>
      <c r="ECA6" s="191"/>
      <c r="ECB6" s="191"/>
      <c r="ECD6" s="191"/>
      <c r="ECE6" s="191"/>
      <c r="ECF6" s="191"/>
      <c r="ECH6" s="191"/>
      <c r="ECI6" s="191"/>
      <c r="ECJ6" s="191"/>
      <c r="ECL6" s="191"/>
      <c r="ECM6" s="191"/>
      <c r="ECN6" s="191"/>
      <c r="ECP6" s="191"/>
      <c r="ECQ6" s="191"/>
      <c r="ECR6" s="191"/>
      <c r="ECT6" s="191"/>
      <c r="ECU6" s="191"/>
      <c r="ECV6" s="191"/>
      <c r="ECX6" s="191"/>
      <c r="ECY6" s="191"/>
      <c r="ECZ6" s="191"/>
      <c r="EDB6" s="191"/>
      <c r="EDC6" s="191"/>
      <c r="EDD6" s="191"/>
      <c r="EDF6" s="191"/>
      <c r="EDG6" s="191"/>
      <c r="EDH6" s="191"/>
      <c r="EDJ6" s="191"/>
      <c r="EDK6" s="191"/>
      <c r="EDL6" s="191"/>
      <c r="EDN6" s="191"/>
      <c r="EDO6" s="191"/>
      <c r="EDP6" s="191"/>
      <c r="EDR6" s="191"/>
      <c r="EDS6" s="191"/>
      <c r="EDT6" s="191"/>
      <c r="EDV6" s="191"/>
      <c r="EDW6" s="191"/>
      <c r="EDX6" s="191"/>
      <c r="EDZ6" s="191"/>
      <c r="EEA6" s="191"/>
      <c r="EEB6" s="191"/>
      <c r="EED6" s="191"/>
      <c r="EEE6" s="191"/>
      <c r="EEF6" s="191"/>
      <c r="EEH6" s="191"/>
      <c r="EEI6" s="191"/>
      <c r="EEJ6" s="191"/>
      <c r="EEL6" s="191"/>
      <c r="EEM6" s="191"/>
      <c r="EEN6" s="191"/>
      <c r="EEP6" s="191"/>
      <c r="EEQ6" s="191"/>
      <c r="EER6" s="191"/>
      <c r="EET6" s="191"/>
      <c r="EEU6" s="191"/>
      <c r="EEV6" s="191"/>
      <c r="EEX6" s="191"/>
      <c r="EEY6" s="191"/>
      <c r="EEZ6" s="191"/>
      <c r="EFB6" s="191"/>
      <c r="EFC6" s="191"/>
      <c r="EFD6" s="191"/>
      <c r="EFF6" s="191"/>
      <c r="EFG6" s="191"/>
      <c r="EFH6" s="191"/>
      <c r="EFJ6" s="191"/>
      <c r="EFK6" s="191"/>
      <c r="EFL6" s="191"/>
      <c r="EFN6" s="191"/>
      <c r="EFO6" s="191"/>
      <c r="EFP6" s="191"/>
      <c r="EFR6" s="191"/>
      <c r="EFS6" s="191"/>
      <c r="EFT6" s="191"/>
      <c r="EFV6" s="191"/>
      <c r="EFW6" s="191"/>
      <c r="EFX6" s="191"/>
      <c r="EFZ6" s="191"/>
      <c r="EGA6" s="191"/>
      <c r="EGB6" s="191"/>
      <c r="EGD6" s="191"/>
      <c r="EGE6" s="191"/>
      <c r="EGF6" s="191"/>
      <c r="EGH6" s="191"/>
      <c r="EGI6" s="191"/>
      <c r="EGJ6" s="191"/>
      <c r="EGL6" s="191"/>
      <c r="EGM6" s="191"/>
      <c r="EGN6" s="191"/>
      <c r="EGP6" s="191"/>
      <c r="EGQ6" s="191"/>
      <c r="EGR6" s="191"/>
      <c r="EGT6" s="191"/>
      <c r="EGU6" s="191"/>
      <c r="EGV6" s="191"/>
      <c r="EGX6" s="191"/>
      <c r="EGY6" s="191"/>
      <c r="EGZ6" s="191"/>
      <c r="EHB6" s="191"/>
      <c r="EHC6" s="191"/>
      <c r="EHD6" s="191"/>
      <c r="EHF6" s="191"/>
      <c r="EHG6" s="191"/>
      <c r="EHH6" s="191"/>
      <c r="EHJ6" s="191"/>
      <c r="EHK6" s="191"/>
      <c r="EHL6" s="191"/>
      <c r="EHN6" s="191"/>
      <c r="EHO6" s="191"/>
      <c r="EHP6" s="191"/>
      <c r="EHR6" s="191"/>
      <c r="EHS6" s="191"/>
      <c r="EHT6" s="191"/>
      <c r="EHV6" s="191"/>
      <c r="EHW6" s="191"/>
      <c r="EHX6" s="191"/>
      <c r="EHZ6" s="191"/>
      <c r="EIA6" s="191"/>
      <c r="EIB6" s="191"/>
      <c r="EID6" s="191"/>
      <c r="EIE6" s="191"/>
      <c r="EIF6" s="191"/>
      <c r="EIH6" s="191"/>
      <c r="EII6" s="191"/>
      <c r="EIJ6" s="191"/>
      <c r="EIL6" s="191"/>
      <c r="EIM6" s="191"/>
      <c r="EIN6" s="191"/>
      <c r="EIP6" s="191"/>
      <c r="EIQ6" s="191"/>
      <c r="EIR6" s="191"/>
      <c r="EIT6" s="191"/>
      <c r="EIU6" s="191"/>
      <c r="EIV6" s="191"/>
      <c r="EIX6" s="191"/>
      <c r="EIY6" s="191"/>
      <c r="EIZ6" s="191"/>
      <c r="EJB6" s="191"/>
      <c r="EJC6" s="191"/>
      <c r="EJD6" s="191"/>
      <c r="EJF6" s="191"/>
      <c r="EJG6" s="191"/>
      <c r="EJH6" s="191"/>
      <c r="EJJ6" s="191"/>
      <c r="EJK6" s="191"/>
      <c r="EJL6" s="191"/>
      <c r="EJN6" s="191"/>
      <c r="EJO6" s="191"/>
      <c r="EJP6" s="191"/>
      <c r="EJR6" s="191"/>
      <c r="EJS6" s="191"/>
      <c r="EJT6" s="191"/>
      <c r="EJV6" s="191"/>
      <c r="EJW6" s="191"/>
      <c r="EJX6" s="191"/>
      <c r="EJZ6" s="191"/>
      <c r="EKA6" s="191"/>
      <c r="EKB6" s="191"/>
      <c r="EKD6" s="191"/>
      <c r="EKE6" s="191"/>
      <c r="EKF6" s="191"/>
      <c r="EKH6" s="191"/>
      <c r="EKI6" s="191"/>
      <c r="EKJ6" s="191"/>
      <c r="EKL6" s="191"/>
      <c r="EKM6" s="191"/>
      <c r="EKN6" s="191"/>
      <c r="EKP6" s="191"/>
      <c r="EKQ6" s="191"/>
      <c r="EKR6" s="191"/>
      <c r="EKT6" s="191"/>
      <c r="EKU6" s="191"/>
      <c r="EKV6" s="191"/>
      <c r="EKX6" s="191"/>
      <c r="EKY6" s="191"/>
      <c r="EKZ6" s="191"/>
      <c r="ELB6" s="191"/>
      <c r="ELC6" s="191"/>
      <c r="ELD6" s="191"/>
      <c r="ELF6" s="191"/>
      <c r="ELG6" s="191"/>
      <c r="ELH6" s="191"/>
      <c r="ELJ6" s="191"/>
      <c r="ELK6" s="191"/>
      <c r="ELL6" s="191"/>
      <c r="ELN6" s="191"/>
      <c r="ELO6" s="191"/>
      <c r="ELP6" s="191"/>
      <c r="ELR6" s="191"/>
      <c r="ELS6" s="191"/>
      <c r="ELT6" s="191"/>
      <c r="ELV6" s="191"/>
      <c r="ELW6" s="191"/>
      <c r="ELX6" s="191"/>
      <c r="ELZ6" s="191"/>
      <c r="EMA6" s="191"/>
      <c r="EMB6" s="191"/>
      <c r="EMD6" s="191"/>
      <c r="EME6" s="191"/>
      <c r="EMF6" s="191"/>
      <c r="EMH6" s="191"/>
      <c r="EMI6" s="191"/>
      <c r="EMJ6" s="191"/>
      <c r="EML6" s="191"/>
      <c r="EMM6" s="191"/>
      <c r="EMN6" s="191"/>
      <c r="EMP6" s="191"/>
      <c r="EMQ6" s="191"/>
      <c r="EMR6" s="191"/>
      <c r="EMT6" s="191"/>
      <c r="EMU6" s="191"/>
      <c r="EMV6" s="191"/>
      <c r="EMX6" s="191"/>
      <c r="EMY6" s="191"/>
      <c r="EMZ6" s="191"/>
      <c r="ENB6" s="191"/>
      <c r="ENC6" s="191"/>
      <c r="END6" s="191"/>
      <c r="ENF6" s="191"/>
      <c r="ENG6" s="191"/>
      <c r="ENH6" s="191"/>
      <c r="ENJ6" s="191"/>
      <c r="ENK6" s="191"/>
      <c r="ENL6" s="191"/>
      <c r="ENN6" s="191"/>
      <c r="ENO6" s="191"/>
      <c r="ENP6" s="191"/>
      <c r="ENR6" s="191"/>
      <c r="ENS6" s="191"/>
      <c r="ENT6" s="191"/>
      <c r="ENV6" s="191"/>
      <c r="ENW6" s="191"/>
      <c r="ENX6" s="191"/>
      <c r="ENZ6" s="191"/>
      <c r="EOA6" s="191"/>
      <c r="EOB6" s="191"/>
      <c r="EOD6" s="191"/>
      <c r="EOE6" s="191"/>
      <c r="EOF6" s="191"/>
      <c r="EOH6" s="191"/>
      <c r="EOI6" s="191"/>
      <c r="EOJ6" s="191"/>
      <c r="EOL6" s="191"/>
      <c r="EOM6" s="191"/>
      <c r="EON6" s="191"/>
      <c r="EOP6" s="191"/>
      <c r="EOQ6" s="191"/>
      <c r="EOR6" s="191"/>
      <c r="EOT6" s="191"/>
      <c r="EOU6" s="191"/>
      <c r="EOV6" s="191"/>
      <c r="EOX6" s="191"/>
      <c r="EOY6" s="191"/>
      <c r="EOZ6" s="191"/>
      <c r="EPB6" s="191"/>
      <c r="EPC6" s="191"/>
      <c r="EPD6" s="191"/>
      <c r="EPF6" s="191"/>
      <c r="EPG6" s="191"/>
      <c r="EPH6" s="191"/>
      <c r="EPJ6" s="191"/>
      <c r="EPK6" s="191"/>
      <c r="EPL6" s="191"/>
      <c r="EPN6" s="191"/>
      <c r="EPO6" s="191"/>
      <c r="EPP6" s="191"/>
      <c r="EPR6" s="191"/>
      <c r="EPS6" s="191"/>
      <c r="EPT6" s="191"/>
      <c r="EPV6" s="191"/>
      <c r="EPW6" s="191"/>
      <c r="EPX6" s="191"/>
      <c r="EPZ6" s="191"/>
      <c r="EQA6" s="191"/>
      <c r="EQB6" s="191"/>
      <c r="EQD6" s="191"/>
      <c r="EQE6" s="191"/>
      <c r="EQF6" s="191"/>
      <c r="EQH6" s="191"/>
      <c r="EQI6" s="191"/>
      <c r="EQJ6" s="191"/>
      <c r="EQL6" s="191"/>
      <c r="EQM6" s="191"/>
      <c r="EQN6" s="191"/>
      <c r="EQP6" s="191"/>
      <c r="EQQ6" s="191"/>
      <c r="EQR6" s="191"/>
      <c r="EQT6" s="191"/>
      <c r="EQU6" s="191"/>
      <c r="EQV6" s="191"/>
      <c r="EQX6" s="191"/>
      <c r="EQY6" s="191"/>
      <c r="EQZ6" s="191"/>
      <c r="ERB6" s="191"/>
      <c r="ERC6" s="191"/>
      <c r="ERD6" s="191"/>
      <c r="ERF6" s="191"/>
      <c r="ERG6" s="191"/>
      <c r="ERH6" s="191"/>
      <c r="ERJ6" s="191"/>
      <c r="ERK6" s="191"/>
      <c r="ERL6" s="191"/>
      <c r="ERN6" s="191"/>
      <c r="ERO6" s="191"/>
      <c r="ERP6" s="191"/>
      <c r="ERR6" s="191"/>
      <c r="ERS6" s="191"/>
      <c r="ERT6" s="191"/>
      <c r="ERV6" s="191"/>
      <c r="ERW6" s="191"/>
      <c r="ERX6" s="191"/>
      <c r="ERZ6" s="191"/>
      <c r="ESA6" s="191"/>
      <c r="ESB6" s="191"/>
      <c r="ESD6" s="191"/>
      <c r="ESE6" s="191"/>
      <c r="ESF6" s="191"/>
      <c r="ESH6" s="191"/>
      <c r="ESI6" s="191"/>
      <c r="ESJ6" s="191"/>
      <c r="ESL6" s="191"/>
      <c r="ESM6" s="191"/>
      <c r="ESN6" s="191"/>
      <c r="ESP6" s="191"/>
      <c r="ESQ6" s="191"/>
      <c r="ESR6" s="191"/>
      <c r="EST6" s="191"/>
      <c r="ESU6" s="191"/>
      <c r="ESV6" s="191"/>
      <c r="ESX6" s="191"/>
      <c r="ESY6" s="191"/>
      <c r="ESZ6" s="191"/>
      <c r="ETB6" s="191"/>
      <c r="ETC6" s="191"/>
      <c r="ETD6" s="191"/>
      <c r="ETF6" s="191"/>
      <c r="ETG6" s="191"/>
      <c r="ETH6" s="191"/>
      <c r="ETJ6" s="191"/>
      <c r="ETK6" s="191"/>
      <c r="ETL6" s="191"/>
      <c r="ETN6" s="191"/>
      <c r="ETO6" s="191"/>
      <c r="ETP6" s="191"/>
      <c r="ETR6" s="191"/>
      <c r="ETS6" s="191"/>
      <c r="ETT6" s="191"/>
      <c r="ETV6" s="191"/>
      <c r="ETW6" s="191"/>
      <c r="ETX6" s="191"/>
      <c r="ETZ6" s="191"/>
      <c r="EUA6" s="191"/>
      <c r="EUB6" s="191"/>
      <c r="EUD6" s="191"/>
      <c r="EUE6" s="191"/>
      <c r="EUF6" s="191"/>
      <c r="EUH6" s="191"/>
      <c r="EUI6" s="191"/>
      <c r="EUJ6" s="191"/>
      <c r="EUL6" s="191"/>
      <c r="EUM6" s="191"/>
      <c r="EUN6" s="191"/>
      <c r="EUP6" s="191"/>
      <c r="EUQ6" s="191"/>
      <c r="EUR6" s="191"/>
      <c r="EUT6" s="191"/>
      <c r="EUU6" s="191"/>
      <c r="EUV6" s="191"/>
      <c r="EUX6" s="191"/>
      <c r="EUY6" s="191"/>
      <c r="EUZ6" s="191"/>
      <c r="EVB6" s="191"/>
      <c r="EVC6" s="191"/>
      <c r="EVD6" s="191"/>
      <c r="EVF6" s="191"/>
      <c r="EVG6" s="191"/>
      <c r="EVH6" s="191"/>
      <c r="EVJ6" s="191"/>
      <c r="EVK6" s="191"/>
      <c r="EVL6" s="191"/>
      <c r="EVN6" s="191"/>
      <c r="EVO6" s="191"/>
      <c r="EVP6" s="191"/>
      <c r="EVR6" s="191"/>
      <c r="EVS6" s="191"/>
      <c r="EVT6" s="191"/>
      <c r="EVV6" s="191"/>
      <c r="EVW6" s="191"/>
      <c r="EVX6" s="191"/>
      <c r="EVZ6" s="191"/>
      <c r="EWA6" s="191"/>
      <c r="EWB6" s="191"/>
      <c r="EWD6" s="191"/>
      <c r="EWE6" s="191"/>
      <c r="EWF6" s="191"/>
      <c r="EWH6" s="191"/>
      <c r="EWI6" s="191"/>
      <c r="EWJ6" s="191"/>
      <c r="EWL6" s="191"/>
      <c r="EWM6" s="191"/>
      <c r="EWN6" s="191"/>
      <c r="EWP6" s="191"/>
      <c r="EWQ6" s="191"/>
      <c r="EWR6" s="191"/>
      <c r="EWT6" s="191"/>
      <c r="EWU6" s="191"/>
      <c r="EWV6" s="191"/>
      <c r="EWX6" s="191"/>
      <c r="EWY6" s="191"/>
      <c r="EWZ6" s="191"/>
      <c r="EXB6" s="191"/>
      <c r="EXC6" s="191"/>
      <c r="EXD6" s="191"/>
      <c r="EXF6" s="191"/>
      <c r="EXG6" s="191"/>
      <c r="EXH6" s="191"/>
      <c r="EXJ6" s="191"/>
      <c r="EXK6" s="191"/>
      <c r="EXL6" s="191"/>
      <c r="EXN6" s="191"/>
      <c r="EXO6" s="191"/>
      <c r="EXP6" s="191"/>
      <c r="EXR6" s="191"/>
      <c r="EXS6" s="191"/>
      <c r="EXT6" s="191"/>
      <c r="EXV6" s="191"/>
      <c r="EXW6" s="191"/>
      <c r="EXX6" s="191"/>
      <c r="EXZ6" s="191"/>
      <c r="EYA6" s="191"/>
      <c r="EYB6" s="191"/>
      <c r="EYD6" s="191"/>
      <c r="EYE6" s="191"/>
      <c r="EYF6" s="191"/>
      <c r="EYH6" s="191"/>
      <c r="EYI6" s="191"/>
      <c r="EYJ6" s="191"/>
      <c r="EYL6" s="191"/>
      <c r="EYM6" s="191"/>
      <c r="EYN6" s="191"/>
      <c r="EYP6" s="191"/>
      <c r="EYQ6" s="191"/>
      <c r="EYR6" s="191"/>
      <c r="EYT6" s="191"/>
      <c r="EYU6" s="191"/>
      <c r="EYV6" s="191"/>
      <c r="EYX6" s="191"/>
      <c r="EYY6" s="191"/>
      <c r="EYZ6" s="191"/>
      <c r="EZB6" s="191"/>
      <c r="EZC6" s="191"/>
      <c r="EZD6" s="191"/>
      <c r="EZF6" s="191"/>
      <c r="EZG6" s="191"/>
      <c r="EZH6" s="191"/>
      <c r="EZJ6" s="191"/>
      <c r="EZK6" s="191"/>
      <c r="EZL6" s="191"/>
      <c r="EZN6" s="191"/>
      <c r="EZO6" s="191"/>
      <c r="EZP6" s="191"/>
      <c r="EZR6" s="191"/>
      <c r="EZS6" s="191"/>
      <c r="EZT6" s="191"/>
      <c r="EZV6" s="191"/>
      <c r="EZW6" s="191"/>
      <c r="EZX6" s="191"/>
      <c r="EZZ6" s="191"/>
      <c r="FAA6" s="191"/>
      <c r="FAB6" s="191"/>
      <c r="FAD6" s="191"/>
      <c r="FAE6" s="191"/>
      <c r="FAF6" s="191"/>
      <c r="FAH6" s="191"/>
      <c r="FAI6" s="191"/>
      <c r="FAJ6" s="191"/>
      <c r="FAL6" s="191"/>
      <c r="FAM6" s="191"/>
      <c r="FAN6" s="191"/>
      <c r="FAP6" s="191"/>
      <c r="FAQ6" s="191"/>
      <c r="FAR6" s="191"/>
      <c r="FAT6" s="191"/>
      <c r="FAU6" s="191"/>
      <c r="FAV6" s="191"/>
      <c r="FAX6" s="191"/>
      <c r="FAY6" s="191"/>
      <c r="FAZ6" s="191"/>
      <c r="FBB6" s="191"/>
      <c r="FBC6" s="191"/>
      <c r="FBD6" s="191"/>
      <c r="FBF6" s="191"/>
      <c r="FBG6" s="191"/>
      <c r="FBH6" s="191"/>
      <c r="FBJ6" s="191"/>
      <c r="FBK6" s="191"/>
      <c r="FBL6" s="191"/>
      <c r="FBN6" s="191"/>
      <c r="FBO6" s="191"/>
      <c r="FBP6" s="191"/>
      <c r="FBR6" s="191"/>
      <c r="FBS6" s="191"/>
      <c r="FBT6" s="191"/>
      <c r="FBV6" s="191"/>
      <c r="FBW6" s="191"/>
      <c r="FBX6" s="191"/>
      <c r="FBZ6" s="191"/>
      <c r="FCA6" s="191"/>
      <c r="FCB6" s="191"/>
      <c r="FCD6" s="191"/>
      <c r="FCE6" s="191"/>
      <c r="FCF6" s="191"/>
      <c r="FCH6" s="191"/>
      <c r="FCI6" s="191"/>
      <c r="FCJ6" s="191"/>
      <c r="FCL6" s="191"/>
      <c r="FCM6" s="191"/>
      <c r="FCN6" s="191"/>
      <c r="FCP6" s="191"/>
      <c r="FCQ6" s="191"/>
      <c r="FCR6" s="191"/>
      <c r="FCT6" s="191"/>
      <c r="FCU6" s="191"/>
      <c r="FCV6" s="191"/>
      <c r="FCX6" s="191"/>
      <c r="FCY6" s="191"/>
      <c r="FCZ6" s="191"/>
      <c r="FDB6" s="191"/>
      <c r="FDC6" s="191"/>
      <c r="FDD6" s="191"/>
      <c r="FDF6" s="191"/>
      <c r="FDG6" s="191"/>
      <c r="FDH6" s="191"/>
      <c r="FDJ6" s="191"/>
      <c r="FDK6" s="191"/>
      <c r="FDL6" s="191"/>
      <c r="FDN6" s="191"/>
      <c r="FDO6" s="191"/>
      <c r="FDP6" s="191"/>
      <c r="FDR6" s="191"/>
      <c r="FDS6" s="191"/>
      <c r="FDT6" s="191"/>
      <c r="FDV6" s="191"/>
      <c r="FDW6" s="191"/>
      <c r="FDX6" s="191"/>
      <c r="FDZ6" s="191"/>
      <c r="FEA6" s="191"/>
      <c r="FEB6" s="191"/>
      <c r="FED6" s="191"/>
      <c r="FEE6" s="191"/>
      <c r="FEF6" s="191"/>
      <c r="FEH6" s="191"/>
      <c r="FEI6" s="191"/>
      <c r="FEJ6" s="191"/>
      <c r="FEL6" s="191"/>
      <c r="FEM6" s="191"/>
      <c r="FEN6" s="191"/>
      <c r="FEP6" s="191"/>
      <c r="FEQ6" s="191"/>
      <c r="FER6" s="191"/>
      <c r="FET6" s="191"/>
      <c r="FEU6" s="191"/>
      <c r="FEV6" s="191"/>
      <c r="FEX6" s="191"/>
      <c r="FEY6" s="191"/>
      <c r="FEZ6" s="191"/>
      <c r="FFB6" s="191"/>
      <c r="FFC6" s="191"/>
      <c r="FFD6" s="191"/>
      <c r="FFF6" s="191"/>
      <c r="FFG6" s="191"/>
      <c r="FFH6" s="191"/>
      <c r="FFJ6" s="191"/>
      <c r="FFK6" s="191"/>
      <c r="FFL6" s="191"/>
      <c r="FFN6" s="191"/>
      <c r="FFO6" s="191"/>
      <c r="FFP6" s="191"/>
      <c r="FFR6" s="191"/>
      <c r="FFS6" s="191"/>
      <c r="FFT6" s="191"/>
      <c r="FFV6" s="191"/>
      <c r="FFW6" s="191"/>
      <c r="FFX6" s="191"/>
      <c r="FFZ6" s="191"/>
      <c r="FGA6" s="191"/>
      <c r="FGB6" s="191"/>
      <c r="FGD6" s="191"/>
      <c r="FGE6" s="191"/>
      <c r="FGF6" s="191"/>
      <c r="FGH6" s="191"/>
      <c r="FGI6" s="191"/>
      <c r="FGJ6" s="191"/>
      <c r="FGL6" s="191"/>
      <c r="FGM6" s="191"/>
      <c r="FGN6" s="191"/>
      <c r="FGP6" s="191"/>
      <c r="FGQ6" s="191"/>
      <c r="FGR6" s="191"/>
      <c r="FGT6" s="191"/>
      <c r="FGU6" s="191"/>
      <c r="FGV6" s="191"/>
      <c r="FGX6" s="191"/>
      <c r="FGY6" s="191"/>
      <c r="FGZ6" s="191"/>
      <c r="FHB6" s="191"/>
      <c r="FHC6" s="191"/>
      <c r="FHD6" s="191"/>
      <c r="FHF6" s="191"/>
      <c r="FHG6" s="191"/>
      <c r="FHH6" s="191"/>
      <c r="FHJ6" s="191"/>
      <c r="FHK6" s="191"/>
      <c r="FHL6" s="191"/>
      <c r="FHN6" s="191"/>
      <c r="FHO6" s="191"/>
      <c r="FHP6" s="191"/>
      <c r="FHR6" s="191"/>
      <c r="FHS6" s="191"/>
      <c r="FHT6" s="191"/>
      <c r="FHV6" s="191"/>
      <c r="FHW6" s="191"/>
      <c r="FHX6" s="191"/>
      <c r="FHZ6" s="191"/>
      <c r="FIA6" s="191"/>
      <c r="FIB6" s="191"/>
      <c r="FID6" s="191"/>
      <c r="FIE6" s="191"/>
      <c r="FIF6" s="191"/>
      <c r="FIH6" s="191"/>
      <c r="FII6" s="191"/>
      <c r="FIJ6" s="191"/>
      <c r="FIL6" s="191"/>
      <c r="FIM6" s="191"/>
      <c r="FIN6" s="191"/>
      <c r="FIP6" s="191"/>
      <c r="FIQ6" s="191"/>
      <c r="FIR6" s="191"/>
      <c r="FIT6" s="191"/>
      <c r="FIU6" s="191"/>
      <c r="FIV6" s="191"/>
      <c r="FIX6" s="191"/>
      <c r="FIY6" s="191"/>
      <c r="FIZ6" s="191"/>
      <c r="FJB6" s="191"/>
      <c r="FJC6" s="191"/>
      <c r="FJD6" s="191"/>
      <c r="FJF6" s="191"/>
      <c r="FJG6" s="191"/>
      <c r="FJH6" s="191"/>
      <c r="FJJ6" s="191"/>
      <c r="FJK6" s="191"/>
      <c r="FJL6" s="191"/>
      <c r="FJN6" s="191"/>
      <c r="FJO6" s="191"/>
      <c r="FJP6" s="191"/>
      <c r="FJR6" s="191"/>
      <c r="FJS6" s="191"/>
      <c r="FJT6" s="191"/>
      <c r="FJV6" s="191"/>
      <c r="FJW6" s="191"/>
      <c r="FJX6" s="191"/>
      <c r="FJZ6" s="191"/>
      <c r="FKA6" s="191"/>
      <c r="FKB6" s="191"/>
      <c r="FKD6" s="191"/>
      <c r="FKE6" s="191"/>
      <c r="FKF6" s="191"/>
      <c r="FKH6" s="191"/>
      <c r="FKI6" s="191"/>
      <c r="FKJ6" s="191"/>
      <c r="FKL6" s="191"/>
      <c r="FKM6" s="191"/>
      <c r="FKN6" s="191"/>
      <c r="FKP6" s="191"/>
      <c r="FKQ6" s="191"/>
      <c r="FKR6" s="191"/>
      <c r="FKT6" s="191"/>
      <c r="FKU6" s="191"/>
      <c r="FKV6" s="191"/>
      <c r="FKX6" s="191"/>
      <c r="FKY6" s="191"/>
      <c r="FKZ6" s="191"/>
      <c r="FLB6" s="191"/>
      <c r="FLC6" s="191"/>
      <c r="FLD6" s="191"/>
      <c r="FLF6" s="191"/>
      <c r="FLG6" s="191"/>
      <c r="FLH6" s="191"/>
      <c r="FLJ6" s="191"/>
      <c r="FLK6" s="191"/>
      <c r="FLL6" s="191"/>
      <c r="FLN6" s="191"/>
      <c r="FLO6" s="191"/>
      <c r="FLP6" s="191"/>
      <c r="FLR6" s="191"/>
      <c r="FLS6" s="191"/>
      <c r="FLT6" s="191"/>
      <c r="FLV6" s="191"/>
      <c r="FLW6" s="191"/>
      <c r="FLX6" s="191"/>
      <c r="FLZ6" s="191"/>
      <c r="FMA6" s="191"/>
      <c r="FMB6" s="191"/>
      <c r="FMD6" s="191"/>
      <c r="FME6" s="191"/>
      <c r="FMF6" s="191"/>
      <c r="FMH6" s="191"/>
      <c r="FMI6" s="191"/>
      <c r="FMJ6" s="191"/>
      <c r="FML6" s="191"/>
      <c r="FMM6" s="191"/>
      <c r="FMN6" s="191"/>
      <c r="FMP6" s="191"/>
      <c r="FMQ6" s="191"/>
      <c r="FMR6" s="191"/>
      <c r="FMT6" s="191"/>
      <c r="FMU6" s="191"/>
      <c r="FMV6" s="191"/>
      <c r="FMX6" s="191"/>
      <c r="FMY6" s="191"/>
      <c r="FMZ6" s="191"/>
      <c r="FNB6" s="191"/>
      <c r="FNC6" s="191"/>
      <c r="FND6" s="191"/>
      <c r="FNF6" s="191"/>
      <c r="FNG6" s="191"/>
      <c r="FNH6" s="191"/>
      <c r="FNJ6" s="191"/>
      <c r="FNK6" s="191"/>
      <c r="FNL6" s="191"/>
      <c r="FNN6" s="191"/>
      <c r="FNO6" s="191"/>
      <c r="FNP6" s="191"/>
      <c r="FNR6" s="191"/>
      <c r="FNS6" s="191"/>
      <c r="FNT6" s="191"/>
      <c r="FNV6" s="191"/>
      <c r="FNW6" s="191"/>
      <c r="FNX6" s="191"/>
      <c r="FNZ6" s="191"/>
      <c r="FOA6" s="191"/>
      <c r="FOB6" s="191"/>
      <c r="FOD6" s="191"/>
      <c r="FOE6" s="191"/>
      <c r="FOF6" s="191"/>
      <c r="FOH6" s="191"/>
      <c r="FOI6" s="191"/>
      <c r="FOJ6" s="191"/>
      <c r="FOL6" s="191"/>
      <c r="FOM6" s="191"/>
      <c r="FON6" s="191"/>
      <c r="FOP6" s="191"/>
      <c r="FOQ6" s="191"/>
      <c r="FOR6" s="191"/>
      <c r="FOT6" s="191"/>
      <c r="FOU6" s="191"/>
      <c r="FOV6" s="191"/>
      <c r="FOX6" s="191"/>
      <c r="FOY6" s="191"/>
      <c r="FOZ6" s="191"/>
      <c r="FPB6" s="191"/>
      <c r="FPC6" s="191"/>
      <c r="FPD6" s="191"/>
      <c r="FPF6" s="191"/>
      <c r="FPG6" s="191"/>
      <c r="FPH6" s="191"/>
      <c r="FPJ6" s="191"/>
      <c r="FPK6" s="191"/>
      <c r="FPL6" s="191"/>
      <c r="FPN6" s="191"/>
      <c r="FPO6" s="191"/>
      <c r="FPP6" s="191"/>
      <c r="FPR6" s="191"/>
      <c r="FPS6" s="191"/>
      <c r="FPT6" s="191"/>
      <c r="FPV6" s="191"/>
      <c r="FPW6" s="191"/>
      <c r="FPX6" s="191"/>
      <c r="FPZ6" s="191"/>
      <c r="FQA6" s="191"/>
      <c r="FQB6" s="191"/>
      <c r="FQD6" s="191"/>
      <c r="FQE6" s="191"/>
      <c r="FQF6" s="191"/>
      <c r="FQH6" s="191"/>
      <c r="FQI6" s="191"/>
      <c r="FQJ6" s="191"/>
      <c r="FQL6" s="191"/>
      <c r="FQM6" s="191"/>
      <c r="FQN6" s="191"/>
      <c r="FQP6" s="191"/>
      <c r="FQQ6" s="191"/>
      <c r="FQR6" s="191"/>
      <c r="FQT6" s="191"/>
      <c r="FQU6" s="191"/>
      <c r="FQV6" s="191"/>
      <c r="FQX6" s="191"/>
      <c r="FQY6" s="191"/>
      <c r="FQZ6" s="191"/>
      <c r="FRB6" s="191"/>
      <c r="FRC6" s="191"/>
      <c r="FRD6" s="191"/>
      <c r="FRF6" s="191"/>
      <c r="FRG6" s="191"/>
      <c r="FRH6" s="191"/>
      <c r="FRJ6" s="191"/>
      <c r="FRK6" s="191"/>
      <c r="FRL6" s="191"/>
      <c r="FRN6" s="191"/>
      <c r="FRO6" s="191"/>
      <c r="FRP6" s="191"/>
      <c r="FRR6" s="191"/>
      <c r="FRS6" s="191"/>
      <c r="FRT6" s="191"/>
      <c r="FRV6" s="191"/>
      <c r="FRW6" s="191"/>
      <c r="FRX6" s="191"/>
      <c r="FRZ6" s="191"/>
      <c r="FSA6" s="191"/>
      <c r="FSB6" s="191"/>
      <c r="FSD6" s="191"/>
      <c r="FSE6" s="191"/>
      <c r="FSF6" s="191"/>
      <c r="FSH6" s="191"/>
      <c r="FSI6" s="191"/>
      <c r="FSJ6" s="191"/>
      <c r="FSL6" s="191"/>
      <c r="FSM6" s="191"/>
      <c r="FSN6" s="191"/>
      <c r="FSP6" s="191"/>
      <c r="FSQ6" s="191"/>
      <c r="FSR6" s="191"/>
      <c r="FST6" s="191"/>
      <c r="FSU6" s="191"/>
      <c r="FSV6" s="191"/>
      <c r="FSX6" s="191"/>
      <c r="FSY6" s="191"/>
      <c r="FSZ6" s="191"/>
      <c r="FTB6" s="191"/>
      <c r="FTC6" s="191"/>
      <c r="FTD6" s="191"/>
      <c r="FTF6" s="191"/>
      <c r="FTG6" s="191"/>
      <c r="FTH6" s="191"/>
      <c r="FTJ6" s="191"/>
      <c r="FTK6" s="191"/>
      <c r="FTL6" s="191"/>
      <c r="FTN6" s="191"/>
      <c r="FTO6" s="191"/>
      <c r="FTP6" s="191"/>
      <c r="FTR6" s="191"/>
      <c r="FTS6" s="191"/>
      <c r="FTT6" s="191"/>
      <c r="FTV6" s="191"/>
      <c r="FTW6" s="191"/>
      <c r="FTX6" s="191"/>
      <c r="FTZ6" s="191"/>
      <c r="FUA6" s="191"/>
      <c r="FUB6" s="191"/>
      <c r="FUD6" s="191"/>
      <c r="FUE6" s="191"/>
      <c r="FUF6" s="191"/>
      <c r="FUH6" s="191"/>
      <c r="FUI6" s="191"/>
      <c r="FUJ6" s="191"/>
      <c r="FUL6" s="191"/>
      <c r="FUM6" s="191"/>
      <c r="FUN6" s="191"/>
      <c r="FUP6" s="191"/>
      <c r="FUQ6" s="191"/>
      <c r="FUR6" s="191"/>
      <c r="FUT6" s="191"/>
      <c r="FUU6" s="191"/>
      <c r="FUV6" s="191"/>
      <c r="FUX6" s="191"/>
      <c r="FUY6" s="191"/>
      <c r="FUZ6" s="191"/>
      <c r="FVB6" s="191"/>
      <c r="FVC6" s="191"/>
      <c r="FVD6" s="191"/>
      <c r="FVF6" s="191"/>
      <c r="FVG6" s="191"/>
      <c r="FVH6" s="191"/>
      <c r="FVJ6" s="191"/>
      <c r="FVK6" s="191"/>
      <c r="FVL6" s="191"/>
      <c r="FVN6" s="191"/>
      <c r="FVO6" s="191"/>
      <c r="FVP6" s="191"/>
      <c r="FVR6" s="191"/>
      <c r="FVS6" s="191"/>
      <c r="FVT6" s="191"/>
      <c r="FVV6" s="191"/>
      <c r="FVW6" s="191"/>
      <c r="FVX6" s="191"/>
      <c r="FVZ6" s="191"/>
      <c r="FWA6" s="191"/>
      <c r="FWB6" s="191"/>
      <c r="FWD6" s="191"/>
      <c r="FWE6" s="191"/>
      <c r="FWF6" s="191"/>
      <c r="FWH6" s="191"/>
      <c r="FWI6" s="191"/>
      <c r="FWJ6" s="191"/>
      <c r="FWL6" s="191"/>
      <c r="FWM6" s="191"/>
      <c r="FWN6" s="191"/>
      <c r="FWP6" s="191"/>
      <c r="FWQ6" s="191"/>
      <c r="FWR6" s="191"/>
      <c r="FWT6" s="191"/>
      <c r="FWU6" s="191"/>
      <c r="FWV6" s="191"/>
      <c r="FWX6" s="191"/>
      <c r="FWY6" s="191"/>
      <c r="FWZ6" s="191"/>
      <c r="FXB6" s="191"/>
      <c r="FXC6" s="191"/>
      <c r="FXD6" s="191"/>
      <c r="FXF6" s="191"/>
      <c r="FXG6" s="191"/>
      <c r="FXH6" s="191"/>
      <c r="FXJ6" s="191"/>
      <c r="FXK6" s="191"/>
      <c r="FXL6" s="191"/>
      <c r="FXN6" s="191"/>
      <c r="FXO6" s="191"/>
      <c r="FXP6" s="191"/>
      <c r="FXR6" s="191"/>
      <c r="FXS6" s="191"/>
      <c r="FXT6" s="191"/>
      <c r="FXV6" s="191"/>
      <c r="FXW6" s="191"/>
      <c r="FXX6" s="191"/>
      <c r="FXZ6" s="191"/>
      <c r="FYA6" s="191"/>
      <c r="FYB6" s="191"/>
      <c r="FYD6" s="191"/>
      <c r="FYE6" s="191"/>
      <c r="FYF6" s="191"/>
      <c r="FYH6" s="191"/>
      <c r="FYI6" s="191"/>
      <c r="FYJ6" s="191"/>
      <c r="FYL6" s="191"/>
      <c r="FYM6" s="191"/>
      <c r="FYN6" s="191"/>
      <c r="FYP6" s="191"/>
      <c r="FYQ6" s="191"/>
      <c r="FYR6" s="191"/>
      <c r="FYT6" s="191"/>
      <c r="FYU6" s="191"/>
      <c r="FYV6" s="191"/>
      <c r="FYX6" s="191"/>
      <c r="FYY6" s="191"/>
      <c r="FYZ6" s="191"/>
      <c r="FZB6" s="191"/>
      <c r="FZC6" s="191"/>
      <c r="FZD6" s="191"/>
      <c r="FZF6" s="191"/>
      <c r="FZG6" s="191"/>
      <c r="FZH6" s="191"/>
      <c r="FZJ6" s="191"/>
      <c r="FZK6" s="191"/>
      <c r="FZL6" s="191"/>
      <c r="FZN6" s="191"/>
      <c r="FZO6" s="191"/>
      <c r="FZP6" s="191"/>
      <c r="FZR6" s="191"/>
      <c r="FZS6" s="191"/>
      <c r="FZT6" s="191"/>
      <c r="FZV6" s="191"/>
      <c r="FZW6" s="191"/>
      <c r="FZX6" s="191"/>
      <c r="FZZ6" s="191"/>
      <c r="GAA6" s="191"/>
      <c r="GAB6" s="191"/>
      <c r="GAD6" s="191"/>
      <c r="GAE6" s="191"/>
      <c r="GAF6" s="191"/>
      <c r="GAH6" s="191"/>
      <c r="GAI6" s="191"/>
      <c r="GAJ6" s="191"/>
      <c r="GAL6" s="191"/>
      <c r="GAM6" s="191"/>
      <c r="GAN6" s="191"/>
      <c r="GAP6" s="191"/>
      <c r="GAQ6" s="191"/>
      <c r="GAR6" s="191"/>
      <c r="GAT6" s="191"/>
      <c r="GAU6" s="191"/>
      <c r="GAV6" s="191"/>
      <c r="GAX6" s="191"/>
      <c r="GAY6" s="191"/>
      <c r="GAZ6" s="191"/>
      <c r="GBB6" s="191"/>
      <c r="GBC6" s="191"/>
      <c r="GBD6" s="191"/>
      <c r="GBF6" s="191"/>
      <c r="GBG6" s="191"/>
      <c r="GBH6" s="191"/>
      <c r="GBJ6" s="191"/>
      <c r="GBK6" s="191"/>
      <c r="GBL6" s="191"/>
      <c r="GBN6" s="191"/>
      <c r="GBO6" s="191"/>
      <c r="GBP6" s="191"/>
      <c r="GBR6" s="191"/>
      <c r="GBS6" s="191"/>
      <c r="GBT6" s="191"/>
      <c r="GBV6" s="191"/>
      <c r="GBW6" s="191"/>
      <c r="GBX6" s="191"/>
      <c r="GBZ6" s="191"/>
      <c r="GCA6" s="191"/>
      <c r="GCB6" s="191"/>
      <c r="GCD6" s="191"/>
      <c r="GCE6" s="191"/>
      <c r="GCF6" s="191"/>
      <c r="GCH6" s="191"/>
      <c r="GCI6" s="191"/>
      <c r="GCJ6" s="191"/>
      <c r="GCL6" s="191"/>
      <c r="GCM6" s="191"/>
      <c r="GCN6" s="191"/>
      <c r="GCP6" s="191"/>
      <c r="GCQ6" s="191"/>
      <c r="GCR6" s="191"/>
      <c r="GCT6" s="191"/>
      <c r="GCU6" s="191"/>
      <c r="GCV6" s="191"/>
      <c r="GCX6" s="191"/>
      <c r="GCY6" s="191"/>
      <c r="GCZ6" s="191"/>
      <c r="GDB6" s="191"/>
      <c r="GDC6" s="191"/>
      <c r="GDD6" s="191"/>
      <c r="GDF6" s="191"/>
      <c r="GDG6" s="191"/>
      <c r="GDH6" s="191"/>
      <c r="GDJ6" s="191"/>
      <c r="GDK6" s="191"/>
      <c r="GDL6" s="191"/>
      <c r="GDN6" s="191"/>
      <c r="GDO6" s="191"/>
      <c r="GDP6" s="191"/>
      <c r="GDR6" s="191"/>
      <c r="GDS6" s="191"/>
      <c r="GDT6" s="191"/>
      <c r="GDV6" s="191"/>
      <c r="GDW6" s="191"/>
      <c r="GDX6" s="191"/>
      <c r="GDZ6" s="191"/>
      <c r="GEA6" s="191"/>
      <c r="GEB6" s="191"/>
      <c r="GED6" s="191"/>
      <c r="GEE6" s="191"/>
      <c r="GEF6" s="191"/>
      <c r="GEH6" s="191"/>
      <c r="GEI6" s="191"/>
      <c r="GEJ6" s="191"/>
      <c r="GEL6" s="191"/>
      <c r="GEM6" s="191"/>
      <c r="GEN6" s="191"/>
      <c r="GEP6" s="191"/>
      <c r="GEQ6" s="191"/>
      <c r="GER6" s="191"/>
      <c r="GET6" s="191"/>
      <c r="GEU6" s="191"/>
      <c r="GEV6" s="191"/>
      <c r="GEX6" s="191"/>
      <c r="GEY6" s="191"/>
      <c r="GEZ6" s="191"/>
      <c r="GFB6" s="191"/>
      <c r="GFC6" s="191"/>
      <c r="GFD6" s="191"/>
      <c r="GFF6" s="191"/>
      <c r="GFG6" s="191"/>
      <c r="GFH6" s="191"/>
      <c r="GFJ6" s="191"/>
      <c r="GFK6" s="191"/>
      <c r="GFL6" s="191"/>
      <c r="GFN6" s="191"/>
      <c r="GFO6" s="191"/>
      <c r="GFP6" s="191"/>
      <c r="GFR6" s="191"/>
      <c r="GFS6" s="191"/>
      <c r="GFT6" s="191"/>
      <c r="GFV6" s="191"/>
      <c r="GFW6" s="191"/>
      <c r="GFX6" s="191"/>
      <c r="GFZ6" s="191"/>
      <c r="GGA6" s="191"/>
      <c r="GGB6" s="191"/>
      <c r="GGD6" s="191"/>
      <c r="GGE6" s="191"/>
      <c r="GGF6" s="191"/>
      <c r="GGH6" s="191"/>
      <c r="GGI6" s="191"/>
      <c r="GGJ6" s="191"/>
      <c r="GGL6" s="191"/>
      <c r="GGM6" s="191"/>
      <c r="GGN6" s="191"/>
      <c r="GGP6" s="191"/>
      <c r="GGQ6" s="191"/>
      <c r="GGR6" s="191"/>
      <c r="GGT6" s="191"/>
      <c r="GGU6" s="191"/>
      <c r="GGV6" s="191"/>
      <c r="GGX6" s="191"/>
      <c r="GGY6" s="191"/>
      <c r="GGZ6" s="191"/>
      <c r="GHB6" s="191"/>
      <c r="GHC6" s="191"/>
      <c r="GHD6" s="191"/>
      <c r="GHF6" s="191"/>
      <c r="GHG6" s="191"/>
      <c r="GHH6" s="191"/>
      <c r="GHJ6" s="191"/>
      <c r="GHK6" s="191"/>
      <c r="GHL6" s="191"/>
      <c r="GHN6" s="191"/>
      <c r="GHO6" s="191"/>
      <c r="GHP6" s="191"/>
      <c r="GHR6" s="191"/>
      <c r="GHS6" s="191"/>
      <c r="GHT6" s="191"/>
      <c r="GHV6" s="191"/>
      <c r="GHW6" s="191"/>
      <c r="GHX6" s="191"/>
      <c r="GHZ6" s="191"/>
      <c r="GIA6" s="191"/>
      <c r="GIB6" s="191"/>
      <c r="GID6" s="191"/>
      <c r="GIE6" s="191"/>
      <c r="GIF6" s="191"/>
      <c r="GIH6" s="191"/>
      <c r="GII6" s="191"/>
      <c r="GIJ6" s="191"/>
      <c r="GIL6" s="191"/>
      <c r="GIM6" s="191"/>
      <c r="GIN6" s="191"/>
      <c r="GIP6" s="191"/>
      <c r="GIQ6" s="191"/>
      <c r="GIR6" s="191"/>
      <c r="GIT6" s="191"/>
      <c r="GIU6" s="191"/>
      <c r="GIV6" s="191"/>
      <c r="GIX6" s="191"/>
      <c r="GIY6" s="191"/>
      <c r="GIZ6" s="191"/>
      <c r="GJB6" s="191"/>
      <c r="GJC6" s="191"/>
      <c r="GJD6" s="191"/>
      <c r="GJF6" s="191"/>
      <c r="GJG6" s="191"/>
      <c r="GJH6" s="191"/>
      <c r="GJJ6" s="191"/>
      <c r="GJK6" s="191"/>
      <c r="GJL6" s="191"/>
      <c r="GJN6" s="191"/>
      <c r="GJO6" s="191"/>
      <c r="GJP6" s="191"/>
      <c r="GJR6" s="191"/>
      <c r="GJS6" s="191"/>
      <c r="GJT6" s="191"/>
      <c r="GJV6" s="191"/>
      <c r="GJW6" s="191"/>
      <c r="GJX6" s="191"/>
      <c r="GJZ6" s="191"/>
      <c r="GKA6" s="191"/>
      <c r="GKB6" s="191"/>
      <c r="GKD6" s="191"/>
      <c r="GKE6" s="191"/>
      <c r="GKF6" s="191"/>
      <c r="GKH6" s="191"/>
      <c r="GKI6" s="191"/>
      <c r="GKJ6" s="191"/>
      <c r="GKL6" s="191"/>
      <c r="GKM6" s="191"/>
      <c r="GKN6" s="191"/>
      <c r="GKP6" s="191"/>
      <c r="GKQ6" s="191"/>
      <c r="GKR6" s="191"/>
      <c r="GKT6" s="191"/>
      <c r="GKU6" s="191"/>
      <c r="GKV6" s="191"/>
      <c r="GKX6" s="191"/>
      <c r="GKY6" s="191"/>
      <c r="GKZ6" s="191"/>
      <c r="GLB6" s="191"/>
      <c r="GLC6" s="191"/>
      <c r="GLD6" s="191"/>
      <c r="GLF6" s="191"/>
      <c r="GLG6" s="191"/>
      <c r="GLH6" s="191"/>
      <c r="GLJ6" s="191"/>
      <c r="GLK6" s="191"/>
      <c r="GLL6" s="191"/>
      <c r="GLN6" s="191"/>
      <c r="GLO6" s="191"/>
      <c r="GLP6" s="191"/>
      <c r="GLR6" s="191"/>
      <c r="GLS6" s="191"/>
      <c r="GLT6" s="191"/>
      <c r="GLV6" s="191"/>
      <c r="GLW6" s="191"/>
      <c r="GLX6" s="191"/>
      <c r="GLZ6" s="191"/>
      <c r="GMA6" s="191"/>
      <c r="GMB6" s="191"/>
      <c r="GMD6" s="191"/>
      <c r="GME6" s="191"/>
      <c r="GMF6" s="191"/>
      <c r="GMH6" s="191"/>
      <c r="GMI6" s="191"/>
      <c r="GMJ6" s="191"/>
      <c r="GML6" s="191"/>
      <c r="GMM6" s="191"/>
      <c r="GMN6" s="191"/>
      <c r="GMP6" s="191"/>
      <c r="GMQ6" s="191"/>
      <c r="GMR6" s="191"/>
      <c r="GMT6" s="191"/>
      <c r="GMU6" s="191"/>
      <c r="GMV6" s="191"/>
      <c r="GMX6" s="191"/>
      <c r="GMY6" s="191"/>
      <c r="GMZ6" s="191"/>
      <c r="GNB6" s="191"/>
      <c r="GNC6" s="191"/>
      <c r="GND6" s="191"/>
      <c r="GNF6" s="191"/>
      <c r="GNG6" s="191"/>
      <c r="GNH6" s="191"/>
      <c r="GNJ6" s="191"/>
      <c r="GNK6" s="191"/>
      <c r="GNL6" s="191"/>
      <c r="GNN6" s="191"/>
      <c r="GNO6" s="191"/>
      <c r="GNP6" s="191"/>
      <c r="GNR6" s="191"/>
      <c r="GNS6" s="191"/>
      <c r="GNT6" s="191"/>
      <c r="GNV6" s="191"/>
      <c r="GNW6" s="191"/>
      <c r="GNX6" s="191"/>
      <c r="GNZ6" s="191"/>
      <c r="GOA6" s="191"/>
      <c r="GOB6" s="191"/>
      <c r="GOD6" s="191"/>
      <c r="GOE6" s="191"/>
      <c r="GOF6" s="191"/>
      <c r="GOH6" s="191"/>
      <c r="GOI6" s="191"/>
      <c r="GOJ6" s="191"/>
      <c r="GOL6" s="191"/>
      <c r="GOM6" s="191"/>
      <c r="GON6" s="191"/>
      <c r="GOP6" s="191"/>
      <c r="GOQ6" s="191"/>
      <c r="GOR6" s="191"/>
      <c r="GOT6" s="191"/>
      <c r="GOU6" s="191"/>
      <c r="GOV6" s="191"/>
      <c r="GOX6" s="191"/>
      <c r="GOY6" s="191"/>
      <c r="GOZ6" s="191"/>
      <c r="GPB6" s="191"/>
      <c r="GPC6" s="191"/>
      <c r="GPD6" s="191"/>
      <c r="GPF6" s="191"/>
      <c r="GPG6" s="191"/>
      <c r="GPH6" s="191"/>
      <c r="GPJ6" s="191"/>
      <c r="GPK6" s="191"/>
      <c r="GPL6" s="191"/>
      <c r="GPN6" s="191"/>
      <c r="GPO6" s="191"/>
      <c r="GPP6" s="191"/>
      <c r="GPR6" s="191"/>
      <c r="GPS6" s="191"/>
      <c r="GPT6" s="191"/>
      <c r="GPV6" s="191"/>
      <c r="GPW6" s="191"/>
      <c r="GPX6" s="191"/>
      <c r="GPZ6" s="191"/>
      <c r="GQA6" s="191"/>
      <c r="GQB6" s="191"/>
      <c r="GQD6" s="191"/>
      <c r="GQE6" s="191"/>
      <c r="GQF6" s="191"/>
      <c r="GQH6" s="191"/>
      <c r="GQI6" s="191"/>
      <c r="GQJ6" s="191"/>
      <c r="GQL6" s="191"/>
      <c r="GQM6" s="191"/>
      <c r="GQN6" s="191"/>
      <c r="GQP6" s="191"/>
      <c r="GQQ6" s="191"/>
      <c r="GQR6" s="191"/>
      <c r="GQT6" s="191"/>
      <c r="GQU6" s="191"/>
      <c r="GQV6" s="191"/>
      <c r="GQX6" s="191"/>
      <c r="GQY6" s="191"/>
      <c r="GQZ6" s="191"/>
      <c r="GRB6" s="191"/>
      <c r="GRC6" s="191"/>
      <c r="GRD6" s="191"/>
      <c r="GRF6" s="191"/>
      <c r="GRG6" s="191"/>
      <c r="GRH6" s="191"/>
      <c r="GRJ6" s="191"/>
      <c r="GRK6" s="191"/>
      <c r="GRL6" s="191"/>
      <c r="GRN6" s="191"/>
      <c r="GRO6" s="191"/>
      <c r="GRP6" s="191"/>
      <c r="GRR6" s="191"/>
      <c r="GRS6" s="191"/>
      <c r="GRT6" s="191"/>
      <c r="GRV6" s="191"/>
      <c r="GRW6" s="191"/>
      <c r="GRX6" s="191"/>
      <c r="GRZ6" s="191"/>
      <c r="GSA6" s="191"/>
      <c r="GSB6" s="191"/>
      <c r="GSD6" s="191"/>
      <c r="GSE6" s="191"/>
      <c r="GSF6" s="191"/>
      <c r="GSH6" s="191"/>
      <c r="GSI6" s="191"/>
      <c r="GSJ6" s="191"/>
      <c r="GSL6" s="191"/>
      <c r="GSM6" s="191"/>
      <c r="GSN6" s="191"/>
      <c r="GSP6" s="191"/>
      <c r="GSQ6" s="191"/>
      <c r="GSR6" s="191"/>
      <c r="GST6" s="191"/>
      <c r="GSU6" s="191"/>
      <c r="GSV6" s="191"/>
      <c r="GSX6" s="191"/>
      <c r="GSY6" s="191"/>
      <c r="GSZ6" s="191"/>
      <c r="GTB6" s="191"/>
      <c r="GTC6" s="191"/>
      <c r="GTD6" s="191"/>
      <c r="GTF6" s="191"/>
      <c r="GTG6" s="191"/>
      <c r="GTH6" s="191"/>
      <c r="GTJ6" s="191"/>
      <c r="GTK6" s="191"/>
      <c r="GTL6" s="191"/>
      <c r="GTN6" s="191"/>
      <c r="GTO6" s="191"/>
      <c r="GTP6" s="191"/>
      <c r="GTR6" s="191"/>
      <c r="GTS6" s="191"/>
      <c r="GTT6" s="191"/>
      <c r="GTV6" s="191"/>
      <c r="GTW6" s="191"/>
      <c r="GTX6" s="191"/>
      <c r="GTZ6" s="191"/>
      <c r="GUA6" s="191"/>
      <c r="GUB6" s="191"/>
      <c r="GUD6" s="191"/>
      <c r="GUE6" s="191"/>
      <c r="GUF6" s="191"/>
      <c r="GUH6" s="191"/>
      <c r="GUI6" s="191"/>
      <c r="GUJ6" s="191"/>
      <c r="GUL6" s="191"/>
      <c r="GUM6" s="191"/>
      <c r="GUN6" s="191"/>
      <c r="GUP6" s="191"/>
      <c r="GUQ6" s="191"/>
      <c r="GUR6" s="191"/>
      <c r="GUT6" s="191"/>
      <c r="GUU6" s="191"/>
      <c r="GUV6" s="191"/>
      <c r="GUX6" s="191"/>
      <c r="GUY6" s="191"/>
      <c r="GUZ6" s="191"/>
      <c r="GVB6" s="191"/>
      <c r="GVC6" s="191"/>
      <c r="GVD6" s="191"/>
      <c r="GVF6" s="191"/>
      <c r="GVG6" s="191"/>
      <c r="GVH6" s="191"/>
      <c r="GVJ6" s="191"/>
      <c r="GVK6" s="191"/>
      <c r="GVL6" s="191"/>
      <c r="GVN6" s="191"/>
      <c r="GVO6" s="191"/>
      <c r="GVP6" s="191"/>
      <c r="GVR6" s="191"/>
      <c r="GVS6" s="191"/>
      <c r="GVT6" s="191"/>
      <c r="GVV6" s="191"/>
      <c r="GVW6" s="191"/>
      <c r="GVX6" s="191"/>
      <c r="GVZ6" s="191"/>
      <c r="GWA6" s="191"/>
      <c r="GWB6" s="191"/>
      <c r="GWD6" s="191"/>
      <c r="GWE6" s="191"/>
      <c r="GWF6" s="191"/>
      <c r="GWH6" s="191"/>
      <c r="GWI6" s="191"/>
      <c r="GWJ6" s="191"/>
      <c r="GWL6" s="191"/>
      <c r="GWM6" s="191"/>
      <c r="GWN6" s="191"/>
      <c r="GWP6" s="191"/>
      <c r="GWQ6" s="191"/>
      <c r="GWR6" s="191"/>
      <c r="GWT6" s="191"/>
      <c r="GWU6" s="191"/>
      <c r="GWV6" s="191"/>
      <c r="GWX6" s="191"/>
      <c r="GWY6" s="191"/>
      <c r="GWZ6" s="191"/>
      <c r="GXB6" s="191"/>
      <c r="GXC6" s="191"/>
      <c r="GXD6" s="191"/>
      <c r="GXF6" s="191"/>
      <c r="GXG6" s="191"/>
      <c r="GXH6" s="191"/>
      <c r="GXJ6" s="191"/>
      <c r="GXK6" s="191"/>
      <c r="GXL6" s="191"/>
      <c r="GXN6" s="191"/>
      <c r="GXO6" s="191"/>
      <c r="GXP6" s="191"/>
      <c r="GXR6" s="191"/>
      <c r="GXS6" s="191"/>
      <c r="GXT6" s="191"/>
      <c r="GXV6" s="191"/>
      <c r="GXW6" s="191"/>
      <c r="GXX6" s="191"/>
      <c r="GXZ6" s="191"/>
      <c r="GYA6" s="191"/>
      <c r="GYB6" s="191"/>
      <c r="GYD6" s="191"/>
      <c r="GYE6" s="191"/>
      <c r="GYF6" s="191"/>
      <c r="GYH6" s="191"/>
      <c r="GYI6" s="191"/>
      <c r="GYJ6" s="191"/>
      <c r="GYL6" s="191"/>
      <c r="GYM6" s="191"/>
      <c r="GYN6" s="191"/>
      <c r="GYP6" s="191"/>
      <c r="GYQ6" s="191"/>
      <c r="GYR6" s="191"/>
      <c r="GYT6" s="191"/>
      <c r="GYU6" s="191"/>
      <c r="GYV6" s="191"/>
      <c r="GYX6" s="191"/>
      <c r="GYY6" s="191"/>
      <c r="GYZ6" s="191"/>
      <c r="GZB6" s="191"/>
      <c r="GZC6" s="191"/>
      <c r="GZD6" s="191"/>
      <c r="GZF6" s="191"/>
      <c r="GZG6" s="191"/>
      <c r="GZH6" s="191"/>
      <c r="GZJ6" s="191"/>
      <c r="GZK6" s="191"/>
      <c r="GZL6" s="191"/>
      <c r="GZN6" s="191"/>
      <c r="GZO6" s="191"/>
      <c r="GZP6" s="191"/>
      <c r="GZR6" s="191"/>
      <c r="GZS6" s="191"/>
      <c r="GZT6" s="191"/>
      <c r="GZV6" s="191"/>
      <c r="GZW6" s="191"/>
      <c r="GZX6" s="191"/>
      <c r="GZZ6" s="191"/>
      <c r="HAA6" s="191"/>
      <c r="HAB6" s="191"/>
      <c r="HAD6" s="191"/>
      <c r="HAE6" s="191"/>
      <c r="HAF6" s="191"/>
      <c r="HAH6" s="191"/>
      <c r="HAI6" s="191"/>
      <c r="HAJ6" s="191"/>
      <c r="HAL6" s="191"/>
      <c r="HAM6" s="191"/>
      <c r="HAN6" s="191"/>
      <c r="HAP6" s="191"/>
      <c r="HAQ6" s="191"/>
      <c r="HAR6" s="191"/>
      <c r="HAT6" s="191"/>
      <c r="HAU6" s="191"/>
      <c r="HAV6" s="191"/>
      <c r="HAX6" s="191"/>
      <c r="HAY6" s="191"/>
      <c r="HAZ6" s="191"/>
      <c r="HBB6" s="191"/>
      <c r="HBC6" s="191"/>
      <c r="HBD6" s="191"/>
      <c r="HBF6" s="191"/>
      <c r="HBG6" s="191"/>
      <c r="HBH6" s="191"/>
      <c r="HBJ6" s="191"/>
      <c r="HBK6" s="191"/>
      <c r="HBL6" s="191"/>
      <c r="HBN6" s="191"/>
      <c r="HBO6" s="191"/>
      <c r="HBP6" s="191"/>
      <c r="HBR6" s="191"/>
      <c r="HBS6" s="191"/>
      <c r="HBT6" s="191"/>
      <c r="HBV6" s="191"/>
      <c r="HBW6" s="191"/>
      <c r="HBX6" s="191"/>
      <c r="HBZ6" s="191"/>
      <c r="HCA6" s="191"/>
      <c r="HCB6" s="191"/>
      <c r="HCD6" s="191"/>
      <c r="HCE6" s="191"/>
      <c r="HCF6" s="191"/>
      <c r="HCH6" s="191"/>
      <c r="HCI6" s="191"/>
      <c r="HCJ6" s="191"/>
      <c r="HCL6" s="191"/>
      <c r="HCM6" s="191"/>
      <c r="HCN6" s="191"/>
      <c r="HCP6" s="191"/>
      <c r="HCQ6" s="191"/>
      <c r="HCR6" s="191"/>
      <c r="HCT6" s="191"/>
      <c r="HCU6" s="191"/>
      <c r="HCV6" s="191"/>
      <c r="HCX6" s="191"/>
      <c r="HCY6" s="191"/>
      <c r="HCZ6" s="191"/>
      <c r="HDB6" s="191"/>
      <c r="HDC6" s="191"/>
      <c r="HDD6" s="191"/>
      <c r="HDF6" s="191"/>
      <c r="HDG6" s="191"/>
      <c r="HDH6" s="191"/>
      <c r="HDJ6" s="191"/>
      <c r="HDK6" s="191"/>
      <c r="HDL6" s="191"/>
      <c r="HDN6" s="191"/>
      <c r="HDO6" s="191"/>
      <c r="HDP6" s="191"/>
      <c r="HDR6" s="191"/>
      <c r="HDS6" s="191"/>
      <c r="HDT6" s="191"/>
      <c r="HDV6" s="191"/>
      <c r="HDW6" s="191"/>
      <c r="HDX6" s="191"/>
      <c r="HDZ6" s="191"/>
      <c r="HEA6" s="191"/>
      <c r="HEB6" s="191"/>
      <c r="HED6" s="191"/>
      <c r="HEE6" s="191"/>
      <c r="HEF6" s="191"/>
      <c r="HEH6" s="191"/>
      <c r="HEI6" s="191"/>
      <c r="HEJ6" s="191"/>
      <c r="HEL6" s="191"/>
      <c r="HEM6" s="191"/>
      <c r="HEN6" s="191"/>
      <c r="HEP6" s="191"/>
      <c r="HEQ6" s="191"/>
      <c r="HER6" s="191"/>
      <c r="HET6" s="191"/>
      <c r="HEU6" s="191"/>
      <c r="HEV6" s="191"/>
      <c r="HEX6" s="191"/>
      <c r="HEY6" s="191"/>
      <c r="HEZ6" s="191"/>
      <c r="HFB6" s="191"/>
      <c r="HFC6" s="191"/>
      <c r="HFD6" s="191"/>
      <c r="HFF6" s="191"/>
      <c r="HFG6" s="191"/>
      <c r="HFH6" s="191"/>
      <c r="HFJ6" s="191"/>
      <c r="HFK6" s="191"/>
      <c r="HFL6" s="191"/>
      <c r="HFN6" s="191"/>
      <c r="HFO6" s="191"/>
      <c r="HFP6" s="191"/>
      <c r="HFR6" s="191"/>
      <c r="HFS6" s="191"/>
      <c r="HFT6" s="191"/>
      <c r="HFV6" s="191"/>
      <c r="HFW6" s="191"/>
      <c r="HFX6" s="191"/>
      <c r="HFZ6" s="191"/>
      <c r="HGA6" s="191"/>
      <c r="HGB6" s="191"/>
      <c r="HGD6" s="191"/>
      <c r="HGE6" s="191"/>
      <c r="HGF6" s="191"/>
      <c r="HGH6" s="191"/>
      <c r="HGI6" s="191"/>
      <c r="HGJ6" s="191"/>
      <c r="HGL6" s="191"/>
      <c r="HGM6" s="191"/>
      <c r="HGN6" s="191"/>
      <c r="HGP6" s="191"/>
      <c r="HGQ6" s="191"/>
      <c r="HGR6" s="191"/>
      <c r="HGT6" s="191"/>
      <c r="HGU6" s="191"/>
      <c r="HGV6" s="191"/>
      <c r="HGX6" s="191"/>
      <c r="HGY6" s="191"/>
      <c r="HGZ6" s="191"/>
      <c r="HHB6" s="191"/>
      <c r="HHC6" s="191"/>
      <c r="HHD6" s="191"/>
      <c r="HHF6" s="191"/>
      <c r="HHG6" s="191"/>
      <c r="HHH6" s="191"/>
      <c r="HHJ6" s="191"/>
      <c r="HHK6" s="191"/>
      <c r="HHL6" s="191"/>
      <c r="HHN6" s="191"/>
      <c r="HHO6" s="191"/>
      <c r="HHP6" s="191"/>
      <c r="HHR6" s="191"/>
      <c r="HHS6" s="191"/>
      <c r="HHT6" s="191"/>
      <c r="HHV6" s="191"/>
      <c r="HHW6" s="191"/>
      <c r="HHX6" s="191"/>
      <c r="HHZ6" s="191"/>
      <c r="HIA6" s="191"/>
      <c r="HIB6" s="191"/>
      <c r="HID6" s="191"/>
      <c r="HIE6" s="191"/>
      <c r="HIF6" s="191"/>
      <c r="HIH6" s="191"/>
      <c r="HII6" s="191"/>
      <c r="HIJ6" s="191"/>
      <c r="HIL6" s="191"/>
      <c r="HIM6" s="191"/>
      <c r="HIN6" s="191"/>
      <c r="HIP6" s="191"/>
      <c r="HIQ6" s="191"/>
      <c r="HIR6" s="191"/>
      <c r="HIT6" s="191"/>
      <c r="HIU6" s="191"/>
      <c r="HIV6" s="191"/>
      <c r="HIX6" s="191"/>
      <c r="HIY6" s="191"/>
      <c r="HIZ6" s="191"/>
      <c r="HJB6" s="191"/>
      <c r="HJC6" s="191"/>
      <c r="HJD6" s="191"/>
      <c r="HJF6" s="191"/>
      <c r="HJG6" s="191"/>
      <c r="HJH6" s="191"/>
      <c r="HJJ6" s="191"/>
      <c r="HJK6" s="191"/>
      <c r="HJL6" s="191"/>
      <c r="HJN6" s="191"/>
      <c r="HJO6" s="191"/>
      <c r="HJP6" s="191"/>
      <c r="HJR6" s="191"/>
      <c r="HJS6" s="191"/>
      <c r="HJT6" s="191"/>
      <c r="HJV6" s="191"/>
      <c r="HJW6" s="191"/>
      <c r="HJX6" s="191"/>
      <c r="HJZ6" s="191"/>
      <c r="HKA6" s="191"/>
      <c r="HKB6" s="191"/>
      <c r="HKD6" s="191"/>
      <c r="HKE6" s="191"/>
      <c r="HKF6" s="191"/>
      <c r="HKH6" s="191"/>
      <c r="HKI6" s="191"/>
      <c r="HKJ6" s="191"/>
      <c r="HKL6" s="191"/>
      <c r="HKM6" s="191"/>
      <c r="HKN6" s="191"/>
      <c r="HKP6" s="191"/>
      <c r="HKQ6" s="191"/>
      <c r="HKR6" s="191"/>
      <c r="HKT6" s="191"/>
      <c r="HKU6" s="191"/>
      <c r="HKV6" s="191"/>
      <c r="HKX6" s="191"/>
      <c r="HKY6" s="191"/>
      <c r="HKZ6" s="191"/>
      <c r="HLB6" s="191"/>
      <c r="HLC6" s="191"/>
      <c r="HLD6" s="191"/>
      <c r="HLF6" s="191"/>
      <c r="HLG6" s="191"/>
      <c r="HLH6" s="191"/>
      <c r="HLJ6" s="191"/>
      <c r="HLK6" s="191"/>
      <c r="HLL6" s="191"/>
      <c r="HLN6" s="191"/>
      <c r="HLO6" s="191"/>
      <c r="HLP6" s="191"/>
      <c r="HLR6" s="191"/>
      <c r="HLS6" s="191"/>
      <c r="HLT6" s="191"/>
      <c r="HLV6" s="191"/>
      <c r="HLW6" s="191"/>
      <c r="HLX6" s="191"/>
      <c r="HLZ6" s="191"/>
      <c r="HMA6" s="191"/>
      <c r="HMB6" s="191"/>
      <c r="HMD6" s="191"/>
      <c r="HME6" s="191"/>
      <c r="HMF6" s="191"/>
      <c r="HMH6" s="191"/>
      <c r="HMI6" s="191"/>
      <c r="HMJ6" s="191"/>
      <c r="HML6" s="191"/>
      <c r="HMM6" s="191"/>
      <c r="HMN6" s="191"/>
      <c r="HMP6" s="191"/>
      <c r="HMQ6" s="191"/>
      <c r="HMR6" s="191"/>
      <c r="HMT6" s="191"/>
      <c r="HMU6" s="191"/>
      <c r="HMV6" s="191"/>
      <c r="HMX6" s="191"/>
      <c r="HMY6" s="191"/>
      <c r="HMZ6" s="191"/>
      <c r="HNB6" s="191"/>
      <c r="HNC6" s="191"/>
      <c r="HND6" s="191"/>
      <c r="HNF6" s="191"/>
      <c r="HNG6" s="191"/>
      <c r="HNH6" s="191"/>
      <c r="HNJ6" s="191"/>
      <c r="HNK6" s="191"/>
      <c r="HNL6" s="191"/>
      <c r="HNN6" s="191"/>
      <c r="HNO6" s="191"/>
      <c r="HNP6" s="191"/>
      <c r="HNR6" s="191"/>
      <c r="HNS6" s="191"/>
      <c r="HNT6" s="191"/>
      <c r="HNV6" s="191"/>
      <c r="HNW6" s="191"/>
      <c r="HNX6" s="191"/>
      <c r="HNZ6" s="191"/>
      <c r="HOA6" s="191"/>
      <c r="HOB6" s="191"/>
      <c r="HOD6" s="191"/>
      <c r="HOE6" s="191"/>
      <c r="HOF6" s="191"/>
      <c r="HOH6" s="191"/>
      <c r="HOI6" s="191"/>
      <c r="HOJ6" s="191"/>
      <c r="HOL6" s="191"/>
      <c r="HOM6" s="191"/>
      <c r="HON6" s="191"/>
      <c r="HOP6" s="191"/>
      <c r="HOQ6" s="191"/>
      <c r="HOR6" s="191"/>
      <c r="HOT6" s="191"/>
      <c r="HOU6" s="191"/>
      <c r="HOV6" s="191"/>
      <c r="HOX6" s="191"/>
      <c r="HOY6" s="191"/>
      <c r="HOZ6" s="191"/>
      <c r="HPB6" s="191"/>
      <c r="HPC6" s="191"/>
      <c r="HPD6" s="191"/>
      <c r="HPF6" s="191"/>
      <c r="HPG6" s="191"/>
      <c r="HPH6" s="191"/>
      <c r="HPJ6" s="191"/>
      <c r="HPK6" s="191"/>
      <c r="HPL6" s="191"/>
      <c r="HPN6" s="191"/>
      <c r="HPO6" s="191"/>
      <c r="HPP6" s="191"/>
      <c r="HPR6" s="191"/>
      <c r="HPS6" s="191"/>
      <c r="HPT6" s="191"/>
      <c r="HPV6" s="191"/>
      <c r="HPW6" s="191"/>
      <c r="HPX6" s="191"/>
      <c r="HPZ6" s="191"/>
      <c r="HQA6" s="191"/>
      <c r="HQB6" s="191"/>
      <c r="HQD6" s="191"/>
      <c r="HQE6" s="191"/>
      <c r="HQF6" s="191"/>
      <c r="HQH6" s="191"/>
      <c r="HQI6" s="191"/>
      <c r="HQJ6" s="191"/>
      <c r="HQL6" s="191"/>
      <c r="HQM6" s="191"/>
      <c r="HQN6" s="191"/>
      <c r="HQP6" s="191"/>
      <c r="HQQ6" s="191"/>
      <c r="HQR6" s="191"/>
      <c r="HQT6" s="191"/>
      <c r="HQU6" s="191"/>
      <c r="HQV6" s="191"/>
      <c r="HQX6" s="191"/>
      <c r="HQY6" s="191"/>
      <c r="HQZ6" s="191"/>
      <c r="HRB6" s="191"/>
      <c r="HRC6" s="191"/>
      <c r="HRD6" s="191"/>
      <c r="HRF6" s="191"/>
      <c r="HRG6" s="191"/>
      <c r="HRH6" s="191"/>
      <c r="HRJ6" s="191"/>
      <c r="HRK6" s="191"/>
      <c r="HRL6" s="191"/>
      <c r="HRN6" s="191"/>
      <c r="HRO6" s="191"/>
      <c r="HRP6" s="191"/>
      <c r="HRR6" s="191"/>
      <c r="HRS6" s="191"/>
      <c r="HRT6" s="191"/>
      <c r="HRV6" s="191"/>
      <c r="HRW6" s="191"/>
      <c r="HRX6" s="191"/>
      <c r="HRZ6" s="191"/>
      <c r="HSA6" s="191"/>
      <c r="HSB6" s="191"/>
      <c r="HSD6" s="191"/>
      <c r="HSE6" s="191"/>
      <c r="HSF6" s="191"/>
      <c r="HSH6" s="191"/>
      <c r="HSI6" s="191"/>
      <c r="HSJ6" s="191"/>
      <c r="HSL6" s="191"/>
      <c r="HSM6" s="191"/>
      <c r="HSN6" s="191"/>
      <c r="HSP6" s="191"/>
      <c r="HSQ6" s="191"/>
      <c r="HSR6" s="191"/>
      <c r="HST6" s="191"/>
      <c r="HSU6" s="191"/>
      <c r="HSV6" s="191"/>
      <c r="HSX6" s="191"/>
      <c r="HSY6" s="191"/>
      <c r="HSZ6" s="191"/>
      <c r="HTB6" s="191"/>
      <c r="HTC6" s="191"/>
      <c r="HTD6" s="191"/>
      <c r="HTF6" s="191"/>
      <c r="HTG6" s="191"/>
      <c r="HTH6" s="191"/>
      <c r="HTJ6" s="191"/>
      <c r="HTK6" s="191"/>
      <c r="HTL6" s="191"/>
      <c r="HTN6" s="191"/>
      <c r="HTO6" s="191"/>
      <c r="HTP6" s="191"/>
      <c r="HTR6" s="191"/>
      <c r="HTS6" s="191"/>
      <c r="HTT6" s="191"/>
      <c r="HTV6" s="191"/>
      <c r="HTW6" s="191"/>
      <c r="HTX6" s="191"/>
      <c r="HTZ6" s="191"/>
      <c r="HUA6" s="191"/>
      <c r="HUB6" s="191"/>
      <c r="HUD6" s="191"/>
      <c r="HUE6" s="191"/>
      <c r="HUF6" s="191"/>
      <c r="HUH6" s="191"/>
      <c r="HUI6" s="191"/>
      <c r="HUJ6" s="191"/>
      <c r="HUL6" s="191"/>
      <c r="HUM6" s="191"/>
      <c r="HUN6" s="191"/>
      <c r="HUP6" s="191"/>
      <c r="HUQ6" s="191"/>
      <c r="HUR6" s="191"/>
      <c r="HUT6" s="191"/>
      <c r="HUU6" s="191"/>
      <c r="HUV6" s="191"/>
      <c r="HUX6" s="191"/>
      <c r="HUY6" s="191"/>
      <c r="HUZ6" s="191"/>
      <c r="HVB6" s="191"/>
      <c r="HVC6" s="191"/>
      <c r="HVD6" s="191"/>
      <c r="HVF6" s="191"/>
      <c r="HVG6" s="191"/>
      <c r="HVH6" s="191"/>
      <c r="HVJ6" s="191"/>
      <c r="HVK6" s="191"/>
      <c r="HVL6" s="191"/>
      <c r="HVN6" s="191"/>
      <c r="HVO6" s="191"/>
      <c r="HVP6" s="191"/>
      <c r="HVR6" s="191"/>
      <c r="HVS6" s="191"/>
      <c r="HVT6" s="191"/>
      <c r="HVV6" s="191"/>
      <c r="HVW6" s="191"/>
      <c r="HVX6" s="191"/>
      <c r="HVZ6" s="191"/>
      <c r="HWA6" s="191"/>
      <c r="HWB6" s="191"/>
      <c r="HWD6" s="191"/>
      <c r="HWE6" s="191"/>
      <c r="HWF6" s="191"/>
      <c r="HWH6" s="191"/>
      <c r="HWI6" s="191"/>
      <c r="HWJ6" s="191"/>
      <c r="HWL6" s="191"/>
      <c r="HWM6" s="191"/>
      <c r="HWN6" s="191"/>
      <c r="HWP6" s="191"/>
      <c r="HWQ6" s="191"/>
      <c r="HWR6" s="191"/>
      <c r="HWT6" s="191"/>
      <c r="HWU6" s="191"/>
      <c r="HWV6" s="191"/>
      <c r="HWX6" s="191"/>
      <c r="HWY6" s="191"/>
      <c r="HWZ6" s="191"/>
      <c r="HXB6" s="191"/>
      <c r="HXC6" s="191"/>
      <c r="HXD6" s="191"/>
      <c r="HXF6" s="191"/>
      <c r="HXG6" s="191"/>
      <c r="HXH6" s="191"/>
      <c r="HXJ6" s="191"/>
      <c r="HXK6" s="191"/>
      <c r="HXL6" s="191"/>
      <c r="HXN6" s="191"/>
      <c r="HXO6" s="191"/>
      <c r="HXP6" s="191"/>
      <c r="HXR6" s="191"/>
      <c r="HXS6" s="191"/>
      <c r="HXT6" s="191"/>
      <c r="HXV6" s="191"/>
      <c r="HXW6" s="191"/>
      <c r="HXX6" s="191"/>
      <c r="HXZ6" s="191"/>
      <c r="HYA6" s="191"/>
      <c r="HYB6" s="191"/>
      <c r="HYD6" s="191"/>
      <c r="HYE6" s="191"/>
      <c r="HYF6" s="191"/>
      <c r="HYH6" s="191"/>
      <c r="HYI6" s="191"/>
      <c r="HYJ6" s="191"/>
      <c r="HYL6" s="191"/>
      <c r="HYM6" s="191"/>
      <c r="HYN6" s="191"/>
      <c r="HYP6" s="191"/>
      <c r="HYQ6" s="191"/>
      <c r="HYR6" s="191"/>
      <c r="HYT6" s="191"/>
      <c r="HYU6" s="191"/>
      <c r="HYV6" s="191"/>
      <c r="HYX6" s="191"/>
      <c r="HYY6" s="191"/>
      <c r="HYZ6" s="191"/>
      <c r="HZB6" s="191"/>
      <c r="HZC6" s="191"/>
      <c r="HZD6" s="191"/>
      <c r="HZF6" s="191"/>
      <c r="HZG6" s="191"/>
      <c r="HZH6" s="191"/>
      <c r="HZJ6" s="191"/>
      <c r="HZK6" s="191"/>
      <c r="HZL6" s="191"/>
      <c r="HZN6" s="191"/>
      <c r="HZO6" s="191"/>
      <c r="HZP6" s="191"/>
      <c r="HZR6" s="191"/>
      <c r="HZS6" s="191"/>
      <c r="HZT6" s="191"/>
      <c r="HZV6" s="191"/>
      <c r="HZW6" s="191"/>
      <c r="HZX6" s="191"/>
      <c r="HZZ6" s="191"/>
      <c r="IAA6" s="191"/>
      <c r="IAB6" s="191"/>
      <c r="IAD6" s="191"/>
      <c r="IAE6" s="191"/>
      <c r="IAF6" s="191"/>
      <c r="IAH6" s="191"/>
      <c r="IAI6" s="191"/>
      <c r="IAJ6" s="191"/>
      <c r="IAL6" s="191"/>
      <c r="IAM6" s="191"/>
      <c r="IAN6" s="191"/>
      <c r="IAP6" s="191"/>
      <c r="IAQ6" s="191"/>
      <c r="IAR6" s="191"/>
      <c r="IAT6" s="191"/>
      <c r="IAU6" s="191"/>
      <c r="IAV6" s="191"/>
      <c r="IAX6" s="191"/>
      <c r="IAY6" s="191"/>
      <c r="IAZ6" s="191"/>
      <c r="IBB6" s="191"/>
      <c r="IBC6" s="191"/>
      <c r="IBD6" s="191"/>
      <c r="IBF6" s="191"/>
      <c r="IBG6" s="191"/>
      <c r="IBH6" s="191"/>
      <c r="IBJ6" s="191"/>
      <c r="IBK6" s="191"/>
      <c r="IBL6" s="191"/>
      <c r="IBN6" s="191"/>
      <c r="IBO6" s="191"/>
      <c r="IBP6" s="191"/>
      <c r="IBR6" s="191"/>
      <c r="IBS6" s="191"/>
      <c r="IBT6" s="191"/>
      <c r="IBV6" s="191"/>
      <c r="IBW6" s="191"/>
      <c r="IBX6" s="191"/>
      <c r="IBZ6" s="191"/>
      <c r="ICA6" s="191"/>
      <c r="ICB6" s="191"/>
      <c r="ICD6" s="191"/>
      <c r="ICE6" s="191"/>
      <c r="ICF6" s="191"/>
      <c r="ICH6" s="191"/>
      <c r="ICI6" s="191"/>
      <c r="ICJ6" s="191"/>
      <c r="ICL6" s="191"/>
      <c r="ICM6" s="191"/>
      <c r="ICN6" s="191"/>
      <c r="ICP6" s="191"/>
      <c r="ICQ6" s="191"/>
      <c r="ICR6" s="191"/>
      <c r="ICT6" s="191"/>
      <c r="ICU6" s="191"/>
      <c r="ICV6" s="191"/>
      <c r="ICX6" s="191"/>
      <c r="ICY6" s="191"/>
      <c r="ICZ6" s="191"/>
      <c r="IDB6" s="191"/>
      <c r="IDC6" s="191"/>
      <c r="IDD6" s="191"/>
      <c r="IDF6" s="191"/>
      <c r="IDG6" s="191"/>
      <c r="IDH6" s="191"/>
      <c r="IDJ6" s="191"/>
      <c r="IDK6" s="191"/>
      <c r="IDL6" s="191"/>
      <c r="IDN6" s="191"/>
      <c r="IDO6" s="191"/>
      <c r="IDP6" s="191"/>
      <c r="IDR6" s="191"/>
      <c r="IDS6" s="191"/>
      <c r="IDT6" s="191"/>
      <c r="IDV6" s="191"/>
      <c r="IDW6" s="191"/>
      <c r="IDX6" s="191"/>
      <c r="IDZ6" s="191"/>
      <c r="IEA6" s="191"/>
      <c r="IEB6" s="191"/>
      <c r="IED6" s="191"/>
      <c r="IEE6" s="191"/>
      <c r="IEF6" s="191"/>
      <c r="IEH6" s="191"/>
      <c r="IEI6" s="191"/>
      <c r="IEJ6" s="191"/>
      <c r="IEL6" s="191"/>
      <c r="IEM6" s="191"/>
      <c r="IEN6" s="191"/>
      <c r="IEP6" s="191"/>
      <c r="IEQ6" s="191"/>
      <c r="IER6" s="191"/>
      <c r="IET6" s="191"/>
      <c r="IEU6" s="191"/>
      <c r="IEV6" s="191"/>
      <c r="IEX6" s="191"/>
      <c r="IEY6" s="191"/>
      <c r="IEZ6" s="191"/>
      <c r="IFB6" s="191"/>
      <c r="IFC6" s="191"/>
      <c r="IFD6" s="191"/>
      <c r="IFF6" s="191"/>
      <c r="IFG6" s="191"/>
      <c r="IFH6" s="191"/>
      <c r="IFJ6" s="191"/>
      <c r="IFK6" s="191"/>
      <c r="IFL6" s="191"/>
      <c r="IFN6" s="191"/>
      <c r="IFO6" s="191"/>
      <c r="IFP6" s="191"/>
      <c r="IFR6" s="191"/>
      <c r="IFS6" s="191"/>
      <c r="IFT6" s="191"/>
      <c r="IFV6" s="191"/>
      <c r="IFW6" s="191"/>
      <c r="IFX6" s="191"/>
      <c r="IFZ6" s="191"/>
      <c r="IGA6" s="191"/>
      <c r="IGB6" s="191"/>
      <c r="IGD6" s="191"/>
      <c r="IGE6" s="191"/>
      <c r="IGF6" s="191"/>
      <c r="IGH6" s="191"/>
      <c r="IGI6" s="191"/>
      <c r="IGJ6" s="191"/>
      <c r="IGL6" s="191"/>
      <c r="IGM6" s="191"/>
      <c r="IGN6" s="191"/>
      <c r="IGP6" s="191"/>
      <c r="IGQ6" s="191"/>
      <c r="IGR6" s="191"/>
      <c r="IGT6" s="191"/>
      <c r="IGU6" s="191"/>
      <c r="IGV6" s="191"/>
      <c r="IGX6" s="191"/>
      <c r="IGY6" s="191"/>
      <c r="IGZ6" s="191"/>
      <c r="IHB6" s="191"/>
      <c r="IHC6" s="191"/>
      <c r="IHD6" s="191"/>
      <c r="IHF6" s="191"/>
      <c r="IHG6" s="191"/>
      <c r="IHH6" s="191"/>
      <c r="IHJ6" s="191"/>
      <c r="IHK6" s="191"/>
      <c r="IHL6" s="191"/>
      <c r="IHN6" s="191"/>
      <c r="IHO6" s="191"/>
      <c r="IHP6" s="191"/>
      <c r="IHR6" s="191"/>
      <c r="IHS6" s="191"/>
      <c r="IHT6" s="191"/>
      <c r="IHV6" s="191"/>
      <c r="IHW6" s="191"/>
      <c r="IHX6" s="191"/>
      <c r="IHZ6" s="191"/>
      <c r="IIA6" s="191"/>
      <c r="IIB6" s="191"/>
      <c r="IID6" s="191"/>
      <c r="IIE6" s="191"/>
      <c r="IIF6" s="191"/>
      <c r="IIH6" s="191"/>
      <c r="III6" s="191"/>
      <c r="IIJ6" s="191"/>
      <c r="IIL6" s="191"/>
      <c r="IIM6" s="191"/>
      <c r="IIN6" s="191"/>
      <c r="IIP6" s="191"/>
      <c r="IIQ6" s="191"/>
      <c r="IIR6" s="191"/>
      <c r="IIT6" s="191"/>
      <c r="IIU6" s="191"/>
      <c r="IIV6" s="191"/>
      <c r="IIX6" s="191"/>
      <c r="IIY6" s="191"/>
      <c r="IIZ6" s="191"/>
      <c r="IJB6" s="191"/>
      <c r="IJC6" s="191"/>
      <c r="IJD6" s="191"/>
      <c r="IJF6" s="191"/>
      <c r="IJG6" s="191"/>
      <c r="IJH6" s="191"/>
      <c r="IJJ6" s="191"/>
      <c r="IJK6" s="191"/>
      <c r="IJL6" s="191"/>
      <c r="IJN6" s="191"/>
      <c r="IJO6" s="191"/>
      <c r="IJP6" s="191"/>
      <c r="IJR6" s="191"/>
      <c r="IJS6" s="191"/>
      <c r="IJT6" s="191"/>
      <c r="IJV6" s="191"/>
      <c r="IJW6" s="191"/>
      <c r="IJX6" s="191"/>
      <c r="IJZ6" s="191"/>
      <c r="IKA6" s="191"/>
      <c r="IKB6" s="191"/>
      <c r="IKD6" s="191"/>
      <c r="IKE6" s="191"/>
      <c r="IKF6" s="191"/>
      <c r="IKH6" s="191"/>
      <c r="IKI6" s="191"/>
      <c r="IKJ6" s="191"/>
      <c r="IKL6" s="191"/>
      <c r="IKM6" s="191"/>
      <c r="IKN6" s="191"/>
      <c r="IKP6" s="191"/>
      <c r="IKQ6" s="191"/>
      <c r="IKR6" s="191"/>
      <c r="IKT6" s="191"/>
      <c r="IKU6" s="191"/>
      <c r="IKV6" s="191"/>
      <c r="IKX6" s="191"/>
      <c r="IKY6" s="191"/>
      <c r="IKZ6" s="191"/>
      <c r="ILB6" s="191"/>
      <c r="ILC6" s="191"/>
      <c r="ILD6" s="191"/>
      <c r="ILF6" s="191"/>
      <c r="ILG6" s="191"/>
      <c r="ILH6" s="191"/>
      <c r="ILJ6" s="191"/>
      <c r="ILK6" s="191"/>
      <c r="ILL6" s="191"/>
      <c r="ILN6" s="191"/>
      <c r="ILO6" s="191"/>
      <c r="ILP6" s="191"/>
      <c r="ILR6" s="191"/>
      <c r="ILS6" s="191"/>
      <c r="ILT6" s="191"/>
      <c r="ILV6" s="191"/>
      <c r="ILW6" s="191"/>
      <c r="ILX6" s="191"/>
      <c r="ILZ6" s="191"/>
      <c r="IMA6" s="191"/>
      <c r="IMB6" s="191"/>
      <c r="IMD6" s="191"/>
      <c r="IME6" s="191"/>
      <c r="IMF6" s="191"/>
      <c r="IMH6" s="191"/>
      <c r="IMI6" s="191"/>
      <c r="IMJ6" s="191"/>
      <c r="IML6" s="191"/>
      <c r="IMM6" s="191"/>
      <c r="IMN6" s="191"/>
      <c r="IMP6" s="191"/>
      <c r="IMQ6" s="191"/>
      <c r="IMR6" s="191"/>
      <c r="IMT6" s="191"/>
      <c r="IMU6" s="191"/>
      <c r="IMV6" s="191"/>
      <c r="IMX6" s="191"/>
      <c r="IMY6" s="191"/>
      <c r="IMZ6" s="191"/>
      <c r="INB6" s="191"/>
      <c r="INC6" s="191"/>
      <c r="IND6" s="191"/>
      <c r="INF6" s="191"/>
      <c r="ING6" s="191"/>
      <c r="INH6" s="191"/>
      <c r="INJ6" s="191"/>
      <c r="INK6" s="191"/>
      <c r="INL6" s="191"/>
      <c r="INN6" s="191"/>
      <c r="INO6" s="191"/>
      <c r="INP6" s="191"/>
      <c r="INR6" s="191"/>
      <c r="INS6" s="191"/>
      <c r="INT6" s="191"/>
      <c r="INV6" s="191"/>
      <c r="INW6" s="191"/>
      <c r="INX6" s="191"/>
      <c r="INZ6" s="191"/>
      <c r="IOA6" s="191"/>
      <c r="IOB6" s="191"/>
      <c r="IOD6" s="191"/>
      <c r="IOE6" s="191"/>
      <c r="IOF6" s="191"/>
      <c r="IOH6" s="191"/>
      <c r="IOI6" s="191"/>
      <c r="IOJ6" s="191"/>
      <c r="IOL6" s="191"/>
      <c r="IOM6" s="191"/>
      <c r="ION6" s="191"/>
      <c r="IOP6" s="191"/>
      <c r="IOQ6" s="191"/>
      <c r="IOR6" s="191"/>
      <c r="IOT6" s="191"/>
      <c r="IOU6" s="191"/>
      <c r="IOV6" s="191"/>
      <c r="IOX6" s="191"/>
      <c r="IOY6" s="191"/>
      <c r="IOZ6" s="191"/>
      <c r="IPB6" s="191"/>
      <c r="IPC6" s="191"/>
      <c r="IPD6" s="191"/>
      <c r="IPF6" s="191"/>
      <c r="IPG6" s="191"/>
      <c r="IPH6" s="191"/>
      <c r="IPJ6" s="191"/>
      <c r="IPK6" s="191"/>
      <c r="IPL6" s="191"/>
      <c r="IPN6" s="191"/>
      <c r="IPO6" s="191"/>
      <c r="IPP6" s="191"/>
      <c r="IPR6" s="191"/>
      <c r="IPS6" s="191"/>
      <c r="IPT6" s="191"/>
      <c r="IPV6" s="191"/>
      <c r="IPW6" s="191"/>
      <c r="IPX6" s="191"/>
      <c r="IPZ6" s="191"/>
      <c r="IQA6" s="191"/>
      <c r="IQB6" s="191"/>
      <c r="IQD6" s="191"/>
      <c r="IQE6" s="191"/>
      <c r="IQF6" s="191"/>
      <c r="IQH6" s="191"/>
      <c r="IQI6" s="191"/>
      <c r="IQJ6" s="191"/>
      <c r="IQL6" s="191"/>
      <c r="IQM6" s="191"/>
      <c r="IQN6" s="191"/>
      <c r="IQP6" s="191"/>
      <c r="IQQ6" s="191"/>
      <c r="IQR6" s="191"/>
      <c r="IQT6" s="191"/>
      <c r="IQU6" s="191"/>
      <c r="IQV6" s="191"/>
      <c r="IQX6" s="191"/>
      <c r="IQY6" s="191"/>
      <c r="IQZ6" s="191"/>
      <c r="IRB6" s="191"/>
      <c r="IRC6" s="191"/>
      <c r="IRD6" s="191"/>
      <c r="IRF6" s="191"/>
      <c r="IRG6" s="191"/>
      <c r="IRH6" s="191"/>
      <c r="IRJ6" s="191"/>
      <c r="IRK6" s="191"/>
      <c r="IRL6" s="191"/>
      <c r="IRN6" s="191"/>
      <c r="IRO6" s="191"/>
      <c r="IRP6" s="191"/>
      <c r="IRR6" s="191"/>
      <c r="IRS6" s="191"/>
      <c r="IRT6" s="191"/>
      <c r="IRV6" s="191"/>
      <c r="IRW6" s="191"/>
      <c r="IRX6" s="191"/>
      <c r="IRZ6" s="191"/>
      <c r="ISA6" s="191"/>
      <c r="ISB6" s="191"/>
      <c r="ISD6" s="191"/>
      <c r="ISE6" s="191"/>
      <c r="ISF6" s="191"/>
      <c r="ISH6" s="191"/>
      <c r="ISI6" s="191"/>
      <c r="ISJ6" s="191"/>
      <c r="ISL6" s="191"/>
      <c r="ISM6" s="191"/>
      <c r="ISN6" s="191"/>
      <c r="ISP6" s="191"/>
      <c r="ISQ6" s="191"/>
      <c r="ISR6" s="191"/>
      <c r="IST6" s="191"/>
      <c r="ISU6" s="191"/>
      <c r="ISV6" s="191"/>
      <c r="ISX6" s="191"/>
      <c r="ISY6" s="191"/>
      <c r="ISZ6" s="191"/>
      <c r="ITB6" s="191"/>
      <c r="ITC6" s="191"/>
      <c r="ITD6" s="191"/>
      <c r="ITF6" s="191"/>
      <c r="ITG6" s="191"/>
      <c r="ITH6" s="191"/>
      <c r="ITJ6" s="191"/>
      <c r="ITK6" s="191"/>
      <c r="ITL6" s="191"/>
      <c r="ITN6" s="191"/>
      <c r="ITO6" s="191"/>
      <c r="ITP6" s="191"/>
      <c r="ITR6" s="191"/>
      <c r="ITS6" s="191"/>
      <c r="ITT6" s="191"/>
      <c r="ITV6" s="191"/>
      <c r="ITW6" s="191"/>
      <c r="ITX6" s="191"/>
      <c r="ITZ6" s="191"/>
      <c r="IUA6" s="191"/>
      <c r="IUB6" s="191"/>
      <c r="IUD6" s="191"/>
      <c r="IUE6" s="191"/>
      <c r="IUF6" s="191"/>
      <c r="IUH6" s="191"/>
      <c r="IUI6" s="191"/>
      <c r="IUJ6" s="191"/>
      <c r="IUL6" s="191"/>
      <c r="IUM6" s="191"/>
      <c r="IUN6" s="191"/>
      <c r="IUP6" s="191"/>
      <c r="IUQ6" s="191"/>
      <c r="IUR6" s="191"/>
      <c r="IUT6" s="191"/>
      <c r="IUU6" s="191"/>
      <c r="IUV6" s="191"/>
      <c r="IUX6" s="191"/>
      <c r="IUY6" s="191"/>
      <c r="IUZ6" s="191"/>
      <c r="IVB6" s="191"/>
      <c r="IVC6" s="191"/>
      <c r="IVD6" s="191"/>
      <c r="IVF6" s="191"/>
      <c r="IVG6" s="191"/>
      <c r="IVH6" s="191"/>
      <c r="IVJ6" s="191"/>
      <c r="IVK6" s="191"/>
      <c r="IVL6" s="191"/>
      <c r="IVN6" s="191"/>
      <c r="IVO6" s="191"/>
      <c r="IVP6" s="191"/>
      <c r="IVR6" s="191"/>
      <c r="IVS6" s="191"/>
      <c r="IVT6" s="191"/>
      <c r="IVV6" s="191"/>
      <c r="IVW6" s="191"/>
      <c r="IVX6" s="191"/>
      <c r="IVZ6" s="191"/>
      <c r="IWA6" s="191"/>
      <c r="IWB6" s="191"/>
      <c r="IWD6" s="191"/>
      <c r="IWE6" s="191"/>
      <c r="IWF6" s="191"/>
      <c r="IWH6" s="191"/>
      <c r="IWI6" s="191"/>
      <c r="IWJ6" s="191"/>
      <c r="IWL6" s="191"/>
      <c r="IWM6" s="191"/>
      <c r="IWN6" s="191"/>
      <c r="IWP6" s="191"/>
      <c r="IWQ6" s="191"/>
      <c r="IWR6" s="191"/>
      <c r="IWT6" s="191"/>
      <c r="IWU6" s="191"/>
      <c r="IWV6" s="191"/>
      <c r="IWX6" s="191"/>
      <c r="IWY6" s="191"/>
      <c r="IWZ6" s="191"/>
      <c r="IXB6" s="191"/>
      <c r="IXC6" s="191"/>
      <c r="IXD6" s="191"/>
      <c r="IXF6" s="191"/>
      <c r="IXG6" s="191"/>
      <c r="IXH6" s="191"/>
      <c r="IXJ6" s="191"/>
      <c r="IXK6" s="191"/>
      <c r="IXL6" s="191"/>
      <c r="IXN6" s="191"/>
      <c r="IXO6" s="191"/>
      <c r="IXP6" s="191"/>
      <c r="IXR6" s="191"/>
      <c r="IXS6" s="191"/>
      <c r="IXT6" s="191"/>
      <c r="IXV6" s="191"/>
      <c r="IXW6" s="191"/>
      <c r="IXX6" s="191"/>
      <c r="IXZ6" s="191"/>
      <c r="IYA6" s="191"/>
      <c r="IYB6" s="191"/>
      <c r="IYD6" s="191"/>
      <c r="IYE6" s="191"/>
      <c r="IYF6" s="191"/>
      <c r="IYH6" s="191"/>
      <c r="IYI6" s="191"/>
      <c r="IYJ6" s="191"/>
      <c r="IYL6" s="191"/>
      <c r="IYM6" s="191"/>
      <c r="IYN6" s="191"/>
      <c r="IYP6" s="191"/>
      <c r="IYQ6" s="191"/>
      <c r="IYR6" s="191"/>
      <c r="IYT6" s="191"/>
      <c r="IYU6" s="191"/>
      <c r="IYV6" s="191"/>
      <c r="IYX6" s="191"/>
      <c r="IYY6" s="191"/>
      <c r="IYZ6" s="191"/>
      <c r="IZB6" s="191"/>
      <c r="IZC6" s="191"/>
      <c r="IZD6" s="191"/>
      <c r="IZF6" s="191"/>
      <c r="IZG6" s="191"/>
      <c r="IZH6" s="191"/>
      <c r="IZJ6" s="191"/>
      <c r="IZK6" s="191"/>
      <c r="IZL6" s="191"/>
      <c r="IZN6" s="191"/>
      <c r="IZO6" s="191"/>
      <c r="IZP6" s="191"/>
      <c r="IZR6" s="191"/>
      <c r="IZS6" s="191"/>
      <c r="IZT6" s="191"/>
      <c r="IZV6" s="191"/>
      <c r="IZW6" s="191"/>
      <c r="IZX6" s="191"/>
      <c r="IZZ6" s="191"/>
      <c r="JAA6" s="191"/>
      <c r="JAB6" s="191"/>
      <c r="JAD6" s="191"/>
      <c r="JAE6" s="191"/>
      <c r="JAF6" s="191"/>
      <c r="JAH6" s="191"/>
      <c r="JAI6" s="191"/>
      <c r="JAJ6" s="191"/>
      <c r="JAL6" s="191"/>
      <c r="JAM6" s="191"/>
      <c r="JAN6" s="191"/>
      <c r="JAP6" s="191"/>
      <c r="JAQ6" s="191"/>
      <c r="JAR6" s="191"/>
      <c r="JAT6" s="191"/>
      <c r="JAU6" s="191"/>
      <c r="JAV6" s="191"/>
      <c r="JAX6" s="191"/>
      <c r="JAY6" s="191"/>
      <c r="JAZ6" s="191"/>
      <c r="JBB6" s="191"/>
      <c r="JBC6" s="191"/>
      <c r="JBD6" s="191"/>
      <c r="JBF6" s="191"/>
      <c r="JBG6" s="191"/>
      <c r="JBH6" s="191"/>
      <c r="JBJ6" s="191"/>
      <c r="JBK6" s="191"/>
      <c r="JBL6" s="191"/>
      <c r="JBN6" s="191"/>
      <c r="JBO6" s="191"/>
      <c r="JBP6" s="191"/>
      <c r="JBR6" s="191"/>
      <c r="JBS6" s="191"/>
      <c r="JBT6" s="191"/>
      <c r="JBV6" s="191"/>
      <c r="JBW6" s="191"/>
      <c r="JBX6" s="191"/>
      <c r="JBZ6" s="191"/>
      <c r="JCA6" s="191"/>
      <c r="JCB6" s="191"/>
      <c r="JCD6" s="191"/>
      <c r="JCE6" s="191"/>
      <c r="JCF6" s="191"/>
      <c r="JCH6" s="191"/>
      <c r="JCI6" s="191"/>
      <c r="JCJ6" s="191"/>
      <c r="JCL6" s="191"/>
      <c r="JCM6" s="191"/>
      <c r="JCN6" s="191"/>
      <c r="JCP6" s="191"/>
      <c r="JCQ6" s="191"/>
      <c r="JCR6" s="191"/>
      <c r="JCT6" s="191"/>
      <c r="JCU6" s="191"/>
      <c r="JCV6" s="191"/>
      <c r="JCX6" s="191"/>
      <c r="JCY6" s="191"/>
      <c r="JCZ6" s="191"/>
      <c r="JDB6" s="191"/>
      <c r="JDC6" s="191"/>
      <c r="JDD6" s="191"/>
      <c r="JDF6" s="191"/>
      <c r="JDG6" s="191"/>
      <c r="JDH6" s="191"/>
      <c r="JDJ6" s="191"/>
      <c r="JDK6" s="191"/>
      <c r="JDL6" s="191"/>
      <c r="JDN6" s="191"/>
      <c r="JDO6" s="191"/>
      <c r="JDP6" s="191"/>
      <c r="JDR6" s="191"/>
      <c r="JDS6" s="191"/>
      <c r="JDT6" s="191"/>
      <c r="JDV6" s="191"/>
      <c r="JDW6" s="191"/>
      <c r="JDX6" s="191"/>
      <c r="JDZ6" s="191"/>
      <c r="JEA6" s="191"/>
      <c r="JEB6" s="191"/>
      <c r="JED6" s="191"/>
      <c r="JEE6" s="191"/>
      <c r="JEF6" s="191"/>
      <c r="JEH6" s="191"/>
      <c r="JEI6" s="191"/>
      <c r="JEJ6" s="191"/>
      <c r="JEL6" s="191"/>
      <c r="JEM6" s="191"/>
      <c r="JEN6" s="191"/>
      <c r="JEP6" s="191"/>
      <c r="JEQ6" s="191"/>
      <c r="JER6" s="191"/>
      <c r="JET6" s="191"/>
      <c r="JEU6" s="191"/>
      <c r="JEV6" s="191"/>
      <c r="JEX6" s="191"/>
      <c r="JEY6" s="191"/>
      <c r="JEZ6" s="191"/>
      <c r="JFB6" s="191"/>
      <c r="JFC6" s="191"/>
      <c r="JFD6" s="191"/>
      <c r="JFF6" s="191"/>
      <c r="JFG6" s="191"/>
      <c r="JFH6" s="191"/>
      <c r="JFJ6" s="191"/>
      <c r="JFK6" s="191"/>
      <c r="JFL6" s="191"/>
      <c r="JFN6" s="191"/>
      <c r="JFO6" s="191"/>
      <c r="JFP6" s="191"/>
      <c r="JFR6" s="191"/>
      <c r="JFS6" s="191"/>
      <c r="JFT6" s="191"/>
      <c r="JFV6" s="191"/>
      <c r="JFW6" s="191"/>
      <c r="JFX6" s="191"/>
      <c r="JFZ6" s="191"/>
      <c r="JGA6" s="191"/>
      <c r="JGB6" s="191"/>
      <c r="JGD6" s="191"/>
      <c r="JGE6" s="191"/>
      <c r="JGF6" s="191"/>
      <c r="JGH6" s="191"/>
      <c r="JGI6" s="191"/>
      <c r="JGJ6" s="191"/>
      <c r="JGL6" s="191"/>
      <c r="JGM6" s="191"/>
      <c r="JGN6" s="191"/>
      <c r="JGP6" s="191"/>
      <c r="JGQ6" s="191"/>
      <c r="JGR6" s="191"/>
      <c r="JGT6" s="191"/>
      <c r="JGU6" s="191"/>
      <c r="JGV6" s="191"/>
      <c r="JGX6" s="191"/>
      <c r="JGY6" s="191"/>
      <c r="JGZ6" s="191"/>
      <c r="JHB6" s="191"/>
      <c r="JHC6" s="191"/>
      <c r="JHD6" s="191"/>
      <c r="JHF6" s="191"/>
      <c r="JHG6" s="191"/>
      <c r="JHH6" s="191"/>
      <c r="JHJ6" s="191"/>
      <c r="JHK6" s="191"/>
      <c r="JHL6" s="191"/>
      <c r="JHN6" s="191"/>
      <c r="JHO6" s="191"/>
      <c r="JHP6" s="191"/>
      <c r="JHR6" s="191"/>
      <c r="JHS6" s="191"/>
      <c r="JHT6" s="191"/>
      <c r="JHV6" s="191"/>
      <c r="JHW6" s="191"/>
      <c r="JHX6" s="191"/>
      <c r="JHZ6" s="191"/>
      <c r="JIA6" s="191"/>
      <c r="JIB6" s="191"/>
      <c r="JID6" s="191"/>
      <c r="JIE6" s="191"/>
      <c r="JIF6" s="191"/>
      <c r="JIH6" s="191"/>
      <c r="JII6" s="191"/>
      <c r="JIJ6" s="191"/>
      <c r="JIL6" s="191"/>
      <c r="JIM6" s="191"/>
      <c r="JIN6" s="191"/>
      <c r="JIP6" s="191"/>
      <c r="JIQ6" s="191"/>
      <c r="JIR6" s="191"/>
      <c r="JIT6" s="191"/>
      <c r="JIU6" s="191"/>
      <c r="JIV6" s="191"/>
      <c r="JIX6" s="191"/>
      <c r="JIY6" s="191"/>
      <c r="JIZ6" s="191"/>
      <c r="JJB6" s="191"/>
      <c r="JJC6" s="191"/>
      <c r="JJD6" s="191"/>
      <c r="JJF6" s="191"/>
      <c r="JJG6" s="191"/>
      <c r="JJH6" s="191"/>
      <c r="JJJ6" s="191"/>
      <c r="JJK6" s="191"/>
      <c r="JJL6" s="191"/>
      <c r="JJN6" s="191"/>
      <c r="JJO6" s="191"/>
      <c r="JJP6" s="191"/>
      <c r="JJR6" s="191"/>
      <c r="JJS6" s="191"/>
      <c r="JJT6" s="191"/>
      <c r="JJV6" s="191"/>
      <c r="JJW6" s="191"/>
      <c r="JJX6" s="191"/>
      <c r="JJZ6" s="191"/>
      <c r="JKA6" s="191"/>
      <c r="JKB6" s="191"/>
      <c r="JKD6" s="191"/>
      <c r="JKE6" s="191"/>
      <c r="JKF6" s="191"/>
      <c r="JKH6" s="191"/>
      <c r="JKI6" s="191"/>
      <c r="JKJ6" s="191"/>
      <c r="JKL6" s="191"/>
      <c r="JKM6" s="191"/>
      <c r="JKN6" s="191"/>
      <c r="JKP6" s="191"/>
      <c r="JKQ6" s="191"/>
      <c r="JKR6" s="191"/>
      <c r="JKT6" s="191"/>
      <c r="JKU6" s="191"/>
      <c r="JKV6" s="191"/>
      <c r="JKX6" s="191"/>
      <c r="JKY6" s="191"/>
      <c r="JKZ6" s="191"/>
      <c r="JLB6" s="191"/>
      <c r="JLC6" s="191"/>
      <c r="JLD6" s="191"/>
      <c r="JLF6" s="191"/>
      <c r="JLG6" s="191"/>
      <c r="JLH6" s="191"/>
      <c r="JLJ6" s="191"/>
      <c r="JLK6" s="191"/>
      <c r="JLL6" s="191"/>
      <c r="JLN6" s="191"/>
      <c r="JLO6" s="191"/>
      <c r="JLP6" s="191"/>
      <c r="JLR6" s="191"/>
      <c r="JLS6" s="191"/>
      <c r="JLT6" s="191"/>
      <c r="JLV6" s="191"/>
      <c r="JLW6" s="191"/>
      <c r="JLX6" s="191"/>
      <c r="JLZ6" s="191"/>
      <c r="JMA6" s="191"/>
      <c r="JMB6" s="191"/>
      <c r="JMD6" s="191"/>
      <c r="JME6" s="191"/>
      <c r="JMF6" s="191"/>
      <c r="JMH6" s="191"/>
      <c r="JMI6" s="191"/>
      <c r="JMJ6" s="191"/>
      <c r="JML6" s="191"/>
      <c r="JMM6" s="191"/>
      <c r="JMN6" s="191"/>
      <c r="JMP6" s="191"/>
      <c r="JMQ6" s="191"/>
      <c r="JMR6" s="191"/>
      <c r="JMT6" s="191"/>
      <c r="JMU6" s="191"/>
      <c r="JMV6" s="191"/>
      <c r="JMX6" s="191"/>
      <c r="JMY6" s="191"/>
      <c r="JMZ6" s="191"/>
      <c r="JNB6" s="191"/>
      <c r="JNC6" s="191"/>
      <c r="JND6" s="191"/>
      <c r="JNF6" s="191"/>
      <c r="JNG6" s="191"/>
      <c r="JNH6" s="191"/>
      <c r="JNJ6" s="191"/>
      <c r="JNK6" s="191"/>
      <c r="JNL6" s="191"/>
      <c r="JNN6" s="191"/>
      <c r="JNO6" s="191"/>
      <c r="JNP6" s="191"/>
      <c r="JNR6" s="191"/>
      <c r="JNS6" s="191"/>
      <c r="JNT6" s="191"/>
      <c r="JNV6" s="191"/>
      <c r="JNW6" s="191"/>
      <c r="JNX6" s="191"/>
      <c r="JNZ6" s="191"/>
      <c r="JOA6" s="191"/>
      <c r="JOB6" s="191"/>
      <c r="JOD6" s="191"/>
      <c r="JOE6" s="191"/>
      <c r="JOF6" s="191"/>
      <c r="JOH6" s="191"/>
      <c r="JOI6" s="191"/>
      <c r="JOJ6" s="191"/>
      <c r="JOL6" s="191"/>
      <c r="JOM6" s="191"/>
      <c r="JON6" s="191"/>
      <c r="JOP6" s="191"/>
      <c r="JOQ6" s="191"/>
      <c r="JOR6" s="191"/>
      <c r="JOT6" s="191"/>
      <c r="JOU6" s="191"/>
      <c r="JOV6" s="191"/>
      <c r="JOX6" s="191"/>
      <c r="JOY6" s="191"/>
      <c r="JOZ6" s="191"/>
      <c r="JPB6" s="191"/>
      <c r="JPC6" s="191"/>
      <c r="JPD6" s="191"/>
      <c r="JPF6" s="191"/>
      <c r="JPG6" s="191"/>
      <c r="JPH6" s="191"/>
      <c r="JPJ6" s="191"/>
      <c r="JPK6" s="191"/>
      <c r="JPL6" s="191"/>
      <c r="JPN6" s="191"/>
      <c r="JPO6" s="191"/>
      <c r="JPP6" s="191"/>
      <c r="JPR6" s="191"/>
      <c r="JPS6" s="191"/>
      <c r="JPT6" s="191"/>
      <c r="JPV6" s="191"/>
      <c r="JPW6" s="191"/>
      <c r="JPX6" s="191"/>
      <c r="JPZ6" s="191"/>
      <c r="JQA6" s="191"/>
      <c r="JQB6" s="191"/>
      <c r="JQD6" s="191"/>
      <c r="JQE6" s="191"/>
      <c r="JQF6" s="191"/>
      <c r="JQH6" s="191"/>
      <c r="JQI6" s="191"/>
      <c r="JQJ6" s="191"/>
      <c r="JQL6" s="191"/>
      <c r="JQM6" s="191"/>
      <c r="JQN6" s="191"/>
      <c r="JQP6" s="191"/>
      <c r="JQQ6" s="191"/>
      <c r="JQR6" s="191"/>
      <c r="JQT6" s="191"/>
      <c r="JQU6" s="191"/>
      <c r="JQV6" s="191"/>
      <c r="JQX6" s="191"/>
      <c r="JQY6" s="191"/>
      <c r="JQZ6" s="191"/>
      <c r="JRB6" s="191"/>
      <c r="JRC6" s="191"/>
      <c r="JRD6" s="191"/>
      <c r="JRF6" s="191"/>
      <c r="JRG6" s="191"/>
      <c r="JRH6" s="191"/>
      <c r="JRJ6" s="191"/>
      <c r="JRK6" s="191"/>
      <c r="JRL6" s="191"/>
      <c r="JRN6" s="191"/>
      <c r="JRO6" s="191"/>
      <c r="JRP6" s="191"/>
      <c r="JRR6" s="191"/>
      <c r="JRS6" s="191"/>
      <c r="JRT6" s="191"/>
      <c r="JRV6" s="191"/>
      <c r="JRW6" s="191"/>
      <c r="JRX6" s="191"/>
      <c r="JRZ6" s="191"/>
      <c r="JSA6" s="191"/>
      <c r="JSB6" s="191"/>
      <c r="JSD6" s="191"/>
      <c r="JSE6" s="191"/>
      <c r="JSF6" s="191"/>
      <c r="JSH6" s="191"/>
      <c r="JSI6" s="191"/>
      <c r="JSJ6" s="191"/>
      <c r="JSL6" s="191"/>
      <c r="JSM6" s="191"/>
      <c r="JSN6" s="191"/>
      <c r="JSP6" s="191"/>
      <c r="JSQ6" s="191"/>
      <c r="JSR6" s="191"/>
      <c r="JST6" s="191"/>
      <c r="JSU6" s="191"/>
      <c r="JSV6" s="191"/>
      <c r="JSX6" s="191"/>
      <c r="JSY6" s="191"/>
      <c r="JSZ6" s="191"/>
      <c r="JTB6" s="191"/>
      <c r="JTC6" s="191"/>
      <c r="JTD6" s="191"/>
      <c r="JTF6" s="191"/>
      <c r="JTG6" s="191"/>
      <c r="JTH6" s="191"/>
      <c r="JTJ6" s="191"/>
      <c r="JTK6" s="191"/>
      <c r="JTL6" s="191"/>
      <c r="JTN6" s="191"/>
      <c r="JTO6" s="191"/>
      <c r="JTP6" s="191"/>
      <c r="JTR6" s="191"/>
      <c r="JTS6" s="191"/>
      <c r="JTT6" s="191"/>
      <c r="JTV6" s="191"/>
      <c r="JTW6" s="191"/>
      <c r="JTX6" s="191"/>
      <c r="JTZ6" s="191"/>
      <c r="JUA6" s="191"/>
      <c r="JUB6" s="191"/>
      <c r="JUD6" s="191"/>
      <c r="JUE6" s="191"/>
      <c r="JUF6" s="191"/>
      <c r="JUH6" s="191"/>
      <c r="JUI6" s="191"/>
      <c r="JUJ6" s="191"/>
      <c r="JUL6" s="191"/>
      <c r="JUM6" s="191"/>
      <c r="JUN6" s="191"/>
      <c r="JUP6" s="191"/>
      <c r="JUQ6" s="191"/>
      <c r="JUR6" s="191"/>
      <c r="JUT6" s="191"/>
      <c r="JUU6" s="191"/>
      <c r="JUV6" s="191"/>
      <c r="JUX6" s="191"/>
      <c r="JUY6" s="191"/>
      <c r="JUZ6" s="191"/>
      <c r="JVB6" s="191"/>
      <c r="JVC6" s="191"/>
      <c r="JVD6" s="191"/>
      <c r="JVF6" s="191"/>
      <c r="JVG6" s="191"/>
      <c r="JVH6" s="191"/>
      <c r="JVJ6" s="191"/>
      <c r="JVK6" s="191"/>
      <c r="JVL6" s="191"/>
      <c r="JVN6" s="191"/>
      <c r="JVO6" s="191"/>
      <c r="JVP6" s="191"/>
      <c r="JVR6" s="191"/>
      <c r="JVS6" s="191"/>
      <c r="JVT6" s="191"/>
      <c r="JVV6" s="191"/>
      <c r="JVW6" s="191"/>
      <c r="JVX6" s="191"/>
      <c r="JVZ6" s="191"/>
      <c r="JWA6" s="191"/>
      <c r="JWB6" s="191"/>
      <c r="JWD6" s="191"/>
      <c r="JWE6" s="191"/>
      <c r="JWF6" s="191"/>
      <c r="JWH6" s="191"/>
      <c r="JWI6" s="191"/>
      <c r="JWJ6" s="191"/>
      <c r="JWL6" s="191"/>
      <c r="JWM6" s="191"/>
      <c r="JWN6" s="191"/>
      <c r="JWP6" s="191"/>
      <c r="JWQ6" s="191"/>
      <c r="JWR6" s="191"/>
      <c r="JWT6" s="191"/>
      <c r="JWU6" s="191"/>
      <c r="JWV6" s="191"/>
      <c r="JWX6" s="191"/>
      <c r="JWY6" s="191"/>
      <c r="JWZ6" s="191"/>
      <c r="JXB6" s="191"/>
      <c r="JXC6" s="191"/>
      <c r="JXD6" s="191"/>
      <c r="JXF6" s="191"/>
      <c r="JXG6" s="191"/>
      <c r="JXH6" s="191"/>
      <c r="JXJ6" s="191"/>
      <c r="JXK6" s="191"/>
      <c r="JXL6" s="191"/>
      <c r="JXN6" s="191"/>
      <c r="JXO6" s="191"/>
      <c r="JXP6" s="191"/>
      <c r="JXR6" s="191"/>
      <c r="JXS6" s="191"/>
      <c r="JXT6" s="191"/>
      <c r="JXV6" s="191"/>
      <c r="JXW6" s="191"/>
      <c r="JXX6" s="191"/>
      <c r="JXZ6" s="191"/>
      <c r="JYA6" s="191"/>
      <c r="JYB6" s="191"/>
      <c r="JYD6" s="191"/>
      <c r="JYE6" s="191"/>
      <c r="JYF6" s="191"/>
      <c r="JYH6" s="191"/>
      <c r="JYI6" s="191"/>
      <c r="JYJ6" s="191"/>
      <c r="JYL6" s="191"/>
      <c r="JYM6" s="191"/>
      <c r="JYN6" s="191"/>
      <c r="JYP6" s="191"/>
      <c r="JYQ6" s="191"/>
      <c r="JYR6" s="191"/>
      <c r="JYT6" s="191"/>
      <c r="JYU6" s="191"/>
      <c r="JYV6" s="191"/>
      <c r="JYX6" s="191"/>
      <c r="JYY6" s="191"/>
      <c r="JYZ6" s="191"/>
      <c r="JZB6" s="191"/>
      <c r="JZC6" s="191"/>
      <c r="JZD6" s="191"/>
      <c r="JZF6" s="191"/>
      <c r="JZG6" s="191"/>
      <c r="JZH6" s="191"/>
      <c r="JZJ6" s="191"/>
      <c r="JZK6" s="191"/>
      <c r="JZL6" s="191"/>
      <c r="JZN6" s="191"/>
      <c r="JZO6" s="191"/>
      <c r="JZP6" s="191"/>
      <c r="JZR6" s="191"/>
      <c r="JZS6" s="191"/>
      <c r="JZT6" s="191"/>
      <c r="JZV6" s="191"/>
      <c r="JZW6" s="191"/>
      <c r="JZX6" s="191"/>
      <c r="JZZ6" s="191"/>
      <c r="KAA6" s="191"/>
      <c r="KAB6" s="191"/>
      <c r="KAD6" s="191"/>
      <c r="KAE6" s="191"/>
      <c r="KAF6" s="191"/>
      <c r="KAH6" s="191"/>
      <c r="KAI6" s="191"/>
      <c r="KAJ6" s="191"/>
      <c r="KAL6" s="191"/>
      <c r="KAM6" s="191"/>
      <c r="KAN6" s="191"/>
      <c r="KAP6" s="191"/>
      <c r="KAQ6" s="191"/>
      <c r="KAR6" s="191"/>
      <c r="KAT6" s="191"/>
      <c r="KAU6" s="191"/>
      <c r="KAV6" s="191"/>
      <c r="KAX6" s="191"/>
      <c r="KAY6" s="191"/>
      <c r="KAZ6" s="191"/>
      <c r="KBB6" s="191"/>
      <c r="KBC6" s="191"/>
      <c r="KBD6" s="191"/>
      <c r="KBF6" s="191"/>
      <c r="KBG6" s="191"/>
      <c r="KBH6" s="191"/>
      <c r="KBJ6" s="191"/>
      <c r="KBK6" s="191"/>
      <c r="KBL6" s="191"/>
      <c r="KBN6" s="191"/>
      <c r="KBO6" s="191"/>
      <c r="KBP6" s="191"/>
      <c r="KBR6" s="191"/>
      <c r="KBS6" s="191"/>
      <c r="KBT6" s="191"/>
      <c r="KBV6" s="191"/>
      <c r="KBW6" s="191"/>
      <c r="KBX6" s="191"/>
      <c r="KBZ6" s="191"/>
      <c r="KCA6" s="191"/>
      <c r="KCB6" s="191"/>
      <c r="KCD6" s="191"/>
      <c r="KCE6" s="191"/>
      <c r="KCF6" s="191"/>
      <c r="KCH6" s="191"/>
      <c r="KCI6" s="191"/>
      <c r="KCJ6" s="191"/>
      <c r="KCL6" s="191"/>
      <c r="KCM6" s="191"/>
      <c r="KCN6" s="191"/>
      <c r="KCP6" s="191"/>
      <c r="KCQ6" s="191"/>
      <c r="KCR6" s="191"/>
      <c r="KCT6" s="191"/>
      <c r="KCU6" s="191"/>
      <c r="KCV6" s="191"/>
      <c r="KCX6" s="191"/>
      <c r="KCY6" s="191"/>
      <c r="KCZ6" s="191"/>
      <c r="KDB6" s="191"/>
      <c r="KDC6" s="191"/>
      <c r="KDD6" s="191"/>
      <c r="KDF6" s="191"/>
      <c r="KDG6" s="191"/>
      <c r="KDH6" s="191"/>
      <c r="KDJ6" s="191"/>
      <c r="KDK6" s="191"/>
      <c r="KDL6" s="191"/>
      <c r="KDN6" s="191"/>
      <c r="KDO6" s="191"/>
      <c r="KDP6" s="191"/>
      <c r="KDR6" s="191"/>
      <c r="KDS6" s="191"/>
      <c r="KDT6" s="191"/>
      <c r="KDV6" s="191"/>
      <c r="KDW6" s="191"/>
      <c r="KDX6" s="191"/>
      <c r="KDZ6" s="191"/>
      <c r="KEA6" s="191"/>
      <c r="KEB6" s="191"/>
      <c r="KED6" s="191"/>
      <c r="KEE6" s="191"/>
      <c r="KEF6" s="191"/>
      <c r="KEH6" s="191"/>
      <c r="KEI6" s="191"/>
      <c r="KEJ6" s="191"/>
      <c r="KEL6" s="191"/>
      <c r="KEM6" s="191"/>
      <c r="KEN6" s="191"/>
      <c r="KEP6" s="191"/>
      <c r="KEQ6" s="191"/>
      <c r="KER6" s="191"/>
      <c r="KET6" s="191"/>
      <c r="KEU6" s="191"/>
      <c r="KEV6" s="191"/>
      <c r="KEX6" s="191"/>
      <c r="KEY6" s="191"/>
      <c r="KEZ6" s="191"/>
      <c r="KFB6" s="191"/>
      <c r="KFC6" s="191"/>
      <c r="KFD6" s="191"/>
      <c r="KFF6" s="191"/>
      <c r="KFG6" s="191"/>
      <c r="KFH6" s="191"/>
      <c r="KFJ6" s="191"/>
      <c r="KFK6" s="191"/>
      <c r="KFL6" s="191"/>
      <c r="KFN6" s="191"/>
      <c r="KFO6" s="191"/>
      <c r="KFP6" s="191"/>
      <c r="KFR6" s="191"/>
      <c r="KFS6" s="191"/>
      <c r="KFT6" s="191"/>
      <c r="KFV6" s="191"/>
      <c r="KFW6" s="191"/>
      <c r="KFX6" s="191"/>
      <c r="KFZ6" s="191"/>
      <c r="KGA6" s="191"/>
      <c r="KGB6" s="191"/>
      <c r="KGD6" s="191"/>
      <c r="KGE6" s="191"/>
      <c r="KGF6" s="191"/>
      <c r="KGH6" s="191"/>
      <c r="KGI6" s="191"/>
      <c r="KGJ6" s="191"/>
      <c r="KGL6" s="191"/>
      <c r="KGM6" s="191"/>
      <c r="KGN6" s="191"/>
      <c r="KGP6" s="191"/>
      <c r="KGQ6" s="191"/>
      <c r="KGR6" s="191"/>
      <c r="KGT6" s="191"/>
      <c r="KGU6" s="191"/>
      <c r="KGV6" s="191"/>
      <c r="KGX6" s="191"/>
      <c r="KGY6" s="191"/>
      <c r="KGZ6" s="191"/>
      <c r="KHB6" s="191"/>
      <c r="KHC6" s="191"/>
      <c r="KHD6" s="191"/>
      <c r="KHF6" s="191"/>
      <c r="KHG6" s="191"/>
      <c r="KHH6" s="191"/>
      <c r="KHJ6" s="191"/>
      <c r="KHK6" s="191"/>
      <c r="KHL6" s="191"/>
      <c r="KHN6" s="191"/>
      <c r="KHO6" s="191"/>
      <c r="KHP6" s="191"/>
      <c r="KHR6" s="191"/>
      <c r="KHS6" s="191"/>
      <c r="KHT6" s="191"/>
      <c r="KHV6" s="191"/>
      <c r="KHW6" s="191"/>
      <c r="KHX6" s="191"/>
      <c r="KHZ6" s="191"/>
      <c r="KIA6" s="191"/>
      <c r="KIB6" s="191"/>
      <c r="KID6" s="191"/>
      <c r="KIE6" s="191"/>
      <c r="KIF6" s="191"/>
      <c r="KIH6" s="191"/>
      <c r="KII6" s="191"/>
      <c r="KIJ6" s="191"/>
      <c r="KIL6" s="191"/>
      <c r="KIM6" s="191"/>
      <c r="KIN6" s="191"/>
      <c r="KIP6" s="191"/>
      <c r="KIQ6" s="191"/>
      <c r="KIR6" s="191"/>
      <c r="KIT6" s="191"/>
      <c r="KIU6" s="191"/>
      <c r="KIV6" s="191"/>
      <c r="KIX6" s="191"/>
      <c r="KIY6" s="191"/>
      <c r="KIZ6" s="191"/>
      <c r="KJB6" s="191"/>
      <c r="KJC6" s="191"/>
      <c r="KJD6" s="191"/>
      <c r="KJF6" s="191"/>
      <c r="KJG6" s="191"/>
      <c r="KJH6" s="191"/>
      <c r="KJJ6" s="191"/>
      <c r="KJK6" s="191"/>
      <c r="KJL6" s="191"/>
      <c r="KJN6" s="191"/>
      <c r="KJO6" s="191"/>
      <c r="KJP6" s="191"/>
      <c r="KJR6" s="191"/>
      <c r="KJS6" s="191"/>
      <c r="KJT6" s="191"/>
      <c r="KJV6" s="191"/>
      <c r="KJW6" s="191"/>
      <c r="KJX6" s="191"/>
      <c r="KJZ6" s="191"/>
      <c r="KKA6" s="191"/>
      <c r="KKB6" s="191"/>
      <c r="KKD6" s="191"/>
      <c r="KKE6" s="191"/>
      <c r="KKF6" s="191"/>
      <c r="KKH6" s="191"/>
      <c r="KKI6" s="191"/>
      <c r="KKJ6" s="191"/>
      <c r="KKL6" s="191"/>
      <c r="KKM6" s="191"/>
      <c r="KKN6" s="191"/>
      <c r="KKP6" s="191"/>
      <c r="KKQ6" s="191"/>
      <c r="KKR6" s="191"/>
      <c r="KKT6" s="191"/>
      <c r="KKU6" s="191"/>
      <c r="KKV6" s="191"/>
      <c r="KKX6" s="191"/>
      <c r="KKY6" s="191"/>
      <c r="KKZ6" s="191"/>
      <c r="KLB6" s="191"/>
      <c r="KLC6" s="191"/>
      <c r="KLD6" s="191"/>
      <c r="KLF6" s="191"/>
      <c r="KLG6" s="191"/>
      <c r="KLH6" s="191"/>
      <c r="KLJ6" s="191"/>
      <c r="KLK6" s="191"/>
      <c r="KLL6" s="191"/>
      <c r="KLN6" s="191"/>
      <c r="KLO6" s="191"/>
      <c r="KLP6" s="191"/>
      <c r="KLR6" s="191"/>
      <c r="KLS6" s="191"/>
      <c r="KLT6" s="191"/>
      <c r="KLV6" s="191"/>
      <c r="KLW6" s="191"/>
      <c r="KLX6" s="191"/>
      <c r="KLZ6" s="191"/>
      <c r="KMA6" s="191"/>
      <c r="KMB6" s="191"/>
      <c r="KMD6" s="191"/>
      <c r="KME6" s="191"/>
      <c r="KMF6" s="191"/>
      <c r="KMH6" s="191"/>
      <c r="KMI6" s="191"/>
      <c r="KMJ6" s="191"/>
      <c r="KML6" s="191"/>
      <c r="KMM6" s="191"/>
      <c r="KMN6" s="191"/>
      <c r="KMP6" s="191"/>
      <c r="KMQ6" s="191"/>
      <c r="KMR6" s="191"/>
      <c r="KMT6" s="191"/>
      <c r="KMU6" s="191"/>
      <c r="KMV6" s="191"/>
      <c r="KMX6" s="191"/>
      <c r="KMY6" s="191"/>
      <c r="KMZ6" s="191"/>
      <c r="KNB6" s="191"/>
      <c r="KNC6" s="191"/>
      <c r="KND6" s="191"/>
      <c r="KNF6" s="191"/>
      <c r="KNG6" s="191"/>
      <c r="KNH6" s="191"/>
      <c r="KNJ6" s="191"/>
      <c r="KNK6" s="191"/>
      <c r="KNL6" s="191"/>
      <c r="KNN6" s="191"/>
      <c r="KNO6" s="191"/>
      <c r="KNP6" s="191"/>
      <c r="KNR6" s="191"/>
      <c r="KNS6" s="191"/>
      <c r="KNT6" s="191"/>
      <c r="KNV6" s="191"/>
      <c r="KNW6" s="191"/>
      <c r="KNX6" s="191"/>
      <c r="KNZ6" s="191"/>
      <c r="KOA6" s="191"/>
      <c r="KOB6" s="191"/>
      <c r="KOD6" s="191"/>
      <c r="KOE6" s="191"/>
      <c r="KOF6" s="191"/>
      <c r="KOH6" s="191"/>
      <c r="KOI6" s="191"/>
      <c r="KOJ6" s="191"/>
      <c r="KOL6" s="191"/>
      <c r="KOM6" s="191"/>
      <c r="KON6" s="191"/>
      <c r="KOP6" s="191"/>
      <c r="KOQ6" s="191"/>
      <c r="KOR6" s="191"/>
      <c r="KOT6" s="191"/>
      <c r="KOU6" s="191"/>
      <c r="KOV6" s="191"/>
      <c r="KOX6" s="191"/>
      <c r="KOY6" s="191"/>
      <c r="KOZ6" s="191"/>
      <c r="KPB6" s="191"/>
      <c r="KPC6" s="191"/>
      <c r="KPD6" s="191"/>
      <c r="KPF6" s="191"/>
      <c r="KPG6" s="191"/>
      <c r="KPH6" s="191"/>
      <c r="KPJ6" s="191"/>
      <c r="KPK6" s="191"/>
      <c r="KPL6" s="191"/>
      <c r="KPN6" s="191"/>
      <c r="KPO6" s="191"/>
      <c r="KPP6" s="191"/>
      <c r="KPR6" s="191"/>
      <c r="KPS6" s="191"/>
      <c r="KPT6" s="191"/>
      <c r="KPV6" s="191"/>
      <c r="KPW6" s="191"/>
      <c r="KPX6" s="191"/>
      <c r="KPZ6" s="191"/>
      <c r="KQA6" s="191"/>
      <c r="KQB6" s="191"/>
      <c r="KQD6" s="191"/>
      <c r="KQE6" s="191"/>
      <c r="KQF6" s="191"/>
      <c r="KQH6" s="191"/>
      <c r="KQI6" s="191"/>
      <c r="KQJ6" s="191"/>
      <c r="KQL6" s="191"/>
      <c r="KQM6" s="191"/>
      <c r="KQN6" s="191"/>
      <c r="KQP6" s="191"/>
      <c r="KQQ6" s="191"/>
      <c r="KQR6" s="191"/>
      <c r="KQT6" s="191"/>
      <c r="KQU6" s="191"/>
      <c r="KQV6" s="191"/>
      <c r="KQX6" s="191"/>
      <c r="KQY6" s="191"/>
      <c r="KQZ6" s="191"/>
      <c r="KRB6" s="191"/>
      <c r="KRC6" s="191"/>
      <c r="KRD6" s="191"/>
      <c r="KRF6" s="191"/>
      <c r="KRG6" s="191"/>
      <c r="KRH6" s="191"/>
      <c r="KRJ6" s="191"/>
      <c r="KRK6" s="191"/>
      <c r="KRL6" s="191"/>
      <c r="KRN6" s="191"/>
      <c r="KRO6" s="191"/>
      <c r="KRP6" s="191"/>
      <c r="KRR6" s="191"/>
      <c r="KRS6" s="191"/>
      <c r="KRT6" s="191"/>
      <c r="KRV6" s="191"/>
      <c r="KRW6" s="191"/>
      <c r="KRX6" s="191"/>
      <c r="KRZ6" s="191"/>
      <c r="KSA6" s="191"/>
      <c r="KSB6" s="191"/>
      <c r="KSD6" s="191"/>
      <c r="KSE6" s="191"/>
      <c r="KSF6" s="191"/>
      <c r="KSH6" s="191"/>
      <c r="KSI6" s="191"/>
      <c r="KSJ6" s="191"/>
      <c r="KSL6" s="191"/>
      <c r="KSM6" s="191"/>
      <c r="KSN6" s="191"/>
      <c r="KSP6" s="191"/>
      <c r="KSQ6" s="191"/>
      <c r="KSR6" s="191"/>
      <c r="KST6" s="191"/>
      <c r="KSU6" s="191"/>
      <c r="KSV6" s="191"/>
      <c r="KSX6" s="191"/>
      <c r="KSY6" s="191"/>
      <c r="KSZ6" s="191"/>
      <c r="KTB6" s="191"/>
      <c r="KTC6" s="191"/>
      <c r="KTD6" s="191"/>
      <c r="KTF6" s="191"/>
      <c r="KTG6" s="191"/>
      <c r="KTH6" s="191"/>
      <c r="KTJ6" s="191"/>
      <c r="KTK6" s="191"/>
      <c r="KTL6" s="191"/>
      <c r="KTN6" s="191"/>
      <c r="KTO6" s="191"/>
      <c r="KTP6" s="191"/>
      <c r="KTR6" s="191"/>
      <c r="KTS6" s="191"/>
      <c r="KTT6" s="191"/>
      <c r="KTV6" s="191"/>
      <c r="KTW6" s="191"/>
      <c r="KTX6" s="191"/>
      <c r="KTZ6" s="191"/>
      <c r="KUA6" s="191"/>
      <c r="KUB6" s="191"/>
      <c r="KUD6" s="191"/>
      <c r="KUE6" s="191"/>
      <c r="KUF6" s="191"/>
      <c r="KUH6" s="191"/>
      <c r="KUI6" s="191"/>
      <c r="KUJ6" s="191"/>
      <c r="KUL6" s="191"/>
      <c r="KUM6" s="191"/>
      <c r="KUN6" s="191"/>
      <c r="KUP6" s="191"/>
      <c r="KUQ6" s="191"/>
      <c r="KUR6" s="191"/>
      <c r="KUT6" s="191"/>
      <c r="KUU6" s="191"/>
      <c r="KUV6" s="191"/>
      <c r="KUX6" s="191"/>
      <c r="KUY6" s="191"/>
      <c r="KUZ6" s="191"/>
      <c r="KVB6" s="191"/>
      <c r="KVC6" s="191"/>
      <c r="KVD6" s="191"/>
      <c r="KVF6" s="191"/>
      <c r="KVG6" s="191"/>
      <c r="KVH6" s="191"/>
      <c r="KVJ6" s="191"/>
      <c r="KVK6" s="191"/>
      <c r="KVL6" s="191"/>
      <c r="KVN6" s="191"/>
      <c r="KVO6" s="191"/>
      <c r="KVP6" s="191"/>
      <c r="KVR6" s="191"/>
      <c r="KVS6" s="191"/>
      <c r="KVT6" s="191"/>
      <c r="KVV6" s="191"/>
      <c r="KVW6" s="191"/>
      <c r="KVX6" s="191"/>
      <c r="KVZ6" s="191"/>
      <c r="KWA6" s="191"/>
      <c r="KWB6" s="191"/>
      <c r="KWD6" s="191"/>
      <c r="KWE6" s="191"/>
      <c r="KWF6" s="191"/>
      <c r="KWH6" s="191"/>
      <c r="KWI6" s="191"/>
      <c r="KWJ6" s="191"/>
      <c r="KWL6" s="191"/>
      <c r="KWM6" s="191"/>
      <c r="KWN6" s="191"/>
      <c r="KWP6" s="191"/>
      <c r="KWQ6" s="191"/>
      <c r="KWR6" s="191"/>
      <c r="KWT6" s="191"/>
      <c r="KWU6" s="191"/>
      <c r="KWV6" s="191"/>
      <c r="KWX6" s="191"/>
      <c r="KWY6" s="191"/>
      <c r="KWZ6" s="191"/>
      <c r="KXB6" s="191"/>
      <c r="KXC6" s="191"/>
      <c r="KXD6" s="191"/>
      <c r="KXF6" s="191"/>
      <c r="KXG6" s="191"/>
      <c r="KXH6" s="191"/>
      <c r="KXJ6" s="191"/>
      <c r="KXK6" s="191"/>
      <c r="KXL6" s="191"/>
      <c r="KXN6" s="191"/>
      <c r="KXO6" s="191"/>
      <c r="KXP6" s="191"/>
      <c r="KXR6" s="191"/>
      <c r="KXS6" s="191"/>
      <c r="KXT6" s="191"/>
      <c r="KXV6" s="191"/>
      <c r="KXW6" s="191"/>
      <c r="KXX6" s="191"/>
      <c r="KXZ6" s="191"/>
      <c r="KYA6" s="191"/>
      <c r="KYB6" s="191"/>
      <c r="KYD6" s="191"/>
      <c r="KYE6" s="191"/>
      <c r="KYF6" s="191"/>
      <c r="KYH6" s="191"/>
      <c r="KYI6" s="191"/>
      <c r="KYJ6" s="191"/>
      <c r="KYL6" s="191"/>
      <c r="KYM6" s="191"/>
      <c r="KYN6" s="191"/>
      <c r="KYP6" s="191"/>
      <c r="KYQ6" s="191"/>
      <c r="KYR6" s="191"/>
      <c r="KYT6" s="191"/>
      <c r="KYU6" s="191"/>
      <c r="KYV6" s="191"/>
      <c r="KYX6" s="191"/>
      <c r="KYY6" s="191"/>
      <c r="KYZ6" s="191"/>
      <c r="KZB6" s="191"/>
      <c r="KZC6" s="191"/>
      <c r="KZD6" s="191"/>
      <c r="KZF6" s="191"/>
      <c r="KZG6" s="191"/>
      <c r="KZH6" s="191"/>
      <c r="KZJ6" s="191"/>
      <c r="KZK6" s="191"/>
      <c r="KZL6" s="191"/>
      <c r="KZN6" s="191"/>
      <c r="KZO6" s="191"/>
      <c r="KZP6" s="191"/>
      <c r="KZR6" s="191"/>
      <c r="KZS6" s="191"/>
      <c r="KZT6" s="191"/>
      <c r="KZV6" s="191"/>
      <c r="KZW6" s="191"/>
      <c r="KZX6" s="191"/>
      <c r="KZZ6" s="191"/>
      <c r="LAA6" s="191"/>
      <c r="LAB6" s="191"/>
      <c r="LAD6" s="191"/>
      <c r="LAE6" s="191"/>
      <c r="LAF6" s="191"/>
      <c r="LAH6" s="191"/>
      <c r="LAI6" s="191"/>
      <c r="LAJ6" s="191"/>
      <c r="LAL6" s="191"/>
      <c r="LAM6" s="191"/>
      <c r="LAN6" s="191"/>
      <c r="LAP6" s="191"/>
      <c r="LAQ6" s="191"/>
      <c r="LAR6" s="191"/>
      <c r="LAT6" s="191"/>
      <c r="LAU6" s="191"/>
      <c r="LAV6" s="191"/>
      <c r="LAX6" s="191"/>
      <c r="LAY6" s="191"/>
      <c r="LAZ6" s="191"/>
      <c r="LBB6" s="191"/>
      <c r="LBC6" s="191"/>
      <c r="LBD6" s="191"/>
      <c r="LBF6" s="191"/>
      <c r="LBG6" s="191"/>
      <c r="LBH6" s="191"/>
      <c r="LBJ6" s="191"/>
      <c r="LBK6" s="191"/>
      <c r="LBL6" s="191"/>
      <c r="LBN6" s="191"/>
      <c r="LBO6" s="191"/>
      <c r="LBP6" s="191"/>
      <c r="LBR6" s="191"/>
      <c r="LBS6" s="191"/>
      <c r="LBT6" s="191"/>
      <c r="LBV6" s="191"/>
      <c r="LBW6" s="191"/>
      <c r="LBX6" s="191"/>
      <c r="LBZ6" s="191"/>
      <c r="LCA6" s="191"/>
      <c r="LCB6" s="191"/>
      <c r="LCD6" s="191"/>
      <c r="LCE6" s="191"/>
      <c r="LCF6" s="191"/>
      <c r="LCH6" s="191"/>
      <c r="LCI6" s="191"/>
      <c r="LCJ6" s="191"/>
      <c r="LCL6" s="191"/>
      <c r="LCM6" s="191"/>
      <c r="LCN6" s="191"/>
      <c r="LCP6" s="191"/>
      <c r="LCQ6" s="191"/>
      <c r="LCR6" s="191"/>
      <c r="LCT6" s="191"/>
      <c r="LCU6" s="191"/>
      <c r="LCV6" s="191"/>
      <c r="LCX6" s="191"/>
      <c r="LCY6" s="191"/>
      <c r="LCZ6" s="191"/>
      <c r="LDB6" s="191"/>
      <c r="LDC6" s="191"/>
      <c r="LDD6" s="191"/>
      <c r="LDF6" s="191"/>
      <c r="LDG6" s="191"/>
      <c r="LDH6" s="191"/>
      <c r="LDJ6" s="191"/>
      <c r="LDK6" s="191"/>
      <c r="LDL6" s="191"/>
      <c r="LDN6" s="191"/>
      <c r="LDO6" s="191"/>
      <c r="LDP6" s="191"/>
      <c r="LDR6" s="191"/>
      <c r="LDS6" s="191"/>
      <c r="LDT6" s="191"/>
      <c r="LDV6" s="191"/>
      <c r="LDW6" s="191"/>
      <c r="LDX6" s="191"/>
      <c r="LDZ6" s="191"/>
      <c r="LEA6" s="191"/>
      <c r="LEB6" s="191"/>
      <c r="LED6" s="191"/>
      <c r="LEE6" s="191"/>
      <c r="LEF6" s="191"/>
      <c r="LEH6" s="191"/>
      <c r="LEI6" s="191"/>
      <c r="LEJ6" s="191"/>
      <c r="LEL6" s="191"/>
      <c r="LEM6" s="191"/>
      <c r="LEN6" s="191"/>
      <c r="LEP6" s="191"/>
      <c r="LEQ6" s="191"/>
      <c r="LER6" s="191"/>
      <c r="LET6" s="191"/>
      <c r="LEU6" s="191"/>
      <c r="LEV6" s="191"/>
      <c r="LEX6" s="191"/>
      <c r="LEY6" s="191"/>
      <c r="LEZ6" s="191"/>
      <c r="LFB6" s="191"/>
      <c r="LFC6" s="191"/>
      <c r="LFD6" s="191"/>
      <c r="LFF6" s="191"/>
      <c r="LFG6" s="191"/>
      <c r="LFH6" s="191"/>
      <c r="LFJ6" s="191"/>
      <c r="LFK6" s="191"/>
      <c r="LFL6" s="191"/>
      <c r="LFN6" s="191"/>
      <c r="LFO6" s="191"/>
      <c r="LFP6" s="191"/>
      <c r="LFR6" s="191"/>
      <c r="LFS6" s="191"/>
      <c r="LFT6" s="191"/>
      <c r="LFV6" s="191"/>
      <c r="LFW6" s="191"/>
      <c r="LFX6" s="191"/>
      <c r="LFZ6" s="191"/>
      <c r="LGA6" s="191"/>
      <c r="LGB6" s="191"/>
      <c r="LGD6" s="191"/>
      <c r="LGE6" s="191"/>
      <c r="LGF6" s="191"/>
      <c r="LGH6" s="191"/>
      <c r="LGI6" s="191"/>
      <c r="LGJ6" s="191"/>
      <c r="LGL6" s="191"/>
      <c r="LGM6" s="191"/>
      <c r="LGN6" s="191"/>
      <c r="LGP6" s="191"/>
      <c r="LGQ6" s="191"/>
      <c r="LGR6" s="191"/>
      <c r="LGT6" s="191"/>
      <c r="LGU6" s="191"/>
      <c r="LGV6" s="191"/>
      <c r="LGX6" s="191"/>
      <c r="LGY6" s="191"/>
      <c r="LGZ6" s="191"/>
      <c r="LHB6" s="191"/>
      <c r="LHC6" s="191"/>
      <c r="LHD6" s="191"/>
      <c r="LHF6" s="191"/>
      <c r="LHG6" s="191"/>
      <c r="LHH6" s="191"/>
      <c r="LHJ6" s="191"/>
      <c r="LHK6" s="191"/>
      <c r="LHL6" s="191"/>
      <c r="LHN6" s="191"/>
      <c r="LHO6" s="191"/>
      <c r="LHP6" s="191"/>
      <c r="LHR6" s="191"/>
      <c r="LHS6" s="191"/>
      <c r="LHT6" s="191"/>
      <c r="LHV6" s="191"/>
      <c r="LHW6" s="191"/>
      <c r="LHX6" s="191"/>
      <c r="LHZ6" s="191"/>
      <c r="LIA6" s="191"/>
      <c r="LIB6" s="191"/>
      <c r="LID6" s="191"/>
      <c r="LIE6" s="191"/>
      <c r="LIF6" s="191"/>
      <c r="LIH6" s="191"/>
      <c r="LII6" s="191"/>
      <c r="LIJ6" s="191"/>
      <c r="LIL6" s="191"/>
      <c r="LIM6" s="191"/>
      <c r="LIN6" s="191"/>
      <c r="LIP6" s="191"/>
      <c r="LIQ6" s="191"/>
      <c r="LIR6" s="191"/>
      <c r="LIT6" s="191"/>
      <c r="LIU6" s="191"/>
      <c r="LIV6" s="191"/>
      <c r="LIX6" s="191"/>
      <c r="LIY6" s="191"/>
      <c r="LIZ6" s="191"/>
      <c r="LJB6" s="191"/>
      <c r="LJC6" s="191"/>
      <c r="LJD6" s="191"/>
      <c r="LJF6" s="191"/>
      <c r="LJG6" s="191"/>
      <c r="LJH6" s="191"/>
      <c r="LJJ6" s="191"/>
      <c r="LJK6" s="191"/>
      <c r="LJL6" s="191"/>
      <c r="LJN6" s="191"/>
      <c r="LJO6" s="191"/>
      <c r="LJP6" s="191"/>
      <c r="LJR6" s="191"/>
      <c r="LJS6" s="191"/>
      <c r="LJT6" s="191"/>
      <c r="LJV6" s="191"/>
      <c r="LJW6" s="191"/>
      <c r="LJX6" s="191"/>
      <c r="LJZ6" s="191"/>
      <c r="LKA6" s="191"/>
      <c r="LKB6" s="191"/>
      <c r="LKD6" s="191"/>
      <c r="LKE6" s="191"/>
      <c r="LKF6" s="191"/>
      <c r="LKH6" s="191"/>
      <c r="LKI6" s="191"/>
      <c r="LKJ6" s="191"/>
      <c r="LKL6" s="191"/>
      <c r="LKM6" s="191"/>
      <c r="LKN6" s="191"/>
      <c r="LKP6" s="191"/>
      <c r="LKQ6" s="191"/>
      <c r="LKR6" s="191"/>
      <c r="LKT6" s="191"/>
      <c r="LKU6" s="191"/>
      <c r="LKV6" s="191"/>
      <c r="LKX6" s="191"/>
      <c r="LKY6" s="191"/>
      <c r="LKZ6" s="191"/>
      <c r="LLB6" s="191"/>
      <c r="LLC6" s="191"/>
      <c r="LLD6" s="191"/>
      <c r="LLF6" s="191"/>
      <c r="LLG6" s="191"/>
      <c r="LLH6" s="191"/>
      <c r="LLJ6" s="191"/>
      <c r="LLK6" s="191"/>
      <c r="LLL6" s="191"/>
      <c r="LLN6" s="191"/>
      <c r="LLO6" s="191"/>
      <c r="LLP6" s="191"/>
      <c r="LLR6" s="191"/>
      <c r="LLS6" s="191"/>
      <c r="LLT6" s="191"/>
      <c r="LLV6" s="191"/>
      <c r="LLW6" s="191"/>
      <c r="LLX6" s="191"/>
      <c r="LLZ6" s="191"/>
      <c r="LMA6" s="191"/>
      <c r="LMB6" s="191"/>
      <c r="LMD6" s="191"/>
      <c r="LME6" s="191"/>
      <c r="LMF6" s="191"/>
      <c r="LMH6" s="191"/>
      <c r="LMI6" s="191"/>
      <c r="LMJ6" s="191"/>
      <c r="LML6" s="191"/>
      <c r="LMM6" s="191"/>
      <c r="LMN6" s="191"/>
      <c r="LMP6" s="191"/>
      <c r="LMQ6" s="191"/>
      <c r="LMR6" s="191"/>
      <c r="LMT6" s="191"/>
      <c r="LMU6" s="191"/>
      <c r="LMV6" s="191"/>
      <c r="LMX6" s="191"/>
      <c r="LMY6" s="191"/>
      <c r="LMZ6" s="191"/>
      <c r="LNB6" s="191"/>
      <c r="LNC6" s="191"/>
      <c r="LND6" s="191"/>
      <c r="LNF6" s="191"/>
      <c r="LNG6" s="191"/>
      <c r="LNH6" s="191"/>
      <c r="LNJ6" s="191"/>
      <c r="LNK6" s="191"/>
      <c r="LNL6" s="191"/>
      <c r="LNN6" s="191"/>
      <c r="LNO6" s="191"/>
      <c r="LNP6" s="191"/>
      <c r="LNR6" s="191"/>
      <c r="LNS6" s="191"/>
      <c r="LNT6" s="191"/>
      <c r="LNV6" s="191"/>
      <c r="LNW6" s="191"/>
      <c r="LNX6" s="191"/>
      <c r="LNZ6" s="191"/>
      <c r="LOA6" s="191"/>
      <c r="LOB6" s="191"/>
      <c r="LOD6" s="191"/>
      <c r="LOE6" s="191"/>
      <c r="LOF6" s="191"/>
      <c r="LOH6" s="191"/>
      <c r="LOI6" s="191"/>
      <c r="LOJ6" s="191"/>
      <c r="LOL6" s="191"/>
      <c r="LOM6" s="191"/>
      <c r="LON6" s="191"/>
      <c r="LOP6" s="191"/>
      <c r="LOQ6" s="191"/>
      <c r="LOR6" s="191"/>
      <c r="LOT6" s="191"/>
      <c r="LOU6" s="191"/>
      <c r="LOV6" s="191"/>
      <c r="LOX6" s="191"/>
      <c r="LOY6" s="191"/>
      <c r="LOZ6" s="191"/>
      <c r="LPB6" s="191"/>
      <c r="LPC6" s="191"/>
      <c r="LPD6" s="191"/>
      <c r="LPF6" s="191"/>
      <c r="LPG6" s="191"/>
      <c r="LPH6" s="191"/>
      <c r="LPJ6" s="191"/>
      <c r="LPK6" s="191"/>
      <c r="LPL6" s="191"/>
      <c r="LPN6" s="191"/>
      <c r="LPO6" s="191"/>
      <c r="LPP6" s="191"/>
      <c r="LPR6" s="191"/>
      <c r="LPS6" s="191"/>
      <c r="LPT6" s="191"/>
      <c r="LPV6" s="191"/>
      <c r="LPW6" s="191"/>
      <c r="LPX6" s="191"/>
      <c r="LPZ6" s="191"/>
      <c r="LQA6" s="191"/>
      <c r="LQB6" s="191"/>
      <c r="LQD6" s="191"/>
      <c r="LQE6" s="191"/>
      <c r="LQF6" s="191"/>
      <c r="LQH6" s="191"/>
      <c r="LQI6" s="191"/>
      <c r="LQJ6" s="191"/>
      <c r="LQL6" s="191"/>
      <c r="LQM6" s="191"/>
      <c r="LQN6" s="191"/>
      <c r="LQP6" s="191"/>
      <c r="LQQ6" s="191"/>
      <c r="LQR6" s="191"/>
      <c r="LQT6" s="191"/>
      <c r="LQU6" s="191"/>
      <c r="LQV6" s="191"/>
      <c r="LQX6" s="191"/>
      <c r="LQY6" s="191"/>
      <c r="LQZ6" s="191"/>
      <c r="LRB6" s="191"/>
      <c r="LRC6" s="191"/>
      <c r="LRD6" s="191"/>
      <c r="LRF6" s="191"/>
      <c r="LRG6" s="191"/>
      <c r="LRH6" s="191"/>
      <c r="LRJ6" s="191"/>
      <c r="LRK6" s="191"/>
      <c r="LRL6" s="191"/>
      <c r="LRN6" s="191"/>
      <c r="LRO6" s="191"/>
      <c r="LRP6" s="191"/>
      <c r="LRR6" s="191"/>
      <c r="LRS6" s="191"/>
      <c r="LRT6" s="191"/>
      <c r="LRV6" s="191"/>
      <c r="LRW6" s="191"/>
      <c r="LRX6" s="191"/>
      <c r="LRZ6" s="191"/>
      <c r="LSA6" s="191"/>
      <c r="LSB6" s="191"/>
      <c r="LSD6" s="191"/>
      <c r="LSE6" s="191"/>
      <c r="LSF6" s="191"/>
      <c r="LSH6" s="191"/>
      <c r="LSI6" s="191"/>
      <c r="LSJ6" s="191"/>
      <c r="LSL6" s="191"/>
      <c r="LSM6" s="191"/>
      <c r="LSN6" s="191"/>
      <c r="LSP6" s="191"/>
      <c r="LSQ6" s="191"/>
      <c r="LSR6" s="191"/>
      <c r="LST6" s="191"/>
      <c r="LSU6" s="191"/>
      <c r="LSV6" s="191"/>
      <c r="LSX6" s="191"/>
      <c r="LSY6" s="191"/>
      <c r="LSZ6" s="191"/>
      <c r="LTB6" s="191"/>
      <c r="LTC6" s="191"/>
      <c r="LTD6" s="191"/>
      <c r="LTF6" s="191"/>
      <c r="LTG6" s="191"/>
      <c r="LTH6" s="191"/>
      <c r="LTJ6" s="191"/>
      <c r="LTK6" s="191"/>
      <c r="LTL6" s="191"/>
      <c r="LTN6" s="191"/>
      <c r="LTO6" s="191"/>
      <c r="LTP6" s="191"/>
      <c r="LTR6" s="191"/>
      <c r="LTS6" s="191"/>
      <c r="LTT6" s="191"/>
      <c r="LTV6" s="191"/>
      <c r="LTW6" s="191"/>
      <c r="LTX6" s="191"/>
      <c r="LTZ6" s="191"/>
      <c r="LUA6" s="191"/>
      <c r="LUB6" s="191"/>
      <c r="LUD6" s="191"/>
      <c r="LUE6" s="191"/>
      <c r="LUF6" s="191"/>
      <c r="LUH6" s="191"/>
      <c r="LUI6" s="191"/>
      <c r="LUJ6" s="191"/>
      <c r="LUL6" s="191"/>
      <c r="LUM6" s="191"/>
      <c r="LUN6" s="191"/>
      <c r="LUP6" s="191"/>
      <c r="LUQ6" s="191"/>
      <c r="LUR6" s="191"/>
      <c r="LUT6" s="191"/>
      <c r="LUU6" s="191"/>
      <c r="LUV6" s="191"/>
      <c r="LUX6" s="191"/>
      <c r="LUY6" s="191"/>
      <c r="LUZ6" s="191"/>
      <c r="LVB6" s="191"/>
      <c r="LVC6" s="191"/>
      <c r="LVD6" s="191"/>
      <c r="LVF6" s="191"/>
      <c r="LVG6" s="191"/>
      <c r="LVH6" s="191"/>
      <c r="LVJ6" s="191"/>
      <c r="LVK6" s="191"/>
      <c r="LVL6" s="191"/>
      <c r="LVN6" s="191"/>
      <c r="LVO6" s="191"/>
      <c r="LVP6" s="191"/>
      <c r="LVR6" s="191"/>
      <c r="LVS6" s="191"/>
      <c r="LVT6" s="191"/>
      <c r="LVV6" s="191"/>
      <c r="LVW6" s="191"/>
      <c r="LVX6" s="191"/>
      <c r="LVZ6" s="191"/>
      <c r="LWA6" s="191"/>
      <c r="LWB6" s="191"/>
      <c r="LWD6" s="191"/>
      <c r="LWE6" s="191"/>
      <c r="LWF6" s="191"/>
      <c r="LWH6" s="191"/>
      <c r="LWI6" s="191"/>
      <c r="LWJ6" s="191"/>
      <c r="LWL6" s="191"/>
      <c r="LWM6" s="191"/>
      <c r="LWN6" s="191"/>
      <c r="LWP6" s="191"/>
      <c r="LWQ6" s="191"/>
      <c r="LWR6" s="191"/>
      <c r="LWT6" s="191"/>
      <c r="LWU6" s="191"/>
      <c r="LWV6" s="191"/>
      <c r="LWX6" s="191"/>
      <c r="LWY6" s="191"/>
      <c r="LWZ6" s="191"/>
      <c r="LXB6" s="191"/>
      <c r="LXC6" s="191"/>
      <c r="LXD6" s="191"/>
      <c r="LXF6" s="191"/>
      <c r="LXG6" s="191"/>
      <c r="LXH6" s="191"/>
      <c r="LXJ6" s="191"/>
      <c r="LXK6" s="191"/>
      <c r="LXL6" s="191"/>
      <c r="LXN6" s="191"/>
      <c r="LXO6" s="191"/>
      <c r="LXP6" s="191"/>
      <c r="LXR6" s="191"/>
      <c r="LXS6" s="191"/>
      <c r="LXT6" s="191"/>
      <c r="LXV6" s="191"/>
      <c r="LXW6" s="191"/>
      <c r="LXX6" s="191"/>
      <c r="LXZ6" s="191"/>
      <c r="LYA6" s="191"/>
      <c r="LYB6" s="191"/>
      <c r="LYD6" s="191"/>
      <c r="LYE6" s="191"/>
      <c r="LYF6" s="191"/>
      <c r="LYH6" s="191"/>
      <c r="LYI6" s="191"/>
      <c r="LYJ6" s="191"/>
      <c r="LYL6" s="191"/>
      <c r="LYM6" s="191"/>
      <c r="LYN6" s="191"/>
      <c r="LYP6" s="191"/>
      <c r="LYQ6" s="191"/>
      <c r="LYR6" s="191"/>
      <c r="LYT6" s="191"/>
      <c r="LYU6" s="191"/>
      <c r="LYV6" s="191"/>
      <c r="LYX6" s="191"/>
      <c r="LYY6" s="191"/>
      <c r="LYZ6" s="191"/>
      <c r="LZB6" s="191"/>
      <c r="LZC6" s="191"/>
      <c r="LZD6" s="191"/>
      <c r="LZF6" s="191"/>
      <c r="LZG6" s="191"/>
      <c r="LZH6" s="191"/>
      <c r="LZJ6" s="191"/>
      <c r="LZK6" s="191"/>
      <c r="LZL6" s="191"/>
      <c r="LZN6" s="191"/>
      <c r="LZO6" s="191"/>
      <c r="LZP6" s="191"/>
      <c r="LZR6" s="191"/>
      <c r="LZS6" s="191"/>
      <c r="LZT6" s="191"/>
      <c r="LZV6" s="191"/>
      <c r="LZW6" s="191"/>
      <c r="LZX6" s="191"/>
      <c r="LZZ6" s="191"/>
      <c r="MAA6" s="191"/>
      <c r="MAB6" s="191"/>
      <c r="MAD6" s="191"/>
      <c r="MAE6" s="191"/>
      <c r="MAF6" s="191"/>
      <c r="MAH6" s="191"/>
      <c r="MAI6" s="191"/>
      <c r="MAJ6" s="191"/>
      <c r="MAL6" s="191"/>
      <c r="MAM6" s="191"/>
      <c r="MAN6" s="191"/>
      <c r="MAP6" s="191"/>
      <c r="MAQ6" s="191"/>
      <c r="MAR6" s="191"/>
      <c r="MAT6" s="191"/>
      <c r="MAU6" s="191"/>
      <c r="MAV6" s="191"/>
      <c r="MAX6" s="191"/>
      <c r="MAY6" s="191"/>
      <c r="MAZ6" s="191"/>
      <c r="MBB6" s="191"/>
      <c r="MBC6" s="191"/>
      <c r="MBD6" s="191"/>
      <c r="MBF6" s="191"/>
      <c r="MBG6" s="191"/>
      <c r="MBH6" s="191"/>
      <c r="MBJ6" s="191"/>
      <c r="MBK6" s="191"/>
      <c r="MBL6" s="191"/>
      <c r="MBN6" s="191"/>
      <c r="MBO6" s="191"/>
      <c r="MBP6" s="191"/>
      <c r="MBR6" s="191"/>
      <c r="MBS6" s="191"/>
      <c r="MBT6" s="191"/>
      <c r="MBV6" s="191"/>
      <c r="MBW6" s="191"/>
      <c r="MBX6" s="191"/>
      <c r="MBZ6" s="191"/>
      <c r="MCA6" s="191"/>
      <c r="MCB6" s="191"/>
      <c r="MCD6" s="191"/>
      <c r="MCE6" s="191"/>
      <c r="MCF6" s="191"/>
      <c r="MCH6" s="191"/>
      <c r="MCI6" s="191"/>
      <c r="MCJ6" s="191"/>
      <c r="MCL6" s="191"/>
      <c r="MCM6" s="191"/>
      <c r="MCN6" s="191"/>
      <c r="MCP6" s="191"/>
      <c r="MCQ6" s="191"/>
      <c r="MCR6" s="191"/>
      <c r="MCT6" s="191"/>
      <c r="MCU6" s="191"/>
      <c r="MCV6" s="191"/>
      <c r="MCX6" s="191"/>
      <c r="MCY6" s="191"/>
      <c r="MCZ6" s="191"/>
      <c r="MDB6" s="191"/>
      <c r="MDC6" s="191"/>
      <c r="MDD6" s="191"/>
      <c r="MDF6" s="191"/>
      <c r="MDG6" s="191"/>
      <c r="MDH6" s="191"/>
      <c r="MDJ6" s="191"/>
      <c r="MDK6" s="191"/>
      <c r="MDL6" s="191"/>
      <c r="MDN6" s="191"/>
      <c r="MDO6" s="191"/>
      <c r="MDP6" s="191"/>
      <c r="MDR6" s="191"/>
      <c r="MDS6" s="191"/>
      <c r="MDT6" s="191"/>
      <c r="MDV6" s="191"/>
      <c r="MDW6" s="191"/>
      <c r="MDX6" s="191"/>
      <c r="MDZ6" s="191"/>
      <c r="MEA6" s="191"/>
      <c r="MEB6" s="191"/>
      <c r="MED6" s="191"/>
      <c r="MEE6" s="191"/>
      <c r="MEF6" s="191"/>
      <c r="MEH6" s="191"/>
      <c r="MEI6" s="191"/>
      <c r="MEJ6" s="191"/>
      <c r="MEL6" s="191"/>
      <c r="MEM6" s="191"/>
      <c r="MEN6" s="191"/>
      <c r="MEP6" s="191"/>
      <c r="MEQ6" s="191"/>
      <c r="MER6" s="191"/>
      <c r="MET6" s="191"/>
      <c r="MEU6" s="191"/>
      <c r="MEV6" s="191"/>
      <c r="MEX6" s="191"/>
      <c r="MEY6" s="191"/>
      <c r="MEZ6" s="191"/>
      <c r="MFB6" s="191"/>
      <c r="MFC6" s="191"/>
      <c r="MFD6" s="191"/>
      <c r="MFF6" s="191"/>
      <c r="MFG6" s="191"/>
      <c r="MFH6" s="191"/>
      <c r="MFJ6" s="191"/>
      <c r="MFK6" s="191"/>
      <c r="MFL6" s="191"/>
      <c r="MFN6" s="191"/>
      <c r="MFO6" s="191"/>
      <c r="MFP6" s="191"/>
      <c r="MFR6" s="191"/>
      <c r="MFS6" s="191"/>
      <c r="MFT6" s="191"/>
      <c r="MFV6" s="191"/>
      <c r="MFW6" s="191"/>
      <c r="MFX6" s="191"/>
      <c r="MFZ6" s="191"/>
      <c r="MGA6" s="191"/>
      <c r="MGB6" s="191"/>
      <c r="MGD6" s="191"/>
      <c r="MGE6" s="191"/>
      <c r="MGF6" s="191"/>
      <c r="MGH6" s="191"/>
      <c r="MGI6" s="191"/>
      <c r="MGJ6" s="191"/>
      <c r="MGL6" s="191"/>
      <c r="MGM6" s="191"/>
      <c r="MGN6" s="191"/>
      <c r="MGP6" s="191"/>
      <c r="MGQ6" s="191"/>
      <c r="MGR6" s="191"/>
      <c r="MGT6" s="191"/>
      <c r="MGU6" s="191"/>
      <c r="MGV6" s="191"/>
      <c r="MGX6" s="191"/>
      <c r="MGY6" s="191"/>
      <c r="MGZ6" s="191"/>
      <c r="MHB6" s="191"/>
      <c r="MHC6" s="191"/>
      <c r="MHD6" s="191"/>
      <c r="MHF6" s="191"/>
      <c r="MHG6" s="191"/>
      <c r="MHH6" s="191"/>
      <c r="MHJ6" s="191"/>
      <c r="MHK6" s="191"/>
      <c r="MHL6" s="191"/>
      <c r="MHN6" s="191"/>
      <c r="MHO6" s="191"/>
      <c r="MHP6" s="191"/>
      <c r="MHR6" s="191"/>
      <c r="MHS6" s="191"/>
      <c r="MHT6" s="191"/>
      <c r="MHV6" s="191"/>
      <c r="MHW6" s="191"/>
      <c r="MHX6" s="191"/>
      <c r="MHZ6" s="191"/>
      <c r="MIA6" s="191"/>
      <c r="MIB6" s="191"/>
      <c r="MID6" s="191"/>
      <c r="MIE6" s="191"/>
      <c r="MIF6" s="191"/>
      <c r="MIH6" s="191"/>
      <c r="MII6" s="191"/>
      <c r="MIJ6" s="191"/>
      <c r="MIL6" s="191"/>
      <c r="MIM6" s="191"/>
      <c r="MIN6" s="191"/>
      <c r="MIP6" s="191"/>
      <c r="MIQ6" s="191"/>
      <c r="MIR6" s="191"/>
      <c r="MIT6" s="191"/>
      <c r="MIU6" s="191"/>
      <c r="MIV6" s="191"/>
      <c r="MIX6" s="191"/>
      <c r="MIY6" s="191"/>
      <c r="MIZ6" s="191"/>
      <c r="MJB6" s="191"/>
      <c r="MJC6" s="191"/>
      <c r="MJD6" s="191"/>
      <c r="MJF6" s="191"/>
      <c r="MJG6" s="191"/>
      <c r="MJH6" s="191"/>
      <c r="MJJ6" s="191"/>
      <c r="MJK6" s="191"/>
      <c r="MJL6" s="191"/>
      <c r="MJN6" s="191"/>
      <c r="MJO6" s="191"/>
      <c r="MJP6" s="191"/>
      <c r="MJR6" s="191"/>
      <c r="MJS6" s="191"/>
      <c r="MJT6" s="191"/>
      <c r="MJV6" s="191"/>
      <c r="MJW6" s="191"/>
      <c r="MJX6" s="191"/>
      <c r="MJZ6" s="191"/>
      <c r="MKA6" s="191"/>
      <c r="MKB6" s="191"/>
      <c r="MKD6" s="191"/>
      <c r="MKE6" s="191"/>
      <c r="MKF6" s="191"/>
      <c r="MKH6" s="191"/>
      <c r="MKI6" s="191"/>
      <c r="MKJ6" s="191"/>
      <c r="MKL6" s="191"/>
      <c r="MKM6" s="191"/>
      <c r="MKN6" s="191"/>
      <c r="MKP6" s="191"/>
      <c r="MKQ6" s="191"/>
      <c r="MKR6" s="191"/>
      <c r="MKT6" s="191"/>
      <c r="MKU6" s="191"/>
      <c r="MKV6" s="191"/>
      <c r="MKX6" s="191"/>
      <c r="MKY6" s="191"/>
      <c r="MKZ6" s="191"/>
      <c r="MLB6" s="191"/>
      <c r="MLC6" s="191"/>
      <c r="MLD6" s="191"/>
      <c r="MLF6" s="191"/>
      <c r="MLG6" s="191"/>
      <c r="MLH6" s="191"/>
      <c r="MLJ6" s="191"/>
      <c r="MLK6" s="191"/>
      <c r="MLL6" s="191"/>
      <c r="MLN6" s="191"/>
      <c r="MLO6" s="191"/>
      <c r="MLP6" s="191"/>
      <c r="MLR6" s="191"/>
      <c r="MLS6" s="191"/>
      <c r="MLT6" s="191"/>
      <c r="MLV6" s="191"/>
      <c r="MLW6" s="191"/>
      <c r="MLX6" s="191"/>
      <c r="MLZ6" s="191"/>
      <c r="MMA6" s="191"/>
      <c r="MMB6" s="191"/>
      <c r="MMD6" s="191"/>
      <c r="MME6" s="191"/>
      <c r="MMF6" s="191"/>
      <c r="MMH6" s="191"/>
      <c r="MMI6" s="191"/>
      <c r="MMJ6" s="191"/>
      <c r="MML6" s="191"/>
      <c r="MMM6" s="191"/>
      <c r="MMN6" s="191"/>
      <c r="MMP6" s="191"/>
      <c r="MMQ6" s="191"/>
      <c r="MMR6" s="191"/>
      <c r="MMT6" s="191"/>
      <c r="MMU6" s="191"/>
      <c r="MMV6" s="191"/>
      <c r="MMX6" s="191"/>
      <c r="MMY6" s="191"/>
      <c r="MMZ6" s="191"/>
      <c r="MNB6" s="191"/>
      <c r="MNC6" s="191"/>
      <c r="MND6" s="191"/>
      <c r="MNF6" s="191"/>
      <c r="MNG6" s="191"/>
      <c r="MNH6" s="191"/>
      <c r="MNJ6" s="191"/>
      <c r="MNK6" s="191"/>
      <c r="MNL6" s="191"/>
      <c r="MNN6" s="191"/>
      <c r="MNO6" s="191"/>
      <c r="MNP6" s="191"/>
      <c r="MNR6" s="191"/>
      <c r="MNS6" s="191"/>
      <c r="MNT6" s="191"/>
      <c r="MNV6" s="191"/>
      <c r="MNW6" s="191"/>
      <c r="MNX6" s="191"/>
      <c r="MNZ6" s="191"/>
      <c r="MOA6" s="191"/>
      <c r="MOB6" s="191"/>
      <c r="MOD6" s="191"/>
      <c r="MOE6" s="191"/>
      <c r="MOF6" s="191"/>
      <c r="MOH6" s="191"/>
      <c r="MOI6" s="191"/>
      <c r="MOJ6" s="191"/>
      <c r="MOL6" s="191"/>
      <c r="MOM6" s="191"/>
      <c r="MON6" s="191"/>
      <c r="MOP6" s="191"/>
      <c r="MOQ6" s="191"/>
      <c r="MOR6" s="191"/>
      <c r="MOT6" s="191"/>
      <c r="MOU6" s="191"/>
      <c r="MOV6" s="191"/>
      <c r="MOX6" s="191"/>
      <c r="MOY6" s="191"/>
      <c r="MOZ6" s="191"/>
      <c r="MPB6" s="191"/>
      <c r="MPC6" s="191"/>
      <c r="MPD6" s="191"/>
      <c r="MPF6" s="191"/>
      <c r="MPG6" s="191"/>
      <c r="MPH6" s="191"/>
      <c r="MPJ6" s="191"/>
      <c r="MPK6" s="191"/>
      <c r="MPL6" s="191"/>
      <c r="MPN6" s="191"/>
      <c r="MPO6" s="191"/>
      <c r="MPP6" s="191"/>
      <c r="MPR6" s="191"/>
      <c r="MPS6" s="191"/>
      <c r="MPT6" s="191"/>
      <c r="MPV6" s="191"/>
      <c r="MPW6" s="191"/>
      <c r="MPX6" s="191"/>
      <c r="MPZ6" s="191"/>
      <c r="MQA6" s="191"/>
      <c r="MQB6" s="191"/>
      <c r="MQD6" s="191"/>
      <c r="MQE6" s="191"/>
      <c r="MQF6" s="191"/>
      <c r="MQH6" s="191"/>
      <c r="MQI6" s="191"/>
      <c r="MQJ6" s="191"/>
      <c r="MQL6" s="191"/>
      <c r="MQM6" s="191"/>
      <c r="MQN6" s="191"/>
      <c r="MQP6" s="191"/>
      <c r="MQQ6" s="191"/>
      <c r="MQR6" s="191"/>
      <c r="MQT6" s="191"/>
      <c r="MQU6" s="191"/>
      <c r="MQV6" s="191"/>
      <c r="MQX6" s="191"/>
      <c r="MQY6" s="191"/>
      <c r="MQZ6" s="191"/>
      <c r="MRB6" s="191"/>
      <c r="MRC6" s="191"/>
      <c r="MRD6" s="191"/>
      <c r="MRF6" s="191"/>
      <c r="MRG6" s="191"/>
      <c r="MRH6" s="191"/>
      <c r="MRJ6" s="191"/>
      <c r="MRK6" s="191"/>
      <c r="MRL6" s="191"/>
      <c r="MRN6" s="191"/>
      <c r="MRO6" s="191"/>
      <c r="MRP6" s="191"/>
      <c r="MRR6" s="191"/>
      <c r="MRS6" s="191"/>
      <c r="MRT6" s="191"/>
      <c r="MRV6" s="191"/>
      <c r="MRW6" s="191"/>
      <c r="MRX6" s="191"/>
      <c r="MRZ6" s="191"/>
      <c r="MSA6" s="191"/>
      <c r="MSB6" s="191"/>
      <c r="MSD6" s="191"/>
      <c r="MSE6" s="191"/>
      <c r="MSF6" s="191"/>
      <c r="MSH6" s="191"/>
      <c r="MSI6" s="191"/>
      <c r="MSJ6" s="191"/>
      <c r="MSL6" s="191"/>
      <c r="MSM6" s="191"/>
      <c r="MSN6" s="191"/>
      <c r="MSP6" s="191"/>
      <c r="MSQ6" s="191"/>
      <c r="MSR6" s="191"/>
      <c r="MST6" s="191"/>
      <c r="MSU6" s="191"/>
      <c r="MSV6" s="191"/>
      <c r="MSX6" s="191"/>
      <c r="MSY6" s="191"/>
      <c r="MSZ6" s="191"/>
      <c r="MTB6" s="191"/>
      <c r="MTC6" s="191"/>
      <c r="MTD6" s="191"/>
      <c r="MTF6" s="191"/>
      <c r="MTG6" s="191"/>
      <c r="MTH6" s="191"/>
      <c r="MTJ6" s="191"/>
      <c r="MTK6" s="191"/>
      <c r="MTL6" s="191"/>
      <c r="MTN6" s="191"/>
      <c r="MTO6" s="191"/>
      <c r="MTP6" s="191"/>
      <c r="MTR6" s="191"/>
      <c r="MTS6" s="191"/>
      <c r="MTT6" s="191"/>
      <c r="MTV6" s="191"/>
      <c r="MTW6" s="191"/>
      <c r="MTX6" s="191"/>
      <c r="MTZ6" s="191"/>
      <c r="MUA6" s="191"/>
      <c r="MUB6" s="191"/>
      <c r="MUD6" s="191"/>
      <c r="MUE6" s="191"/>
      <c r="MUF6" s="191"/>
      <c r="MUH6" s="191"/>
      <c r="MUI6" s="191"/>
      <c r="MUJ6" s="191"/>
      <c r="MUL6" s="191"/>
      <c r="MUM6" s="191"/>
      <c r="MUN6" s="191"/>
      <c r="MUP6" s="191"/>
      <c r="MUQ6" s="191"/>
      <c r="MUR6" s="191"/>
      <c r="MUT6" s="191"/>
      <c r="MUU6" s="191"/>
      <c r="MUV6" s="191"/>
      <c r="MUX6" s="191"/>
      <c r="MUY6" s="191"/>
      <c r="MUZ6" s="191"/>
      <c r="MVB6" s="191"/>
      <c r="MVC6" s="191"/>
      <c r="MVD6" s="191"/>
      <c r="MVF6" s="191"/>
      <c r="MVG6" s="191"/>
      <c r="MVH6" s="191"/>
      <c r="MVJ6" s="191"/>
      <c r="MVK6" s="191"/>
      <c r="MVL6" s="191"/>
      <c r="MVN6" s="191"/>
      <c r="MVO6" s="191"/>
      <c r="MVP6" s="191"/>
      <c r="MVR6" s="191"/>
      <c r="MVS6" s="191"/>
      <c r="MVT6" s="191"/>
      <c r="MVV6" s="191"/>
      <c r="MVW6" s="191"/>
      <c r="MVX6" s="191"/>
      <c r="MVZ6" s="191"/>
      <c r="MWA6" s="191"/>
      <c r="MWB6" s="191"/>
      <c r="MWD6" s="191"/>
      <c r="MWE6" s="191"/>
      <c r="MWF6" s="191"/>
      <c r="MWH6" s="191"/>
      <c r="MWI6" s="191"/>
      <c r="MWJ6" s="191"/>
      <c r="MWL6" s="191"/>
      <c r="MWM6" s="191"/>
      <c r="MWN6" s="191"/>
      <c r="MWP6" s="191"/>
      <c r="MWQ6" s="191"/>
      <c r="MWR6" s="191"/>
      <c r="MWT6" s="191"/>
      <c r="MWU6" s="191"/>
      <c r="MWV6" s="191"/>
      <c r="MWX6" s="191"/>
      <c r="MWY6" s="191"/>
      <c r="MWZ6" s="191"/>
      <c r="MXB6" s="191"/>
      <c r="MXC6" s="191"/>
      <c r="MXD6" s="191"/>
      <c r="MXF6" s="191"/>
      <c r="MXG6" s="191"/>
      <c r="MXH6" s="191"/>
      <c r="MXJ6" s="191"/>
      <c r="MXK6" s="191"/>
      <c r="MXL6" s="191"/>
      <c r="MXN6" s="191"/>
      <c r="MXO6" s="191"/>
      <c r="MXP6" s="191"/>
      <c r="MXR6" s="191"/>
      <c r="MXS6" s="191"/>
      <c r="MXT6" s="191"/>
      <c r="MXV6" s="191"/>
      <c r="MXW6" s="191"/>
      <c r="MXX6" s="191"/>
      <c r="MXZ6" s="191"/>
      <c r="MYA6" s="191"/>
      <c r="MYB6" s="191"/>
      <c r="MYD6" s="191"/>
      <c r="MYE6" s="191"/>
      <c r="MYF6" s="191"/>
      <c r="MYH6" s="191"/>
      <c r="MYI6" s="191"/>
      <c r="MYJ6" s="191"/>
      <c r="MYL6" s="191"/>
      <c r="MYM6" s="191"/>
      <c r="MYN6" s="191"/>
      <c r="MYP6" s="191"/>
      <c r="MYQ6" s="191"/>
      <c r="MYR6" s="191"/>
      <c r="MYT6" s="191"/>
      <c r="MYU6" s="191"/>
      <c r="MYV6" s="191"/>
      <c r="MYX6" s="191"/>
      <c r="MYY6" s="191"/>
      <c r="MYZ6" s="191"/>
      <c r="MZB6" s="191"/>
      <c r="MZC6" s="191"/>
      <c r="MZD6" s="191"/>
      <c r="MZF6" s="191"/>
      <c r="MZG6" s="191"/>
      <c r="MZH6" s="191"/>
      <c r="MZJ6" s="191"/>
      <c r="MZK6" s="191"/>
      <c r="MZL6" s="191"/>
      <c r="MZN6" s="191"/>
      <c r="MZO6" s="191"/>
      <c r="MZP6" s="191"/>
      <c r="MZR6" s="191"/>
      <c r="MZS6" s="191"/>
      <c r="MZT6" s="191"/>
      <c r="MZV6" s="191"/>
      <c r="MZW6" s="191"/>
      <c r="MZX6" s="191"/>
      <c r="MZZ6" s="191"/>
      <c r="NAA6" s="191"/>
      <c r="NAB6" s="191"/>
      <c r="NAD6" s="191"/>
      <c r="NAE6" s="191"/>
      <c r="NAF6" s="191"/>
      <c r="NAH6" s="191"/>
      <c r="NAI6" s="191"/>
      <c r="NAJ6" s="191"/>
      <c r="NAL6" s="191"/>
      <c r="NAM6" s="191"/>
      <c r="NAN6" s="191"/>
      <c r="NAP6" s="191"/>
      <c r="NAQ6" s="191"/>
      <c r="NAR6" s="191"/>
      <c r="NAT6" s="191"/>
      <c r="NAU6" s="191"/>
      <c r="NAV6" s="191"/>
      <c r="NAX6" s="191"/>
      <c r="NAY6" s="191"/>
      <c r="NAZ6" s="191"/>
      <c r="NBB6" s="191"/>
      <c r="NBC6" s="191"/>
      <c r="NBD6" s="191"/>
      <c r="NBF6" s="191"/>
      <c r="NBG6" s="191"/>
      <c r="NBH6" s="191"/>
      <c r="NBJ6" s="191"/>
      <c r="NBK6" s="191"/>
      <c r="NBL6" s="191"/>
      <c r="NBN6" s="191"/>
      <c r="NBO6" s="191"/>
      <c r="NBP6" s="191"/>
      <c r="NBR6" s="191"/>
      <c r="NBS6" s="191"/>
      <c r="NBT6" s="191"/>
      <c r="NBV6" s="191"/>
      <c r="NBW6" s="191"/>
      <c r="NBX6" s="191"/>
      <c r="NBZ6" s="191"/>
      <c r="NCA6" s="191"/>
      <c r="NCB6" s="191"/>
      <c r="NCD6" s="191"/>
      <c r="NCE6" s="191"/>
      <c r="NCF6" s="191"/>
      <c r="NCH6" s="191"/>
      <c r="NCI6" s="191"/>
      <c r="NCJ6" s="191"/>
      <c r="NCL6" s="191"/>
      <c r="NCM6" s="191"/>
      <c r="NCN6" s="191"/>
      <c r="NCP6" s="191"/>
      <c r="NCQ6" s="191"/>
      <c r="NCR6" s="191"/>
      <c r="NCT6" s="191"/>
      <c r="NCU6" s="191"/>
      <c r="NCV6" s="191"/>
      <c r="NCX6" s="191"/>
      <c r="NCY6" s="191"/>
      <c r="NCZ6" s="191"/>
      <c r="NDB6" s="191"/>
      <c r="NDC6" s="191"/>
      <c r="NDD6" s="191"/>
      <c r="NDF6" s="191"/>
      <c r="NDG6" s="191"/>
      <c r="NDH6" s="191"/>
      <c r="NDJ6" s="191"/>
      <c r="NDK6" s="191"/>
      <c r="NDL6" s="191"/>
      <c r="NDN6" s="191"/>
      <c r="NDO6" s="191"/>
      <c r="NDP6" s="191"/>
      <c r="NDR6" s="191"/>
      <c r="NDS6" s="191"/>
      <c r="NDT6" s="191"/>
      <c r="NDV6" s="191"/>
      <c r="NDW6" s="191"/>
      <c r="NDX6" s="191"/>
      <c r="NDZ6" s="191"/>
      <c r="NEA6" s="191"/>
      <c r="NEB6" s="191"/>
      <c r="NED6" s="191"/>
      <c r="NEE6" s="191"/>
      <c r="NEF6" s="191"/>
      <c r="NEH6" s="191"/>
      <c r="NEI6" s="191"/>
      <c r="NEJ6" s="191"/>
      <c r="NEL6" s="191"/>
      <c r="NEM6" s="191"/>
      <c r="NEN6" s="191"/>
      <c r="NEP6" s="191"/>
      <c r="NEQ6" s="191"/>
      <c r="NER6" s="191"/>
      <c r="NET6" s="191"/>
      <c r="NEU6" s="191"/>
      <c r="NEV6" s="191"/>
      <c r="NEX6" s="191"/>
      <c r="NEY6" s="191"/>
      <c r="NEZ6" s="191"/>
      <c r="NFB6" s="191"/>
      <c r="NFC6" s="191"/>
      <c r="NFD6" s="191"/>
      <c r="NFF6" s="191"/>
      <c r="NFG6" s="191"/>
      <c r="NFH6" s="191"/>
      <c r="NFJ6" s="191"/>
      <c r="NFK6" s="191"/>
      <c r="NFL6" s="191"/>
      <c r="NFN6" s="191"/>
      <c r="NFO6" s="191"/>
      <c r="NFP6" s="191"/>
      <c r="NFR6" s="191"/>
      <c r="NFS6" s="191"/>
      <c r="NFT6" s="191"/>
      <c r="NFV6" s="191"/>
      <c r="NFW6" s="191"/>
      <c r="NFX6" s="191"/>
      <c r="NFZ6" s="191"/>
      <c r="NGA6" s="191"/>
      <c r="NGB6" s="191"/>
      <c r="NGD6" s="191"/>
      <c r="NGE6" s="191"/>
      <c r="NGF6" s="191"/>
      <c r="NGH6" s="191"/>
      <c r="NGI6" s="191"/>
      <c r="NGJ6" s="191"/>
      <c r="NGL6" s="191"/>
      <c r="NGM6" s="191"/>
      <c r="NGN6" s="191"/>
      <c r="NGP6" s="191"/>
      <c r="NGQ6" s="191"/>
      <c r="NGR6" s="191"/>
      <c r="NGT6" s="191"/>
      <c r="NGU6" s="191"/>
      <c r="NGV6" s="191"/>
      <c r="NGX6" s="191"/>
      <c r="NGY6" s="191"/>
      <c r="NGZ6" s="191"/>
      <c r="NHB6" s="191"/>
      <c r="NHC6" s="191"/>
      <c r="NHD6" s="191"/>
      <c r="NHF6" s="191"/>
      <c r="NHG6" s="191"/>
      <c r="NHH6" s="191"/>
      <c r="NHJ6" s="191"/>
      <c r="NHK6" s="191"/>
      <c r="NHL6" s="191"/>
      <c r="NHN6" s="191"/>
      <c r="NHO6" s="191"/>
      <c r="NHP6" s="191"/>
      <c r="NHR6" s="191"/>
      <c r="NHS6" s="191"/>
      <c r="NHT6" s="191"/>
      <c r="NHV6" s="191"/>
      <c r="NHW6" s="191"/>
      <c r="NHX6" s="191"/>
      <c r="NHZ6" s="191"/>
      <c r="NIA6" s="191"/>
      <c r="NIB6" s="191"/>
      <c r="NID6" s="191"/>
      <c r="NIE6" s="191"/>
      <c r="NIF6" s="191"/>
      <c r="NIH6" s="191"/>
      <c r="NII6" s="191"/>
      <c r="NIJ6" s="191"/>
      <c r="NIL6" s="191"/>
      <c r="NIM6" s="191"/>
      <c r="NIN6" s="191"/>
      <c r="NIP6" s="191"/>
      <c r="NIQ6" s="191"/>
      <c r="NIR6" s="191"/>
      <c r="NIT6" s="191"/>
      <c r="NIU6" s="191"/>
      <c r="NIV6" s="191"/>
      <c r="NIX6" s="191"/>
      <c r="NIY6" s="191"/>
      <c r="NIZ6" s="191"/>
      <c r="NJB6" s="191"/>
      <c r="NJC6" s="191"/>
      <c r="NJD6" s="191"/>
      <c r="NJF6" s="191"/>
      <c r="NJG6" s="191"/>
      <c r="NJH6" s="191"/>
      <c r="NJJ6" s="191"/>
      <c r="NJK6" s="191"/>
      <c r="NJL6" s="191"/>
      <c r="NJN6" s="191"/>
      <c r="NJO6" s="191"/>
      <c r="NJP6" s="191"/>
      <c r="NJR6" s="191"/>
      <c r="NJS6" s="191"/>
      <c r="NJT6" s="191"/>
      <c r="NJV6" s="191"/>
      <c r="NJW6" s="191"/>
      <c r="NJX6" s="191"/>
      <c r="NJZ6" s="191"/>
      <c r="NKA6" s="191"/>
      <c r="NKB6" s="191"/>
      <c r="NKD6" s="191"/>
      <c r="NKE6" s="191"/>
      <c r="NKF6" s="191"/>
      <c r="NKH6" s="191"/>
      <c r="NKI6" s="191"/>
      <c r="NKJ6" s="191"/>
      <c r="NKL6" s="191"/>
      <c r="NKM6" s="191"/>
      <c r="NKN6" s="191"/>
      <c r="NKP6" s="191"/>
      <c r="NKQ6" s="191"/>
      <c r="NKR6" s="191"/>
      <c r="NKT6" s="191"/>
      <c r="NKU6" s="191"/>
      <c r="NKV6" s="191"/>
      <c r="NKX6" s="191"/>
      <c r="NKY6" s="191"/>
      <c r="NKZ6" s="191"/>
      <c r="NLB6" s="191"/>
      <c r="NLC6" s="191"/>
      <c r="NLD6" s="191"/>
      <c r="NLF6" s="191"/>
      <c r="NLG6" s="191"/>
      <c r="NLH6" s="191"/>
      <c r="NLJ6" s="191"/>
      <c r="NLK6" s="191"/>
      <c r="NLL6" s="191"/>
      <c r="NLN6" s="191"/>
      <c r="NLO6" s="191"/>
      <c r="NLP6" s="191"/>
      <c r="NLR6" s="191"/>
      <c r="NLS6" s="191"/>
      <c r="NLT6" s="191"/>
      <c r="NLV6" s="191"/>
      <c r="NLW6" s="191"/>
      <c r="NLX6" s="191"/>
      <c r="NLZ6" s="191"/>
      <c r="NMA6" s="191"/>
      <c r="NMB6" s="191"/>
      <c r="NMD6" s="191"/>
      <c r="NME6" s="191"/>
      <c r="NMF6" s="191"/>
      <c r="NMH6" s="191"/>
      <c r="NMI6" s="191"/>
      <c r="NMJ6" s="191"/>
      <c r="NML6" s="191"/>
      <c r="NMM6" s="191"/>
      <c r="NMN6" s="191"/>
      <c r="NMP6" s="191"/>
      <c r="NMQ6" s="191"/>
      <c r="NMR6" s="191"/>
      <c r="NMT6" s="191"/>
      <c r="NMU6" s="191"/>
      <c r="NMV6" s="191"/>
      <c r="NMX6" s="191"/>
      <c r="NMY6" s="191"/>
      <c r="NMZ6" s="191"/>
      <c r="NNB6" s="191"/>
      <c r="NNC6" s="191"/>
      <c r="NND6" s="191"/>
      <c r="NNF6" s="191"/>
      <c r="NNG6" s="191"/>
      <c r="NNH6" s="191"/>
      <c r="NNJ6" s="191"/>
      <c r="NNK6" s="191"/>
      <c r="NNL6" s="191"/>
      <c r="NNN6" s="191"/>
      <c r="NNO6" s="191"/>
      <c r="NNP6" s="191"/>
      <c r="NNR6" s="191"/>
      <c r="NNS6" s="191"/>
      <c r="NNT6" s="191"/>
      <c r="NNV6" s="191"/>
      <c r="NNW6" s="191"/>
      <c r="NNX6" s="191"/>
      <c r="NNZ6" s="191"/>
      <c r="NOA6" s="191"/>
      <c r="NOB6" s="191"/>
      <c r="NOD6" s="191"/>
      <c r="NOE6" s="191"/>
      <c r="NOF6" s="191"/>
      <c r="NOH6" s="191"/>
      <c r="NOI6" s="191"/>
      <c r="NOJ6" s="191"/>
      <c r="NOL6" s="191"/>
      <c r="NOM6" s="191"/>
      <c r="NON6" s="191"/>
      <c r="NOP6" s="191"/>
      <c r="NOQ6" s="191"/>
      <c r="NOR6" s="191"/>
      <c r="NOT6" s="191"/>
      <c r="NOU6" s="191"/>
      <c r="NOV6" s="191"/>
      <c r="NOX6" s="191"/>
      <c r="NOY6" s="191"/>
      <c r="NOZ6" s="191"/>
      <c r="NPB6" s="191"/>
      <c r="NPC6" s="191"/>
      <c r="NPD6" s="191"/>
      <c r="NPF6" s="191"/>
      <c r="NPG6" s="191"/>
      <c r="NPH6" s="191"/>
      <c r="NPJ6" s="191"/>
      <c r="NPK6" s="191"/>
      <c r="NPL6" s="191"/>
      <c r="NPN6" s="191"/>
      <c r="NPO6" s="191"/>
      <c r="NPP6" s="191"/>
      <c r="NPR6" s="191"/>
      <c r="NPS6" s="191"/>
      <c r="NPT6" s="191"/>
      <c r="NPV6" s="191"/>
      <c r="NPW6" s="191"/>
      <c r="NPX6" s="191"/>
      <c r="NPZ6" s="191"/>
      <c r="NQA6" s="191"/>
      <c r="NQB6" s="191"/>
      <c r="NQD6" s="191"/>
      <c r="NQE6" s="191"/>
      <c r="NQF6" s="191"/>
      <c r="NQH6" s="191"/>
      <c r="NQI6" s="191"/>
      <c r="NQJ6" s="191"/>
      <c r="NQL6" s="191"/>
      <c r="NQM6" s="191"/>
      <c r="NQN6" s="191"/>
      <c r="NQP6" s="191"/>
      <c r="NQQ6" s="191"/>
      <c r="NQR6" s="191"/>
      <c r="NQT6" s="191"/>
      <c r="NQU6" s="191"/>
      <c r="NQV6" s="191"/>
      <c r="NQX6" s="191"/>
      <c r="NQY6" s="191"/>
      <c r="NQZ6" s="191"/>
      <c r="NRB6" s="191"/>
      <c r="NRC6" s="191"/>
      <c r="NRD6" s="191"/>
      <c r="NRF6" s="191"/>
      <c r="NRG6" s="191"/>
      <c r="NRH6" s="191"/>
      <c r="NRJ6" s="191"/>
      <c r="NRK6" s="191"/>
      <c r="NRL6" s="191"/>
      <c r="NRN6" s="191"/>
      <c r="NRO6" s="191"/>
      <c r="NRP6" s="191"/>
      <c r="NRR6" s="191"/>
      <c r="NRS6" s="191"/>
      <c r="NRT6" s="191"/>
      <c r="NRV6" s="191"/>
      <c r="NRW6" s="191"/>
      <c r="NRX6" s="191"/>
      <c r="NRZ6" s="191"/>
      <c r="NSA6" s="191"/>
      <c r="NSB6" s="191"/>
      <c r="NSD6" s="191"/>
      <c r="NSE6" s="191"/>
      <c r="NSF6" s="191"/>
      <c r="NSH6" s="191"/>
      <c r="NSI6" s="191"/>
      <c r="NSJ6" s="191"/>
      <c r="NSL6" s="191"/>
      <c r="NSM6" s="191"/>
      <c r="NSN6" s="191"/>
      <c r="NSP6" s="191"/>
      <c r="NSQ6" s="191"/>
      <c r="NSR6" s="191"/>
      <c r="NST6" s="191"/>
      <c r="NSU6" s="191"/>
      <c r="NSV6" s="191"/>
      <c r="NSX6" s="191"/>
      <c r="NSY6" s="191"/>
      <c r="NSZ6" s="191"/>
      <c r="NTB6" s="191"/>
      <c r="NTC6" s="191"/>
      <c r="NTD6" s="191"/>
      <c r="NTF6" s="191"/>
      <c r="NTG6" s="191"/>
      <c r="NTH6" s="191"/>
      <c r="NTJ6" s="191"/>
      <c r="NTK6" s="191"/>
      <c r="NTL6" s="191"/>
      <c r="NTN6" s="191"/>
      <c r="NTO6" s="191"/>
      <c r="NTP6" s="191"/>
      <c r="NTR6" s="191"/>
      <c r="NTS6" s="191"/>
      <c r="NTT6" s="191"/>
      <c r="NTV6" s="191"/>
      <c r="NTW6" s="191"/>
      <c r="NTX6" s="191"/>
      <c r="NTZ6" s="191"/>
      <c r="NUA6" s="191"/>
      <c r="NUB6" s="191"/>
      <c r="NUD6" s="191"/>
      <c r="NUE6" s="191"/>
      <c r="NUF6" s="191"/>
      <c r="NUH6" s="191"/>
      <c r="NUI6" s="191"/>
      <c r="NUJ6" s="191"/>
      <c r="NUL6" s="191"/>
      <c r="NUM6" s="191"/>
      <c r="NUN6" s="191"/>
      <c r="NUP6" s="191"/>
      <c r="NUQ6" s="191"/>
      <c r="NUR6" s="191"/>
      <c r="NUT6" s="191"/>
      <c r="NUU6" s="191"/>
      <c r="NUV6" s="191"/>
      <c r="NUX6" s="191"/>
      <c r="NUY6" s="191"/>
      <c r="NUZ6" s="191"/>
      <c r="NVB6" s="191"/>
      <c r="NVC6" s="191"/>
      <c r="NVD6" s="191"/>
      <c r="NVF6" s="191"/>
      <c r="NVG6" s="191"/>
      <c r="NVH6" s="191"/>
      <c r="NVJ6" s="191"/>
      <c r="NVK6" s="191"/>
      <c r="NVL6" s="191"/>
      <c r="NVN6" s="191"/>
      <c r="NVO6" s="191"/>
      <c r="NVP6" s="191"/>
      <c r="NVR6" s="191"/>
      <c r="NVS6" s="191"/>
      <c r="NVT6" s="191"/>
      <c r="NVV6" s="191"/>
      <c r="NVW6" s="191"/>
      <c r="NVX6" s="191"/>
      <c r="NVZ6" s="191"/>
      <c r="NWA6" s="191"/>
      <c r="NWB6" s="191"/>
      <c r="NWD6" s="191"/>
      <c r="NWE6" s="191"/>
      <c r="NWF6" s="191"/>
      <c r="NWH6" s="191"/>
      <c r="NWI6" s="191"/>
      <c r="NWJ6" s="191"/>
      <c r="NWL6" s="191"/>
      <c r="NWM6" s="191"/>
      <c r="NWN6" s="191"/>
      <c r="NWP6" s="191"/>
      <c r="NWQ6" s="191"/>
      <c r="NWR6" s="191"/>
      <c r="NWT6" s="191"/>
      <c r="NWU6" s="191"/>
      <c r="NWV6" s="191"/>
      <c r="NWX6" s="191"/>
      <c r="NWY6" s="191"/>
      <c r="NWZ6" s="191"/>
      <c r="NXB6" s="191"/>
      <c r="NXC6" s="191"/>
      <c r="NXD6" s="191"/>
      <c r="NXF6" s="191"/>
      <c r="NXG6" s="191"/>
      <c r="NXH6" s="191"/>
      <c r="NXJ6" s="191"/>
      <c r="NXK6" s="191"/>
      <c r="NXL6" s="191"/>
      <c r="NXN6" s="191"/>
      <c r="NXO6" s="191"/>
      <c r="NXP6" s="191"/>
      <c r="NXR6" s="191"/>
      <c r="NXS6" s="191"/>
      <c r="NXT6" s="191"/>
      <c r="NXV6" s="191"/>
      <c r="NXW6" s="191"/>
      <c r="NXX6" s="191"/>
      <c r="NXZ6" s="191"/>
      <c r="NYA6" s="191"/>
      <c r="NYB6" s="191"/>
      <c r="NYD6" s="191"/>
      <c r="NYE6" s="191"/>
      <c r="NYF6" s="191"/>
      <c r="NYH6" s="191"/>
      <c r="NYI6" s="191"/>
      <c r="NYJ6" s="191"/>
      <c r="NYL6" s="191"/>
      <c r="NYM6" s="191"/>
      <c r="NYN6" s="191"/>
      <c r="NYP6" s="191"/>
      <c r="NYQ6" s="191"/>
      <c r="NYR6" s="191"/>
      <c r="NYT6" s="191"/>
      <c r="NYU6" s="191"/>
      <c r="NYV6" s="191"/>
      <c r="NYX6" s="191"/>
      <c r="NYY6" s="191"/>
      <c r="NYZ6" s="191"/>
      <c r="NZB6" s="191"/>
      <c r="NZC6" s="191"/>
      <c r="NZD6" s="191"/>
      <c r="NZF6" s="191"/>
      <c r="NZG6" s="191"/>
      <c r="NZH6" s="191"/>
      <c r="NZJ6" s="191"/>
      <c r="NZK6" s="191"/>
      <c r="NZL6" s="191"/>
      <c r="NZN6" s="191"/>
      <c r="NZO6" s="191"/>
      <c r="NZP6" s="191"/>
      <c r="NZR6" s="191"/>
      <c r="NZS6" s="191"/>
      <c r="NZT6" s="191"/>
      <c r="NZV6" s="191"/>
      <c r="NZW6" s="191"/>
      <c r="NZX6" s="191"/>
      <c r="NZZ6" s="191"/>
      <c r="OAA6" s="191"/>
      <c r="OAB6" s="191"/>
      <c r="OAD6" s="191"/>
      <c r="OAE6" s="191"/>
      <c r="OAF6" s="191"/>
      <c r="OAH6" s="191"/>
      <c r="OAI6" s="191"/>
      <c r="OAJ6" s="191"/>
      <c r="OAL6" s="191"/>
      <c r="OAM6" s="191"/>
      <c r="OAN6" s="191"/>
      <c r="OAP6" s="191"/>
      <c r="OAQ6" s="191"/>
      <c r="OAR6" s="191"/>
      <c r="OAT6" s="191"/>
      <c r="OAU6" s="191"/>
      <c r="OAV6" s="191"/>
      <c r="OAX6" s="191"/>
      <c r="OAY6" s="191"/>
      <c r="OAZ6" s="191"/>
      <c r="OBB6" s="191"/>
      <c r="OBC6" s="191"/>
      <c r="OBD6" s="191"/>
      <c r="OBF6" s="191"/>
      <c r="OBG6" s="191"/>
      <c r="OBH6" s="191"/>
      <c r="OBJ6" s="191"/>
      <c r="OBK6" s="191"/>
      <c r="OBL6" s="191"/>
      <c r="OBN6" s="191"/>
      <c r="OBO6" s="191"/>
      <c r="OBP6" s="191"/>
      <c r="OBR6" s="191"/>
      <c r="OBS6" s="191"/>
      <c r="OBT6" s="191"/>
      <c r="OBV6" s="191"/>
      <c r="OBW6" s="191"/>
      <c r="OBX6" s="191"/>
      <c r="OBZ6" s="191"/>
      <c r="OCA6" s="191"/>
      <c r="OCB6" s="191"/>
      <c r="OCD6" s="191"/>
      <c r="OCE6" s="191"/>
      <c r="OCF6" s="191"/>
      <c r="OCH6" s="191"/>
      <c r="OCI6" s="191"/>
      <c r="OCJ6" s="191"/>
      <c r="OCL6" s="191"/>
      <c r="OCM6" s="191"/>
      <c r="OCN6" s="191"/>
      <c r="OCP6" s="191"/>
      <c r="OCQ6" s="191"/>
      <c r="OCR6" s="191"/>
      <c r="OCT6" s="191"/>
      <c r="OCU6" s="191"/>
      <c r="OCV6" s="191"/>
      <c r="OCX6" s="191"/>
      <c r="OCY6" s="191"/>
      <c r="OCZ6" s="191"/>
      <c r="ODB6" s="191"/>
      <c r="ODC6" s="191"/>
      <c r="ODD6" s="191"/>
      <c r="ODF6" s="191"/>
      <c r="ODG6" s="191"/>
      <c r="ODH6" s="191"/>
      <c r="ODJ6" s="191"/>
      <c r="ODK6" s="191"/>
      <c r="ODL6" s="191"/>
      <c r="ODN6" s="191"/>
      <c r="ODO6" s="191"/>
      <c r="ODP6" s="191"/>
      <c r="ODR6" s="191"/>
      <c r="ODS6" s="191"/>
      <c r="ODT6" s="191"/>
      <c r="ODV6" s="191"/>
      <c r="ODW6" s="191"/>
      <c r="ODX6" s="191"/>
      <c r="ODZ6" s="191"/>
      <c r="OEA6" s="191"/>
      <c r="OEB6" s="191"/>
      <c r="OED6" s="191"/>
      <c r="OEE6" s="191"/>
      <c r="OEF6" s="191"/>
      <c r="OEH6" s="191"/>
      <c r="OEI6" s="191"/>
      <c r="OEJ6" s="191"/>
      <c r="OEL6" s="191"/>
      <c r="OEM6" s="191"/>
      <c r="OEN6" s="191"/>
      <c r="OEP6" s="191"/>
      <c r="OEQ6" s="191"/>
      <c r="OER6" s="191"/>
      <c r="OET6" s="191"/>
      <c r="OEU6" s="191"/>
      <c r="OEV6" s="191"/>
      <c r="OEX6" s="191"/>
      <c r="OEY6" s="191"/>
      <c r="OEZ6" s="191"/>
      <c r="OFB6" s="191"/>
      <c r="OFC6" s="191"/>
      <c r="OFD6" s="191"/>
      <c r="OFF6" s="191"/>
      <c r="OFG6" s="191"/>
      <c r="OFH6" s="191"/>
      <c r="OFJ6" s="191"/>
      <c r="OFK6" s="191"/>
      <c r="OFL6" s="191"/>
      <c r="OFN6" s="191"/>
      <c r="OFO6" s="191"/>
      <c r="OFP6" s="191"/>
      <c r="OFR6" s="191"/>
      <c r="OFS6" s="191"/>
      <c r="OFT6" s="191"/>
      <c r="OFV6" s="191"/>
      <c r="OFW6" s="191"/>
      <c r="OFX6" s="191"/>
      <c r="OFZ6" s="191"/>
      <c r="OGA6" s="191"/>
      <c r="OGB6" s="191"/>
      <c r="OGD6" s="191"/>
      <c r="OGE6" s="191"/>
      <c r="OGF6" s="191"/>
      <c r="OGH6" s="191"/>
      <c r="OGI6" s="191"/>
      <c r="OGJ6" s="191"/>
      <c r="OGL6" s="191"/>
      <c r="OGM6" s="191"/>
      <c r="OGN6" s="191"/>
      <c r="OGP6" s="191"/>
      <c r="OGQ6" s="191"/>
      <c r="OGR6" s="191"/>
      <c r="OGT6" s="191"/>
      <c r="OGU6" s="191"/>
      <c r="OGV6" s="191"/>
      <c r="OGX6" s="191"/>
      <c r="OGY6" s="191"/>
      <c r="OGZ6" s="191"/>
      <c r="OHB6" s="191"/>
      <c r="OHC6" s="191"/>
      <c r="OHD6" s="191"/>
      <c r="OHF6" s="191"/>
      <c r="OHG6" s="191"/>
      <c r="OHH6" s="191"/>
      <c r="OHJ6" s="191"/>
      <c r="OHK6" s="191"/>
      <c r="OHL6" s="191"/>
      <c r="OHN6" s="191"/>
      <c r="OHO6" s="191"/>
      <c r="OHP6" s="191"/>
      <c r="OHR6" s="191"/>
      <c r="OHS6" s="191"/>
      <c r="OHT6" s="191"/>
      <c r="OHV6" s="191"/>
      <c r="OHW6" s="191"/>
      <c r="OHX6" s="191"/>
      <c r="OHZ6" s="191"/>
      <c r="OIA6" s="191"/>
      <c r="OIB6" s="191"/>
      <c r="OID6" s="191"/>
      <c r="OIE6" s="191"/>
      <c r="OIF6" s="191"/>
      <c r="OIH6" s="191"/>
      <c r="OII6" s="191"/>
      <c r="OIJ6" s="191"/>
      <c r="OIL6" s="191"/>
      <c r="OIM6" s="191"/>
      <c r="OIN6" s="191"/>
      <c r="OIP6" s="191"/>
      <c r="OIQ6" s="191"/>
      <c r="OIR6" s="191"/>
      <c r="OIT6" s="191"/>
      <c r="OIU6" s="191"/>
      <c r="OIV6" s="191"/>
      <c r="OIX6" s="191"/>
      <c r="OIY6" s="191"/>
      <c r="OIZ6" s="191"/>
      <c r="OJB6" s="191"/>
      <c r="OJC6" s="191"/>
      <c r="OJD6" s="191"/>
      <c r="OJF6" s="191"/>
      <c r="OJG6" s="191"/>
      <c r="OJH6" s="191"/>
      <c r="OJJ6" s="191"/>
      <c r="OJK6" s="191"/>
      <c r="OJL6" s="191"/>
      <c r="OJN6" s="191"/>
      <c r="OJO6" s="191"/>
      <c r="OJP6" s="191"/>
      <c r="OJR6" s="191"/>
      <c r="OJS6" s="191"/>
      <c r="OJT6" s="191"/>
      <c r="OJV6" s="191"/>
      <c r="OJW6" s="191"/>
      <c r="OJX6" s="191"/>
      <c r="OJZ6" s="191"/>
      <c r="OKA6" s="191"/>
      <c r="OKB6" s="191"/>
      <c r="OKD6" s="191"/>
      <c r="OKE6" s="191"/>
      <c r="OKF6" s="191"/>
      <c r="OKH6" s="191"/>
      <c r="OKI6" s="191"/>
      <c r="OKJ6" s="191"/>
      <c r="OKL6" s="191"/>
      <c r="OKM6" s="191"/>
      <c r="OKN6" s="191"/>
      <c r="OKP6" s="191"/>
      <c r="OKQ6" s="191"/>
      <c r="OKR6" s="191"/>
      <c r="OKT6" s="191"/>
      <c r="OKU6" s="191"/>
      <c r="OKV6" s="191"/>
      <c r="OKX6" s="191"/>
      <c r="OKY6" s="191"/>
      <c r="OKZ6" s="191"/>
      <c r="OLB6" s="191"/>
      <c r="OLC6" s="191"/>
      <c r="OLD6" s="191"/>
      <c r="OLF6" s="191"/>
      <c r="OLG6" s="191"/>
      <c r="OLH6" s="191"/>
      <c r="OLJ6" s="191"/>
      <c r="OLK6" s="191"/>
      <c r="OLL6" s="191"/>
      <c r="OLN6" s="191"/>
      <c r="OLO6" s="191"/>
      <c r="OLP6" s="191"/>
      <c r="OLR6" s="191"/>
      <c r="OLS6" s="191"/>
      <c r="OLT6" s="191"/>
      <c r="OLV6" s="191"/>
      <c r="OLW6" s="191"/>
      <c r="OLX6" s="191"/>
      <c r="OLZ6" s="191"/>
      <c r="OMA6" s="191"/>
      <c r="OMB6" s="191"/>
      <c r="OMD6" s="191"/>
      <c r="OME6" s="191"/>
      <c r="OMF6" s="191"/>
      <c r="OMH6" s="191"/>
      <c r="OMI6" s="191"/>
      <c r="OMJ6" s="191"/>
      <c r="OML6" s="191"/>
      <c r="OMM6" s="191"/>
      <c r="OMN6" s="191"/>
      <c r="OMP6" s="191"/>
      <c r="OMQ6" s="191"/>
      <c r="OMR6" s="191"/>
      <c r="OMT6" s="191"/>
      <c r="OMU6" s="191"/>
      <c r="OMV6" s="191"/>
      <c r="OMX6" s="191"/>
      <c r="OMY6" s="191"/>
      <c r="OMZ6" s="191"/>
      <c r="ONB6" s="191"/>
      <c r="ONC6" s="191"/>
      <c r="OND6" s="191"/>
      <c r="ONF6" s="191"/>
      <c r="ONG6" s="191"/>
      <c r="ONH6" s="191"/>
      <c r="ONJ6" s="191"/>
      <c r="ONK6" s="191"/>
      <c r="ONL6" s="191"/>
      <c r="ONN6" s="191"/>
      <c r="ONO6" s="191"/>
      <c r="ONP6" s="191"/>
      <c r="ONR6" s="191"/>
      <c r="ONS6" s="191"/>
      <c r="ONT6" s="191"/>
      <c r="ONV6" s="191"/>
      <c r="ONW6" s="191"/>
      <c r="ONX6" s="191"/>
      <c r="ONZ6" s="191"/>
      <c r="OOA6" s="191"/>
      <c r="OOB6" s="191"/>
      <c r="OOD6" s="191"/>
      <c r="OOE6" s="191"/>
      <c r="OOF6" s="191"/>
      <c r="OOH6" s="191"/>
      <c r="OOI6" s="191"/>
      <c r="OOJ6" s="191"/>
      <c r="OOL6" s="191"/>
      <c r="OOM6" s="191"/>
      <c r="OON6" s="191"/>
      <c r="OOP6" s="191"/>
      <c r="OOQ6" s="191"/>
      <c r="OOR6" s="191"/>
      <c r="OOT6" s="191"/>
      <c r="OOU6" s="191"/>
      <c r="OOV6" s="191"/>
      <c r="OOX6" s="191"/>
      <c r="OOY6" s="191"/>
      <c r="OOZ6" s="191"/>
      <c r="OPB6" s="191"/>
      <c r="OPC6" s="191"/>
      <c r="OPD6" s="191"/>
      <c r="OPF6" s="191"/>
      <c r="OPG6" s="191"/>
      <c r="OPH6" s="191"/>
      <c r="OPJ6" s="191"/>
      <c r="OPK6" s="191"/>
      <c r="OPL6" s="191"/>
      <c r="OPN6" s="191"/>
      <c r="OPO6" s="191"/>
      <c r="OPP6" s="191"/>
      <c r="OPR6" s="191"/>
      <c r="OPS6" s="191"/>
      <c r="OPT6" s="191"/>
      <c r="OPV6" s="191"/>
      <c r="OPW6" s="191"/>
      <c r="OPX6" s="191"/>
      <c r="OPZ6" s="191"/>
      <c r="OQA6" s="191"/>
      <c r="OQB6" s="191"/>
      <c r="OQD6" s="191"/>
      <c r="OQE6" s="191"/>
      <c r="OQF6" s="191"/>
      <c r="OQH6" s="191"/>
      <c r="OQI6" s="191"/>
      <c r="OQJ6" s="191"/>
      <c r="OQL6" s="191"/>
      <c r="OQM6" s="191"/>
      <c r="OQN6" s="191"/>
      <c r="OQP6" s="191"/>
      <c r="OQQ6" s="191"/>
      <c r="OQR6" s="191"/>
      <c r="OQT6" s="191"/>
      <c r="OQU6" s="191"/>
      <c r="OQV6" s="191"/>
      <c r="OQX6" s="191"/>
      <c r="OQY6" s="191"/>
      <c r="OQZ6" s="191"/>
      <c r="ORB6" s="191"/>
      <c r="ORC6" s="191"/>
      <c r="ORD6" s="191"/>
      <c r="ORF6" s="191"/>
      <c r="ORG6" s="191"/>
      <c r="ORH6" s="191"/>
      <c r="ORJ6" s="191"/>
      <c r="ORK6" s="191"/>
      <c r="ORL6" s="191"/>
      <c r="ORN6" s="191"/>
      <c r="ORO6" s="191"/>
      <c r="ORP6" s="191"/>
      <c r="ORR6" s="191"/>
      <c r="ORS6" s="191"/>
      <c r="ORT6" s="191"/>
      <c r="ORV6" s="191"/>
      <c r="ORW6" s="191"/>
      <c r="ORX6" s="191"/>
      <c r="ORZ6" s="191"/>
      <c r="OSA6" s="191"/>
      <c r="OSB6" s="191"/>
      <c r="OSD6" s="191"/>
      <c r="OSE6" s="191"/>
      <c r="OSF6" s="191"/>
      <c r="OSH6" s="191"/>
      <c r="OSI6" s="191"/>
      <c r="OSJ6" s="191"/>
      <c r="OSL6" s="191"/>
      <c r="OSM6" s="191"/>
      <c r="OSN6" s="191"/>
      <c r="OSP6" s="191"/>
      <c r="OSQ6" s="191"/>
      <c r="OSR6" s="191"/>
      <c r="OST6" s="191"/>
      <c r="OSU6" s="191"/>
      <c r="OSV6" s="191"/>
      <c r="OSX6" s="191"/>
      <c r="OSY6" s="191"/>
      <c r="OSZ6" s="191"/>
      <c r="OTB6" s="191"/>
      <c r="OTC6" s="191"/>
      <c r="OTD6" s="191"/>
      <c r="OTF6" s="191"/>
      <c r="OTG6" s="191"/>
      <c r="OTH6" s="191"/>
      <c r="OTJ6" s="191"/>
      <c r="OTK6" s="191"/>
      <c r="OTL6" s="191"/>
      <c r="OTN6" s="191"/>
      <c r="OTO6" s="191"/>
      <c r="OTP6" s="191"/>
      <c r="OTR6" s="191"/>
      <c r="OTS6" s="191"/>
      <c r="OTT6" s="191"/>
      <c r="OTV6" s="191"/>
      <c r="OTW6" s="191"/>
      <c r="OTX6" s="191"/>
      <c r="OTZ6" s="191"/>
      <c r="OUA6" s="191"/>
      <c r="OUB6" s="191"/>
      <c r="OUD6" s="191"/>
      <c r="OUE6" s="191"/>
      <c r="OUF6" s="191"/>
      <c r="OUH6" s="191"/>
      <c r="OUI6" s="191"/>
      <c r="OUJ6" s="191"/>
      <c r="OUL6" s="191"/>
      <c r="OUM6" s="191"/>
      <c r="OUN6" s="191"/>
      <c r="OUP6" s="191"/>
      <c r="OUQ6" s="191"/>
      <c r="OUR6" s="191"/>
      <c r="OUT6" s="191"/>
      <c r="OUU6" s="191"/>
      <c r="OUV6" s="191"/>
      <c r="OUX6" s="191"/>
      <c r="OUY6" s="191"/>
      <c r="OUZ6" s="191"/>
      <c r="OVB6" s="191"/>
      <c r="OVC6" s="191"/>
      <c r="OVD6" s="191"/>
      <c r="OVF6" s="191"/>
      <c r="OVG6" s="191"/>
      <c r="OVH6" s="191"/>
      <c r="OVJ6" s="191"/>
      <c r="OVK6" s="191"/>
      <c r="OVL6" s="191"/>
      <c r="OVN6" s="191"/>
      <c r="OVO6" s="191"/>
      <c r="OVP6" s="191"/>
      <c r="OVR6" s="191"/>
      <c r="OVS6" s="191"/>
      <c r="OVT6" s="191"/>
      <c r="OVV6" s="191"/>
      <c r="OVW6" s="191"/>
      <c r="OVX6" s="191"/>
      <c r="OVZ6" s="191"/>
      <c r="OWA6" s="191"/>
      <c r="OWB6" s="191"/>
      <c r="OWD6" s="191"/>
      <c r="OWE6" s="191"/>
      <c r="OWF6" s="191"/>
      <c r="OWH6" s="191"/>
      <c r="OWI6" s="191"/>
      <c r="OWJ6" s="191"/>
      <c r="OWL6" s="191"/>
      <c r="OWM6" s="191"/>
      <c r="OWN6" s="191"/>
      <c r="OWP6" s="191"/>
      <c r="OWQ6" s="191"/>
      <c r="OWR6" s="191"/>
      <c r="OWT6" s="191"/>
      <c r="OWU6" s="191"/>
      <c r="OWV6" s="191"/>
      <c r="OWX6" s="191"/>
      <c r="OWY6" s="191"/>
      <c r="OWZ6" s="191"/>
      <c r="OXB6" s="191"/>
      <c r="OXC6" s="191"/>
      <c r="OXD6" s="191"/>
      <c r="OXF6" s="191"/>
      <c r="OXG6" s="191"/>
      <c r="OXH6" s="191"/>
      <c r="OXJ6" s="191"/>
      <c r="OXK6" s="191"/>
      <c r="OXL6" s="191"/>
      <c r="OXN6" s="191"/>
      <c r="OXO6" s="191"/>
      <c r="OXP6" s="191"/>
      <c r="OXR6" s="191"/>
      <c r="OXS6" s="191"/>
      <c r="OXT6" s="191"/>
      <c r="OXV6" s="191"/>
      <c r="OXW6" s="191"/>
      <c r="OXX6" s="191"/>
      <c r="OXZ6" s="191"/>
      <c r="OYA6" s="191"/>
      <c r="OYB6" s="191"/>
      <c r="OYD6" s="191"/>
      <c r="OYE6" s="191"/>
      <c r="OYF6" s="191"/>
      <c r="OYH6" s="191"/>
      <c r="OYI6" s="191"/>
      <c r="OYJ6" s="191"/>
      <c r="OYL6" s="191"/>
      <c r="OYM6" s="191"/>
      <c r="OYN6" s="191"/>
      <c r="OYP6" s="191"/>
      <c r="OYQ6" s="191"/>
      <c r="OYR6" s="191"/>
      <c r="OYT6" s="191"/>
      <c r="OYU6" s="191"/>
      <c r="OYV6" s="191"/>
      <c r="OYX6" s="191"/>
      <c r="OYY6" s="191"/>
      <c r="OYZ6" s="191"/>
      <c r="OZB6" s="191"/>
      <c r="OZC6" s="191"/>
      <c r="OZD6" s="191"/>
      <c r="OZF6" s="191"/>
      <c r="OZG6" s="191"/>
      <c r="OZH6" s="191"/>
      <c r="OZJ6" s="191"/>
      <c r="OZK6" s="191"/>
      <c r="OZL6" s="191"/>
      <c r="OZN6" s="191"/>
      <c r="OZO6" s="191"/>
      <c r="OZP6" s="191"/>
      <c r="OZR6" s="191"/>
      <c r="OZS6" s="191"/>
      <c r="OZT6" s="191"/>
      <c r="OZV6" s="191"/>
      <c r="OZW6" s="191"/>
      <c r="OZX6" s="191"/>
      <c r="OZZ6" s="191"/>
      <c r="PAA6" s="191"/>
      <c r="PAB6" s="191"/>
      <c r="PAD6" s="191"/>
      <c r="PAE6" s="191"/>
      <c r="PAF6" s="191"/>
      <c r="PAH6" s="191"/>
      <c r="PAI6" s="191"/>
      <c r="PAJ6" s="191"/>
      <c r="PAL6" s="191"/>
      <c r="PAM6" s="191"/>
      <c r="PAN6" s="191"/>
      <c r="PAP6" s="191"/>
      <c r="PAQ6" s="191"/>
      <c r="PAR6" s="191"/>
      <c r="PAT6" s="191"/>
      <c r="PAU6" s="191"/>
      <c r="PAV6" s="191"/>
      <c r="PAX6" s="191"/>
      <c r="PAY6" s="191"/>
      <c r="PAZ6" s="191"/>
      <c r="PBB6" s="191"/>
      <c r="PBC6" s="191"/>
      <c r="PBD6" s="191"/>
      <c r="PBF6" s="191"/>
      <c r="PBG6" s="191"/>
      <c r="PBH6" s="191"/>
      <c r="PBJ6" s="191"/>
      <c r="PBK6" s="191"/>
      <c r="PBL6" s="191"/>
      <c r="PBN6" s="191"/>
      <c r="PBO6" s="191"/>
      <c r="PBP6" s="191"/>
      <c r="PBR6" s="191"/>
      <c r="PBS6" s="191"/>
      <c r="PBT6" s="191"/>
      <c r="PBV6" s="191"/>
      <c r="PBW6" s="191"/>
      <c r="PBX6" s="191"/>
      <c r="PBZ6" s="191"/>
      <c r="PCA6" s="191"/>
      <c r="PCB6" s="191"/>
      <c r="PCD6" s="191"/>
      <c r="PCE6" s="191"/>
      <c r="PCF6" s="191"/>
      <c r="PCH6" s="191"/>
      <c r="PCI6" s="191"/>
      <c r="PCJ6" s="191"/>
      <c r="PCL6" s="191"/>
      <c r="PCM6" s="191"/>
      <c r="PCN6" s="191"/>
      <c r="PCP6" s="191"/>
      <c r="PCQ6" s="191"/>
      <c r="PCR6" s="191"/>
      <c r="PCT6" s="191"/>
      <c r="PCU6" s="191"/>
      <c r="PCV6" s="191"/>
      <c r="PCX6" s="191"/>
      <c r="PCY6" s="191"/>
      <c r="PCZ6" s="191"/>
      <c r="PDB6" s="191"/>
      <c r="PDC6" s="191"/>
      <c r="PDD6" s="191"/>
      <c r="PDF6" s="191"/>
      <c r="PDG6" s="191"/>
      <c r="PDH6" s="191"/>
      <c r="PDJ6" s="191"/>
      <c r="PDK6" s="191"/>
      <c r="PDL6" s="191"/>
      <c r="PDN6" s="191"/>
      <c r="PDO6" s="191"/>
      <c r="PDP6" s="191"/>
      <c r="PDR6" s="191"/>
      <c r="PDS6" s="191"/>
      <c r="PDT6" s="191"/>
      <c r="PDV6" s="191"/>
      <c r="PDW6" s="191"/>
      <c r="PDX6" s="191"/>
      <c r="PDZ6" s="191"/>
      <c r="PEA6" s="191"/>
      <c r="PEB6" s="191"/>
      <c r="PED6" s="191"/>
      <c r="PEE6" s="191"/>
      <c r="PEF6" s="191"/>
      <c r="PEH6" s="191"/>
      <c r="PEI6" s="191"/>
      <c r="PEJ6" s="191"/>
      <c r="PEL6" s="191"/>
      <c r="PEM6" s="191"/>
      <c r="PEN6" s="191"/>
      <c r="PEP6" s="191"/>
      <c r="PEQ6" s="191"/>
      <c r="PER6" s="191"/>
      <c r="PET6" s="191"/>
      <c r="PEU6" s="191"/>
      <c r="PEV6" s="191"/>
      <c r="PEX6" s="191"/>
      <c r="PEY6" s="191"/>
      <c r="PEZ6" s="191"/>
      <c r="PFB6" s="191"/>
      <c r="PFC6" s="191"/>
      <c r="PFD6" s="191"/>
      <c r="PFF6" s="191"/>
      <c r="PFG6" s="191"/>
      <c r="PFH6" s="191"/>
      <c r="PFJ6" s="191"/>
      <c r="PFK6" s="191"/>
      <c r="PFL6" s="191"/>
      <c r="PFN6" s="191"/>
      <c r="PFO6" s="191"/>
      <c r="PFP6" s="191"/>
      <c r="PFR6" s="191"/>
      <c r="PFS6" s="191"/>
      <c r="PFT6" s="191"/>
      <c r="PFV6" s="191"/>
      <c r="PFW6" s="191"/>
      <c r="PFX6" s="191"/>
      <c r="PFZ6" s="191"/>
      <c r="PGA6" s="191"/>
      <c r="PGB6" s="191"/>
      <c r="PGD6" s="191"/>
      <c r="PGE6" s="191"/>
      <c r="PGF6" s="191"/>
      <c r="PGH6" s="191"/>
      <c r="PGI6" s="191"/>
      <c r="PGJ6" s="191"/>
      <c r="PGL6" s="191"/>
      <c r="PGM6" s="191"/>
      <c r="PGN6" s="191"/>
      <c r="PGP6" s="191"/>
      <c r="PGQ6" s="191"/>
      <c r="PGR6" s="191"/>
      <c r="PGT6" s="191"/>
      <c r="PGU6" s="191"/>
      <c r="PGV6" s="191"/>
      <c r="PGX6" s="191"/>
      <c r="PGY6" s="191"/>
      <c r="PGZ6" s="191"/>
      <c r="PHB6" s="191"/>
      <c r="PHC6" s="191"/>
      <c r="PHD6" s="191"/>
      <c r="PHF6" s="191"/>
      <c r="PHG6" s="191"/>
      <c r="PHH6" s="191"/>
      <c r="PHJ6" s="191"/>
      <c r="PHK6" s="191"/>
      <c r="PHL6" s="191"/>
      <c r="PHN6" s="191"/>
      <c r="PHO6" s="191"/>
      <c r="PHP6" s="191"/>
      <c r="PHR6" s="191"/>
      <c r="PHS6" s="191"/>
      <c r="PHT6" s="191"/>
      <c r="PHV6" s="191"/>
      <c r="PHW6" s="191"/>
      <c r="PHX6" s="191"/>
      <c r="PHZ6" s="191"/>
      <c r="PIA6" s="191"/>
      <c r="PIB6" s="191"/>
      <c r="PID6" s="191"/>
      <c r="PIE6" s="191"/>
      <c r="PIF6" s="191"/>
      <c r="PIH6" s="191"/>
      <c r="PII6" s="191"/>
      <c r="PIJ6" s="191"/>
      <c r="PIL6" s="191"/>
      <c r="PIM6" s="191"/>
      <c r="PIN6" s="191"/>
      <c r="PIP6" s="191"/>
      <c r="PIQ6" s="191"/>
      <c r="PIR6" s="191"/>
      <c r="PIT6" s="191"/>
      <c r="PIU6" s="191"/>
      <c r="PIV6" s="191"/>
      <c r="PIX6" s="191"/>
      <c r="PIY6" s="191"/>
      <c r="PIZ6" s="191"/>
      <c r="PJB6" s="191"/>
      <c r="PJC6" s="191"/>
      <c r="PJD6" s="191"/>
      <c r="PJF6" s="191"/>
      <c r="PJG6" s="191"/>
      <c r="PJH6" s="191"/>
      <c r="PJJ6" s="191"/>
      <c r="PJK6" s="191"/>
      <c r="PJL6" s="191"/>
      <c r="PJN6" s="191"/>
      <c r="PJO6" s="191"/>
      <c r="PJP6" s="191"/>
      <c r="PJR6" s="191"/>
      <c r="PJS6" s="191"/>
      <c r="PJT6" s="191"/>
      <c r="PJV6" s="191"/>
      <c r="PJW6" s="191"/>
      <c r="PJX6" s="191"/>
      <c r="PJZ6" s="191"/>
      <c r="PKA6" s="191"/>
      <c r="PKB6" s="191"/>
      <c r="PKD6" s="191"/>
      <c r="PKE6" s="191"/>
      <c r="PKF6" s="191"/>
      <c r="PKH6" s="191"/>
      <c r="PKI6" s="191"/>
      <c r="PKJ6" s="191"/>
      <c r="PKL6" s="191"/>
      <c r="PKM6" s="191"/>
      <c r="PKN6" s="191"/>
      <c r="PKP6" s="191"/>
      <c r="PKQ6" s="191"/>
      <c r="PKR6" s="191"/>
      <c r="PKT6" s="191"/>
      <c r="PKU6" s="191"/>
      <c r="PKV6" s="191"/>
      <c r="PKX6" s="191"/>
      <c r="PKY6" s="191"/>
      <c r="PKZ6" s="191"/>
      <c r="PLB6" s="191"/>
      <c r="PLC6" s="191"/>
      <c r="PLD6" s="191"/>
      <c r="PLF6" s="191"/>
      <c r="PLG6" s="191"/>
      <c r="PLH6" s="191"/>
      <c r="PLJ6" s="191"/>
      <c r="PLK6" s="191"/>
      <c r="PLL6" s="191"/>
      <c r="PLN6" s="191"/>
      <c r="PLO6" s="191"/>
      <c r="PLP6" s="191"/>
      <c r="PLR6" s="191"/>
      <c r="PLS6" s="191"/>
      <c r="PLT6" s="191"/>
      <c r="PLV6" s="191"/>
      <c r="PLW6" s="191"/>
      <c r="PLX6" s="191"/>
      <c r="PLZ6" s="191"/>
      <c r="PMA6" s="191"/>
      <c r="PMB6" s="191"/>
      <c r="PMD6" s="191"/>
      <c r="PME6" s="191"/>
      <c r="PMF6" s="191"/>
      <c r="PMH6" s="191"/>
      <c r="PMI6" s="191"/>
      <c r="PMJ6" s="191"/>
      <c r="PML6" s="191"/>
      <c r="PMM6" s="191"/>
      <c r="PMN6" s="191"/>
      <c r="PMP6" s="191"/>
      <c r="PMQ6" s="191"/>
      <c r="PMR6" s="191"/>
      <c r="PMT6" s="191"/>
      <c r="PMU6" s="191"/>
      <c r="PMV6" s="191"/>
      <c r="PMX6" s="191"/>
      <c r="PMY6" s="191"/>
      <c r="PMZ6" s="191"/>
      <c r="PNB6" s="191"/>
      <c r="PNC6" s="191"/>
      <c r="PND6" s="191"/>
      <c r="PNF6" s="191"/>
      <c r="PNG6" s="191"/>
      <c r="PNH6" s="191"/>
      <c r="PNJ6" s="191"/>
      <c r="PNK6" s="191"/>
      <c r="PNL6" s="191"/>
      <c r="PNN6" s="191"/>
      <c r="PNO6" s="191"/>
      <c r="PNP6" s="191"/>
      <c r="PNR6" s="191"/>
      <c r="PNS6" s="191"/>
      <c r="PNT6" s="191"/>
      <c r="PNV6" s="191"/>
      <c r="PNW6" s="191"/>
      <c r="PNX6" s="191"/>
      <c r="PNZ6" s="191"/>
      <c r="POA6" s="191"/>
      <c r="POB6" s="191"/>
      <c r="POD6" s="191"/>
      <c r="POE6" s="191"/>
      <c r="POF6" s="191"/>
      <c r="POH6" s="191"/>
      <c r="POI6" s="191"/>
      <c r="POJ6" s="191"/>
      <c r="POL6" s="191"/>
      <c r="POM6" s="191"/>
      <c r="PON6" s="191"/>
      <c r="POP6" s="191"/>
      <c r="POQ6" s="191"/>
      <c r="POR6" s="191"/>
      <c r="POT6" s="191"/>
      <c r="POU6" s="191"/>
      <c r="POV6" s="191"/>
      <c r="POX6" s="191"/>
      <c r="POY6" s="191"/>
      <c r="POZ6" s="191"/>
      <c r="PPB6" s="191"/>
      <c r="PPC6" s="191"/>
      <c r="PPD6" s="191"/>
      <c r="PPF6" s="191"/>
      <c r="PPG6" s="191"/>
      <c r="PPH6" s="191"/>
      <c r="PPJ6" s="191"/>
      <c r="PPK6" s="191"/>
      <c r="PPL6" s="191"/>
      <c r="PPN6" s="191"/>
      <c r="PPO6" s="191"/>
      <c r="PPP6" s="191"/>
      <c r="PPR6" s="191"/>
      <c r="PPS6" s="191"/>
      <c r="PPT6" s="191"/>
      <c r="PPV6" s="191"/>
      <c r="PPW6" s="191"/>
      <c r="PPX6" s="191"/>
      <c r="PPZ6" s="191"/>
      <c r="PQA6" s="191"/>
      <c r="PQB6" s="191"/>
      <c r="PQD6" s="191"/>
      <c r="PQE6" s="191"/>
      <c r="PQF6" s="191"/>
      <c r="PQH6" s="191"/>
      <c r="PQI6" s="191"/>
      <c r="PQJ6" s="191"/>
      <c r="PQL6" s="191"/>
      <c r="PQM6" s="191"/>
      <c r="PQN6" s="191"/>
      <c r="PQP6" s="191"/>
      <c r="PQQ6" s="191"/>
      <c r="PQR6" s="191"/>
      <c r="PQT6" s="191"/>
      <c r="PQU6" s="191"/>
      <c r="PQV6" s="191"/>
      <c r="PQX6" s="191"/>
      <c r="PQY6" s="191"/>
      <c r="PQZ6" s="191"/>
      <c r="PRB6" s="191"/>
      <c r="PRC6" s="191"/>
      <c r="PRD6" s="191"/>
      <c r="PRF6" s="191"/>
      <c r="PRG6" s="191"/>
      <c r="PRH6" s="191"/>
      <c r="PRJ6" s="191"/>
      <c r="PRK6" s="191"/>
      <c r="PRL6" s="191"/>
      <c r="PRN6" s="191"/>
      <c r="PRO6" s="191"/>
      <c r="PRP6" s="191"/>
      <c r="PRR6" s="191"/>
      <c r="PRS6" s="191"/>
      <c r="PRT6" s="191"/>
      <c r="PRV6" s="191"/>
      <c r="PRW6" s="191"/>
      <c r="PRX6" s="191"/>
      <c r="PRZ6" s="191"/>
      <c r="PSA6" s="191"/>
      <c r="PSB6" s="191"/>
      <c r="PSD6" s="191"/>
      <c r="PSE6" s="191"/>
      <c r="PSF6" s="191"/>
      <c r="PSH6" s="191"/>
      <c r="PSI6" s="191"/>
      <c r="PSJ6" s="191"/>
      <c r="PSL6" s="191"/>
      <c r="PSM6" s="191"/>
      <c r="PSN6" s="191"/>
      <c r="PSP6" s="191"/>
      <c r="PSQ6" s="191"/>
      <c r="PSR6" s="191"/>
      <c r="PST6" s="191"/>
      <c r="PSU6" s="191"/>
      <c r="PSV6" s="191"/>
      <c r="PSX6" s="191"/>
      <c r="PSY6" s="191"/>
      <c r="PSZ6" s="191"/>
      <c r="PTB6" s="191"/>
      <c r="PTC6" s="191"/>
      <c r="PTD6" s="191"/>
      <c r="PTF6" s="191"/>
      <c r="PTG6" s="191"/>
      <c r="PTH6" s="191"/>
      <c r="PTJ6" s="191"/>
      <c r="PTK6" s="191"/>
      <c r="PTL6" s="191"/>
      <c r="PTN6" s="191"/>
      <c r="PTO6" s="191"/>
      <c r="PTP6" s="191"/>
      <c r="PTR6" s="191"/>
      <c r="PTS6" s="191"/>
      <c r="PTT6" s="191"/>
      <c r="PTV6" s="191"/>
      <c r="PTW6" s="191"/>
      <c r="PTX6" s="191"/>
      <c r="PTZ6" s="191"/>
      <c r="PUA6" s="191"/>
      <c r="PUB6" s="191"/>
      <c r="PUD6" s="191"/>
      <c r="PUE6" s="191"/>
      <c r="PUF6" s="191"/>
      <c r="PUH6" s="191"/>
      <c r="PUI6" s="191"/>
      <c r="PUJ6" s="191"/>
      <c r="PUL6" s="191"/>
      <c r="PUM6" s="191"/>
      <c r="PUN6" s="191"/>
      <c r="PUP6" s="191"/>
      <c r="PUQ6" s="191"/>
      <c r="PUR6" s="191"/>
      <c r="PUT6" s="191"/>
      <c r="PUU6" s="191"/>
      <c r="PUV6" s="191"/>
      <c r="PUX6" s="191"/>
      <c r="PUY6" s="191"/>
      <c r="PUZ6" s="191"/>
      <c r="PVB6" s="191"/>
      <c r="PVC6" s="191"/>
      <c r="PVD6" s="191"/>
      <c r="PVF6" s="191"/>
      <c r="PVG6" s="191"/>
      <c r="PVH6" s="191"/>
      <c r="PVJ6" s="191"/>
      <c r="PVK6" s="191"/>
      <c r="PVL6" s="191"/>
      <c r="PVN6" s="191"/>
      <c r="PVO6" s="191"/>
      <c r="PVP6" s="191"/>
      <c r="PVR6" s="191"/>
      <c r="PVS6" s="191"/>
      <c r="PVT6" s="191"/>
      <c r="PVV6" s="191"/>
      <c r="PVW6" s="191"/>
      <c r="PVX6" s="191"/>
      <c r="PVZ6" s="191"/>
      <c r="PWA6" s="191"/>
      <c r="PWB6" s="191"/>
      <c r="PWD6" s="191"/>
      <c r="PWE6" s="191"/>
      <c r="PWF6" s="191"/>
      <c r="PWH6" s="191"/>
      <c r="PWI6" s="191"/>
      <c r="PWJ6" s="191"/>
      <c r="PWL6" s="191"/>
      <c r="PWM6" s="191"/>
      <c r="PWN6" s="191"/>
      <c r="PWP6" s="191"/>
      <c r="PWQ6" s="191"/>
      <c r="PWR6" s="191"/>
      <c r="PWT6" s="191"/>
      <c r="PWU6" s="191"/>
      <c r="PWV6" s="191"/>
      <c r="PWX6" s="191"/>
      <c r="PWY6" s="191"/>
      <c r="PWZ6" s="191"/>
      <c r="PXB6" s="191"/>
      <c r="PXC6" s="191"/>
      <c r="PXD6" s="191"/>
      <c r="PXF6" s="191"/>
      <c r="PXG6" s="191"/>
      <c r="PXH6" s="191"/>
      <c r="PXJ6" s="191"/>
      <c r="PXK6" s="191"/>
      <c r="PXL6" s="191"/>
      <c r="PXN6" s="191"/>
      <c r="PXO6" s="191"/>
      <c r="PXP6" s="191"/>
      <c r="PXR6" s="191"/>
      <c r="PXS6" s="191"/>
      <c r="PXT6" s="191"/>
      <c r="PXV6" s="191"/>
      <c r="PXW6" s="191"/>
      <c r="PXX6" s="191"/>
      <c r="PXZ6" s="191"/>
      <c r="PYA6" s="191"/>
      <c r="PYB6" s="191"/>
      <c r="PYD6" s="191"/>
      <c r="PYE6" s="191"/>
      <c r="PYF6" s="191"/>
      <c r="PYH6" s="191"/>
      <c r="PYI6" s="191"/>
      <c r="PYJ6" s="191"/>
      <c r="PYL6" s="191"/>
      <c r="PYM6" s="191"/>
      <c r="PYN6" s="191"/>
      <c r="PYP6" s="191"/>
      <c r="PYQ6" s="191"/>
      <c r="PYR6" s="191"/>
      <c r="PYT6" s="191"/>
      <c r="PYU6" s="191"/>
      <c r="PYV6" s="191"/>
      <c r="PYX6" s="191"/>
      <c r="PYY6" s="191"/>
      <c r="PYZ6" s="191"/>
      <c r="PZB6" s="191"/>
      <c r="PZC6" s="191"/>
      <c r="PZD6" s="191"/>
      <c r="PZF6" s="191"/>
      <c r="PZG6" s="191"/>
      <c r="PZH6" s="191"/>
      <c r="PZJ6" s="191"/>
      <c r="PZK6" s="191"/>
      <c r="PZL6" s="191"/>
      <c r="PZN6" s="191"/>
      <c r="PZO6" s="191"/>
      <c r="PZP6" s="191"/>
      <c r="PZR6" s="191"/>
      <c r="PZS6" s="191"/>
      <c r="PZT6" s="191"/>
      <c r="PZV6" s="191"/>
      <c r="PZW6" s="191"/>
      <c r="PZX6" s="191"/>
      <c r="PZZ6" s="191"/>
      <c r="QAA6" s="191"/>
      <c r="QAB6" s="191"/>
      <c r="QAD6" s="191"/>
      <c r="QAE6" s="191"/>
      <c r="QAF6" s="191"/>
      <c r="QAH6" s="191"/>
      <c r="QAI6" s="191"/>
      <c r="QAJ6" s="191"/>
      <c r="QAL6" s="191"/>
      <c r="QAM6" s="191"/>
      <c r="QAN6" s="191"/>
      <c r="QAP6" s="191"/>
      <c r="QAQ6" s="191"/>
      <c r="QAR6" s="191"/>
      <c r="QAT6" s="191"/>
      <c r="QAU6" s="191"/>
      <c r="QAV6" s="191"/>
      <c r="QAX6" s="191"/>
      <c r="QAY6" s="191"/>
      <c r="QAZ6" s="191"/>
      <c r="QBB6" s="191"/>
      <c r="QBC6" s="191"/>
      <c r="QBD6" s="191"/>
      <c r="QBF6" s="191"/>
      <c r="QBG6" s="191"/>
      <c r="QBH6" s="191"/>
      <c r="QBJ6" s="191"/>
      <c r="QBK6" s="191"/>
      <c r="QBL6" s="191"/>
      <c r="QBN6" s="191"/>
      <c r="QBO6" s="191"/>
      <c r="QBP6" s="191"/>
      <c r="QBR6" s="191"/>
      <c r="QBS6" s="191"/>
      <c r="QBT6" s="191"/>
      <c r="QBV6" s="191"/>
      <c r="QBW6" s="191"/>
      <c r="QBX6" s="191"/>
      <c r="QBZ6" s="191"/>
      <c r="QCA6" s="191"/>
      <c r="QCB6" s="191"/>
      <c r="QCD6" s="191"/>
      <c r="QCE6" s="191"/>
      <c r="QCF6" s="191"/>
      <c r="QCH6" s="191"/>
      <c r="QCI6" s="191"/>
      <c r="QCJ6" s="191"/>
      <c r="QCL6" s="191"/>
      <c r="QCM6" s="191"/>
      <c r="QCN6" s="191"/>
      <c r="QCP6" s="191"/>
      <c r="QCQ6" s="191"/>
      <c r="QCR6" s="191"/>
      <c r="QCT6" s="191"/>
      <c r="QCU6" s="191"/>
      <c r="QCV6" s="191"/>
      <c r="QCX6" s="191"/>
      <c r="QCY6" s="191"/>
      <c r="QCZ6" s="191"/>
      <c r="QDB6" s="191"/>
      <c r="QDC6" s="191"/>
      <c r="QDD6" s="191"/>
      <c r="QDF6" s="191"/>
      <c r="QDG6" s="191"/>
      <c r="QDH6" s="191"/>
      <c r="QDJ6" s="191"/>
      <c r="QDK6" s="191"/>
      <c r="QDL6" s="191"/>
      <c r="QDN6" s="191"/>
      <c r="QDO6" s="191"/>
      <c r="QDP6" s="191"/>
      <c r="QDR6" s="191"/>
      <c r="QDS6" s="191"/>
      <c r="QDT6" s="191"/>
      <c r="QDV6" s="191"/>
      <c r="QDW6" s="191"/>
      <c r="QDX6" s="191"/>
      <c r="QDZ6" s="191"/>
      <c r="QEA6" s="191"/>
      <c r="QEB6" s="191"/>
      <c r="QED6" s="191"/>
      <c r="QEE6" s="191"/>
      <c r="QEF6" s="191"/>
      <c r="QEH6" s="191"/>
      <c r="QEI6" s="191"/>
      <c r="QEJ6" s="191"/>
      <c r="QEL6" s="191"/>
      <c r="QEM6" s="191"/>
      <c r="QEN6" s="191"/>
      <c r="QEP6" s="191"/>
      <c r="QEQ6" s="191"/>
      <c r="QER6" s="191"/>
      <c r="QET6" s="191"/>
      <c r="QEU6" s="191"/>
      <c r="QEV6" s="191"/>
      <c r="QEX6" s="191"/>
      <c r="QEY6" s="191"/>
      <c r="QEZ6" s="191"/>
      <c r="QFB6" s="191"/>
      <c r="QFC6" s="191"/>
      <c r="QFD6" s="191"/>
      <c r="QFF6" s="191"/>
      <c r="QFG6" s="191"/>
      <c r="QFH6" s="191"/>
      <c r="QFJ6" s="191"/>
      <c r="QFK6" s="191"/>
      <c r="QFL6" s="191"/>
      <c r="QFN6" s="191"/>
      <c r="QFO6" s="191"/>
      <c r="QFP6" s="191"/>
      <c r="QFR6" s="191"/>
      <c r="QFS6" s="191"/>
      <c r="QFT6" s="191"/>
      <c r="QFV6" s="191"/>
      <c r="QFW6" s="191"/>
      <c r="QFX6" s="191"/>
      <c r="QFZ6" s="191"/>
      <c r="QGA6" s="191"/>
      <c r="QGB6" s="191"/>
      <c r="QGD6" s="191"/>
      <c r="QGE6" s="191"/>
      <c r="QGF6" s="191"/>
      <c r="QGH6" s="191"/>
      <c r="QGI6" s="191"/>
      <c r="QGJ6" s="191"/>
      <c r="QGL6" s="191"/>
      <c r="QGM6" s="191"/>
      <c r="QGN6" s="191"/>
      <c r="QGP6" s="191"/>
      <c r="QGQ6" s="191"/>
      <c r="QGR6" s="191"/>
      <c r="QGT6" s="191"/>
      <c r="QGU6" s="191"/>
      <c r="QGV6" s="191"/>
      <c r="QGX6" s="191"/>
      <c r="QGY6" s="191"/>
      <c r="QGZ6" s="191"/>
      <c r="QHB6" s="191"/>
      <c r="QHC6" s="191"/>
      <c r="QHD6" s="191"/>
      <c r="QHF6" s="191"/>
      <c r="QHG6" s="191"/>
      <c r="QHH6" s="191"/>
      <c r="QHJ6" s="191"/>
      <c r="QHK6" s="191"/>
      <c r="QHL6" s="191"/>
      <c r="QHN6" s="191"/>
      <c r="QHO6" s="191"/>
      <c r="QHP6" s="191"/>
      <c r="QHR6" s="191"/>
      <c r="QHS6" s="191"/>
      <c r="QHT6" s="191"/>
      <c r="QHV6" s="191"/>
      <c r="QHW6" s="191"/>
      <c r="QHX6" s="191"/>
      <c r="QHZ6" s="191"/>
      <c r="QIA6" s="191"/>
      <c r="QIB6" s="191"/>
      <c r="QID6" s="191"/>
      <c r="QIE6" s="191"/>
      <c r="QIF6" s="191"/>
      <c r="QIH6" s="191"/>
      <c r="QII6" s="191"/>
      <c r="QIJ6" s="191"/>
      <c r="QIL6" s="191"/>
      <c r="QIM6" s="191"/>
      <c r="QIN6" s="191"/>
      <c r="QIP6" s="191"/>
      <c r="QIQ6" s="191"/>
      <c r="QIR6" s="191"/>
      <c r="QIT6" s="191"/>
      <c r="QIU6" s="191"/>
      <c r="QIV6" s="191"/>
      <c r="QIX6" s="191"/>
      <c r="QIY6" s="191"/>
      <c r="QIZ6" s="191"/>
      <c r="QJB6" s="191"/>
      <c r="QJC6" s="191"/>
      <c r="QJD6" s="191"/>
      <c r="QJF6" s="191"/>
      <c r="QJG6" s="191"/>
      <c r="QJH6" s="191"/>
      <c r="QJJ6" s="191"/>
      <c r="QJK6" s="191"/>
      <c r="QJL6" s="191"/>
      <c r="QJN6" s="191"/>
      <c r="QJO6" s="191"/>
      <c r="QJP6" s="191"/>
      <c r="QJR6" s="191"/>
      <c r="QJS6" s="191"/>
      <c r="QJT6" s="191"/>
      <c r="QJV6" s="191"/>
      <c r="QJW6" s="191"/>
      <c r="QJX6" s="191"/>
      <c r="QJZ6" s="191"/>
      <c r="QKA6" s="191"/>
      <c r="QKB6" s="191"/>
      <c r="QKD6" s="191"/>
      <c r="QKE6" s="191"/>
      <c r="QKF6" s="191"/>
      <c r="QKH6" s="191"/>
      <c r="QKI6" s="191"/>
      <c r="QKJ6" s="191"/>
      <c r="QKL6" s="191"/>
      <c r="QKM6" s="191"/>
      <c r="QKN6" s="191"/>
      <c r="QKP6" s="191"/>
      <c r="QKQ6" s="191"/>
      <c r="QKR6" s="191"/>
      <c r="QKT6" s="191"/>
      <c r="QKU6" s="191"/>
      <c r="QKV6" s="191"/>
      <c r="QKX6" s="191"/>
      <c r="QKY6" s="191"/>
      <c r="QKZ6" s="191"/>
      <c r="QLB6" s="191"/>
      <c r="QLC6" s="191"/>
      <c r="QLD6" s="191"/>
      <c r="QLF6" s="191"/>
      <c r="QLG6" s="191"/>
      <c r="QLH6" s="191"/>
      <c r="QLJ6" s="191"/>
      <c r="QLK6" s="191"/>
      <c r="QLL6" s="191"/>
      <c r="QLN6" s="191"/>
      <c r="QLO6" s="191"/>
      <c r="QLP6" s="191"/>
      <c r="QLR6" s="191"/>
      <c r="QLS6" s="191"/>
      <c r="QLT6" s="191"/>
      <c r="QLV6" s="191"/>
      <c r="QLW6" s="191"/>
      <c r="QLX6" s="191"/>
      <c r="QLZ6" s="191"/>
      <c r="QMA6" s="191"/>
      <c r="QMB6" s="191"/>
      <c r="QMD6" s="191"/>
      <c r="QME6" s="191"/>
      <c r="QMF6" s="191"/>
      <c r="QMH6" s="191"/>
      <c r="QMI6" s="191"/>
      <c r="QMJ6" s="191"/>
      <c r="QML6" s="191"/>
      <c r="QMM6" s="191"/>
      <c r="QMN6" s="191"/>
      <c r="QMP6" s="191"/>
      <c r="QMQ6" s="191"/>
      <c r="QMR6" s="191"/>
      <c r="QMT6" s="191"/>
      <c r="QMU6" s="191"/>
      <c r="QMV6" s="191"/>
      <c r="QMX6" s="191"/>
      <c r="QMY6" s="191"/>
      <c r="QMZ6" s="191"/>
      <c r="QNB6" s="191"/>
      <c r="QNC6" s="191"/>
      <c r="QND6" s="191"/>
      <c r="QNF6" s="191"/>
      <c r="QNG6" s="191"/>
      <c r="QNH6" s="191"/>
      <c r="QNJ6" s="191"/>
      <c r="QNK6" s="191"/>
      <c r="QNL6" s="191"/>
      <c r="QNN6" s="191"/>
      <c r="QNO6" s="191"/>
      <c r="QNP6" s="191"/>
      <c r="QNR6" s="191"/>
      <c r="QNS6" s="191"/>
      <c r="QNT6" s="191"/>
      <c r="QNV6" s="191"/>
      <c r="QNW6" s="191"/>
      <c r="QNX6" s="191"/>
      <c r="QNZ6" s="191"/>
      <c r="QOA6" s="191"/>
      <c r="QOB6" s="191"/>
      <c r="QOD6" s="191"/>
      <c r="QOE6" s="191"/>
      <c r="QOF6" s="191"/>
      <c r="QOH6" s="191"/>
      <c r="QOI6" s="191"/>
      <c r="QOJ6" s="191"/>
      <c r="QOL6" s="191"/>
      <c r="QOM6" s="191"/>
      <c r="QON6" s="191"/>
      <c r="QOP6" s="191"/>
      <c r="QOQ6" s="191"/>
      <c r="QOR6" s="191"/>
      <c r="QOT6" s="191"/>
      <c r="QOU6" s="191"/>
      <c r="QOV6" s="191"/>
      <c r="QOX6" s="191"/>
      <c r="QOY6" s="191"/>
      <c r="QOZ6" s="191"/>
      <c r="QPB6" s="191"/>
      <c r="QPC6" s="191"/>
      <c r="QPD6" s="191"/>
      <c r="QPF6" s="191"/>
      <c r="QPG6" s="191"/>
      <c r="QPH6" s="191"/>
      <c r="QPJ6" s="191"/>
      <c r="QPK6" s="191"/>
      <c r="QPL6" s="191"/>
      <c r="QPN6" s="191"/>
      <c r="QPO6" s="191"/>
      <c r="QPP6" s="191"/>
      <c r="QPR6" s="191"/>
      <c r="QPS6" s="191"/>
      <c r="QPT6" s="191"/>
      <c r="QPV6" s="191"/>
      <c r="QPW6" s="191"/>
      <c r="QPX6" s="191"/>
      <c r="QPZ6" s="191"/>
      <c r="QQA6" s="191"/>
      <c r="QQB6" s="191"/>
      <c r="QQD6" s="191"/>
      <c r="QQE6" s="191"/>
      <c r="QQF6" s="191"/>
      <c r="QQH6" s="191"/>
      <c r="QQI6" s="191"/>
      <c r="QQJ6" s="191"/>
      <c r="QQL6" s="191"/>
      <c r="QQM6" s="191"/>
      <c r="QQN6" s="191"/>
      <c r="QQP6" s="191"/>
      <c r="QQQ6" s="191"/>
      <c r="QQR6" s="191"/>
      <c r="QQT6" s="191"/>
      <c r="QQU6" s="191"/>
      <c r="QQV6" s="191"/>
      <c r="QQX6" s="191"/>
      <c r="QQY6" s="191"/>
      <c r="QQZ6" s="191"/>
      <c r="QRB6" s="191"/>
      <c r="QRC6" s="191"/>
      <c r="QRD6" s="191"/>
      <c r="QRF6" s="191"/>
      <c r="QRG6" s="191"/>
      <c r="QRH6" s="191"/>
      <c r="QRJ6" s="191"/>
      <c r="QRK6" s="191"/>
      <c r="QRL6" s="191"/>
      <c r="QRN6" s="191"/>
      <c r="QRO6" s="191"/>
      <c r="QRP6" s="191"/>
      <c r="QRR6" s="191"/>
      <c r="QRS6" s="191"/>
      <c r="QRT6" s="191"/>
      <c r="QRV6" s="191"/>
      <c r="QRW6" s="191"/>
      <c r="QRX6" s="191"/>
      <c r="QRZ6" s="191"/>
      <c r="QSA6" s="191"/>
      <c r="QSB6" s="191"/>
      <c r="QSD6" s="191"/>
      <c r="QSE6" s="191"/>
      <c r="QSF6" s="191"/>
      <c r="QSH6" s="191"/>
      <c r="QSI6" s="191"/>
      <c r="QSJ6" s="191"/>
      <c r="QSL6" s="191"/>
      <c r="QSM6" s="191"/>
      <c r="QSN6" s="191"/>
      <c r="QSP6" s="191"/>
      <c r="QSQ6" s="191"/>
      <c r="QSR6" s="191"/>
      <c r="QST6" s="191"/>
      <c r="QSU6" s="191"/>
      <c r="QSV6" s="191"/>
      <c r="QSX6" s="191"/>
      <c r="QSY6" s="191"/>
      <c r="QSZ6" s="191"/>
      <c r="QTB6" s="191"/>
      <c r="QTC6" s="191"/>
      <c r="QTD6" s="191"/>
      <c r="QTF6" s="191"/>
      <c r="QTG6" s="191"/>
      <c r="QTH6" s="191"/>
      <c r="QTJ6" s="191"/>
      <c r="QTK6" s="191"/>
      <c r="QTL6" s="191"/>
      <c r="QTN6" s="191"/>
      <c r="QTO6" s="191"/>
      <c r="QTP6" s="191"/>
      <c r="QTR6" s="191"/>
      <c r="QTS6" s="191"/>
      <c r="QTT6" s="191"/>
      <c r="QTV6" s="191"/>
      <c r="QTW6" s="191"/>
      <c r="QTX6" s="191"/>
      <c r="QTZ6" s="191"/>
      <c r="QUA6" s="191"/>
      <c r="QUB6" s="191"/>
      <c r="QUD6" s="191"/>
      <c r="QUE6" s="191"/>
      <c r="QUF6" s="191"/>
      <c r="QUH6" s="191"/>
      <c r="QUI6" s="191"/>
      <c r="QUJ6" s="191"/>
      <c r="QUL6" s="191"/>
      <c r="QUM6" s="191"/>
      <c r="QUN6" s="191"/>
      <c r="QUP6" s="191"/>
      <c r="QUQ6" s="191"/>
      <c r="QUR6" s="191"/>
      <c r="QUT6" s="191"/>
      <c r="QUU6" s="191"/>
      <c r="QUV6" s="191"/>
      <c r="QUX6" s="191"/>
      <c r="QUY6" s="191"/>
      <c r="QUZ6" s="191"/>
      <c r="QVB6" s="191"/>
      <c r="QVC6" s="191"/>
      <c r="QVD6" s="191"/>
      <c r="QVF6" s="191"/>
      <c r="QVG6" s="191"/>
      <c r="QVH6" s="191"/>
      <c r="QVJ6" s="191"/>
      <c r="QVK6" s="191"/>
      <c r="QVL6" s="191"/>
      <c r="QVN6" s="191"/>
      <c r="QVO6" s="191"/>
      <c r="QVP6" s="191"/>
      <c r="QVR6" s="191"/>
      <c r="QVS6" s="191"/>
      <c r="QVT6" s="191"/>
      <c r="QVV6" s="191"/>
      <c r="QVW6" s="191"/>
      <c r="QVX6" s="191"/>
      <c r="QVZ6" s="191"/>
      <c r="QWA6" s="191"/>
      <c r="QWB6" s="191"/>
      <c r="QWD6" s="191"/>
      <c r="QWE6" s="191"/>
      <c r="QWF6" s="191"/>
      <c r="QWH6" s="191"/>
      <c r="QWI6" s="191"/>
      <c r="QWJ6" s="191"/>
      <c r="QWL6" s="191"/>
      <c r="QWM6" s="191"/>
      <c r="QWN6" s="191"/>
      <c r="QWP6" s="191"/>
      <c r="QWQ6" s="191"/>
      <c r="QWR6" s="191"/>
      <c r="QWT6" s="191"/>
      <c r="QWU6" s="191"/>
      <c r="QWV6" s="191"/>
      <c r="QWX6" s="191"/>
      <c r="QWY6" s="191"/>
      <c r="QWZ6" s="191"/>
      <c r="QXB6" s="191"/>
      <c r="QXC6" s="191"/>
      <c r="QXD6" s="191"/>
      <c r="QXF6" s="191"/>
      <c r="QXG6" s="191"/>
      <c r="QXH6" s="191"/>
      <c r="QXJ6" s="191"/>
      <c r="QXK6" s="191"/>
      <c r="QXL6" s="191"/>
      <c r="QXN6" s="191"/>
      <c r="QXO6" s="191"/>
      <c r="QXP6" s="191"/>
      <c r="QXR6" s="191"/>
      <c r="QXS6" s="191"/>
      <c r="QXT6" s="191"/>
      <c r="QXV6" s="191"/>
      <c r="QXW6" s="191"/>
      <c r="QXX6" s="191"/>
      <c r="QXZ6" s="191"/>
      <c r="QYA6" s="191"/>
      <c r="QYB6" s="191"/>
      <c r="QYD6" s="191"/>
      <c r="QYE6" s="191"/>
      <c r="QYF6" s="191"/>
      <c r="QYH6" s="191"/>
      <c r="QYI6" s="191"/>
      <c r="QYJ6" s="191"/>
      <c r="QYL6" s="191"/>
      <c r="QYM6" s="191"/>
      <c r="QYN6" s="191"/>
      <c r="QYP6" s="191"/>
      <c r="QYQ6" s="191"/>
      <c r="QYR6" s="191"/>
      <c r="QYT6" s="191"/>
      <c r="QYU6" s="191"/>
      <c r="QYV6" s="191"/>
      <c r="QYX6" s="191"/>
      <c r="QYY6" s="191"/>
      <c r="QYZ6" s="191"/>
      <c r="QZB6" s="191"/>
      <c r="QZC6" s="191"/>
      <c r="QZD6" s="191"/>
      <c r="QZF6" s="191"/>
      <c r="QZG6" s="191"/>
      <c r="QZH6" s="191"/>
      <c r="QZJ6" s="191"/>
      <c r="QZK6" s="191"/>
      <c r="QZL6" s="191"/>
      <c r="QZN6" s="191"/>
      <c r="QZO6" s="191"/>
      <c r="QZP6" s="191"/>
      <c r="QZR6" s="191"/>
      <c r="QZS6" s="191"/>
      <c r="QZT6" s="191"/>
      <c r="QZV6" s="191"/>
      <c r="QZW6" s="191"/>
      <c r="QZX6" s="191"/>
      <c r="QZZ6" s="191"/>
      <c r="RAA6" s="191"/>
      <c r="RAB6" s="191"/>
      <c r="RAD6" s="191"/>
      <c r="RAE6" s="191"/>
      <c r="RAF6" s="191"/>
      <c r="RAH6" s="191"/>
      <c r="RAI6" s="191"/>
      <c r="RAJ6" s="191"/>
      <c r="RAL6" s="191"/>
      <c r="RAM6" s="191"/>
      <c r="RAN6" s="191"/>
      <c r="RAP6" s="191"/>
      <c r="RAQ6" s="191"/>
      <c r="RAR6" s="191"/>
      <c r="RAT6" s="191"/>
      <c r="RAU6" s="191"/>
      <c r="RAV6" s="191"/>
      <c r="RAX6" s="191"/>
      <c r="RAY6" s="191"/>
      <c r="RAZ6" s="191"/>
      <c r="RBB6" s="191"/>
      <c r="RBC6" s="191"/>
      <c r="RBD6" s="191"/>
      <c r="RBF6" s="191"/>
      <c r="RBG6" s="191"/>
      <c r="RBH6" s="191"/>
      <c r="RBJ6" s="191"/>
      <c r="RBK6" s="191"/>
      <c r="RBL6" s="191"/>
      <c r="RBN6" s="191"/>
      <c r="RBO6" s="191"/>
      <c r="RBP6" s="191"/>
      <c r="RBR6" s="191"/>
      <c r="RBS6" s="191"/>
      <c r="RBT6" s="191"/>
      <c r="RBV6" s="191"/>
      <c r="RBW6" s="191"/>
      <c r="RBX6" s="191"/>
      <c r="RBZ6" s="191"/>
      <c r="RCA6" s="191"/>
      <c r="RCB6" s="191"/>
      <c r="RCD6" s="191"/>
      <c r="RCE6" s="191"/>
      <c r="RCF6" s="191"/>
      <c r="RCH6" s="191"/>
      <c r="RCI6" s="191"/>
      <c r="RCJ6" s="191"/>
      <c r="RCL6" s="191"/>
      <c r="RCM6" s="191"/>
      <c r="RCN6" s="191"/>
      <c r="RCP6" s="191"/>
      <c r="RCQ6" s="191"/>
      <c r="RCR6" s="191"/>
      <c r="RCT6" s="191"/>
      <c r="RCU6" s="191"/>
      <c r="RCV6" s="191"/>
      <c r="RCX6" s="191"/>
      <c r="RCY6" s="191"/>
      <c r="RCZ6" s="191"/>
      <c r="RDB6" s="191"/>
      <c r="RDC6" s="191"/>
      <c r="RDD6" s="191"/>
      <c r="RDF6" s="191"/>
      <c r="RDG6" s="191"/>
      <c r="RDH6" s="191"/>
      <c r="RDJ6" s="191"/>
      <c r="RDK6" s="191"/>
      <c r="RDL6" s="191"/>
      <c r="RDN6" s="191"/>
      <c r="RDO6" s="191"/>
      <c r="RDP6" s="191"/>
      <c r="RDR6" s="191"/>
      <c r="RDS6" s="191"/>
      <c r="RDT6" s="191"/>
      <c r="RDV6" s="191"/>
      <c r="RDW6" s="191"/>
      <c r="RDX6" s="191"/>
      <c r="RDZ6" s="191"/>
      <c r="REA6" s="191"/>
      <c r="REB6" s="191"/>
      <c r="RED6" s="191"/>
      <c r="REE6" s="191"/>
      <c r="REF6" s="191"/>
      <c r="REH6" s="191"/>
      <c r="REI6" s="191"/>
      <c r="REJ6" s="191"/>
      <c r="REL6" s="191"/>
      <c r="REM6" s="191"/>
      <c r="REN6" s="191"/>
      <c r="REP6" s="191"/>
      <c r="REQ6" s="191"/>
      <c r="RER6" s="191"/>
      <c r="RET6" s="191"/>
      <c r="REU6" s="191"/>
      <c r="REV6" s="191"/>
      <c r="REX6" s="191"/>
      <c r="REY6" s="191"/>
      <c r="REZ6" s="191"/>
      <c r="RFB6" s="191"/>
      <c r="RFC6" s="191"/>
      <c r="RFD6" s="191"/>
      <c r="RFF6" s="191"/>
      <c r="RFG6" s="191"/>
      <c r="RFH6" s="191"/>
      <c r="RFJ6" s="191"/>
      <c r="RFK6" s="191"/>
      <c r="RFL6" s="191"/>
      <c r="RFN6" s="191"/>
      <c r="RFO6" s="191"/>
      <c r="RFP6" s="191"/>
      <c r="RFR6" s="191"/>
      <c r="RFS6" s="191"/>
      <c r="RFT6" s="191"/>
      <c r="RFV6" s="191"/>
      <c r="RFW6" s="191"/>
      <c r="RFX6" s="191"/>
      <c r="RFZ6" s="191"/>
      <c r="RGA6" s="191"/>
      <c r="RGB6" s="191"/>
      <c r="RGD6" s="191"/>
      <c r="RGE6" s="191"/>
      <c r="RGF6" s="191"/>
      <c r="RGH6" s="191"/>
      <c r="RGI6" s="191"/>
      <c r="RGJ6" s="191"/>
      <c r="RGL6" s="191"/>
      <c r="RGM6" s="191"/>
      <c r="RGN6" s="191"/>
      <c r="RGP6" s="191"/>
      <c r="RGQ6" s="191"/>
      <c r="RGR6" s="191"/>
      <c r="RGT6" s="191"/>
      <c r="RGU6" s="191"/>
      <c r="RGV6" s="191"/>
      <c r="RGX6" s="191"/>
      <c r="RGY6" s="191"/>
      <c r="RGZ6" s="191"/>
      <c r="RHB6" s="191"/>
      <c r="RHC6" s="191"/>
      <c r="RHD6" s="191"/>
      <c r="RHF6" s="191"/>
      <c r="RHG6" s="191"/>
      <c r="RHH6" s="191"/>
      <c r="RHJ6" s="191"/>
      <c r="RHK6" s="191"/>
      <c r="RHL6" s="191"/>
      <c r="RHN6" s="191"/>
      <c r="RHO6" s="191"/>
      <c r="RHP6" s="191"/>
      <c r="RHR6" s="191"/>
      <c r="RHS6" s="191"/>
      <c r="RHT6" s="191"/>
      <c r="RHV6" s="191"/>
      <c r="RHW6" s="191"/>
      <c r="RHX6" s="191"/>
      <c r="RHZ6" s="191"/>
      <c r="RIA6" s="191"/>
      <c r="RIB6" s="191"/>
      <c r="RID6" s="191"/>
      <c r="RIE6" s="191"/>
      <c r="RIF6" s="191"/>
      <c r="RIH6" s="191"/>
      <c r="RII6" s="191"/>
      <c r="RIJ6" s="191"/>
      <c r="RIL6" s="191"/>
      <c r="RIM6" s="191"/>
      <c r="RIN6" s="191"/>
      <c r="RIP6" s="191"/>
      <c r="RIQ6" s="191"/>
      <c r="RIR6" s="191"/>
      <c r="RIT6" s="191"/>
      <c r="RIU6" s="191"/>
      <c r="RIV6" s="191"/>
      <c r="RIX6" s="191"/>
      <c r="RIY6" s="191"/>
      <c r="RIZ6" s="191"/>
      <c r="RJB6" s="191"/>
      <c r="RJC6" s="191"/>
      <c r="RJD6" s="191"/>
      <c r="RJF6" s="191"/>
      <c r="RJG6" s="191"/>
      <c r="RJH6" s="191"/>
      <c r="RJJ6" s="191"/>
      <c r="RJK6" s="191"/>
      <c r="RJL6" s="191"/>
      <c r="RJN6" s="191"/>
      <c r="RJO6" s="191"/>
      <c r="RJP6" s="191"/>
      <c r="RJR6" s="191"/>
      <c r="RJS6" s="191"/>
      <c r="RJT6" s="191"/>
      <c r="RJV6" s="191"/>
      <c r="RJW6" s="191"/>
      <c r="RJX6" s="191"/>
      <c r="RJZ6" s="191"/>
      <c r="RKA6" s="191"/>
      <c r="RKB6" s="191"/>
      <c r="RKD6" s="191"/>
      <c r="RKE6" s="191"/>
      <c r="RKF6" s="191"/>
      <c r="RKH6" s="191"/>
      <c r="RKI6" s="191"/>
      <c r="RKJ6" s="191"/>
      <c r="RKL6" s="191"/>
      <c r="RKM6" s="191"/>
      <c r="RKN6" s="191"/>
      <c r="RKP6" s="191"/>
      <c r="RKQ6" s="191"/>
      <c r="RKR6" s="191"/>
      <c r="RKT6" s="191"/>
      <c r="RKU6" s="191"/>
      <c r="RKV6" s="191"/>
      <c r="RKX6" s="191"/>
      <c r="RKY6" s="191"/>
      <c r="RKZ6" s="191"/>
      <c r="RLB6" s="191"/>
      <c r="RLC6" s="191"/>
      <c r="RLD6" s="191"/>
      <c r="RLF6" s="191"/>
      <c r="RLG6" s="191"/>
      <c r="RLH6" s="191"/>
      <c r="RLJ6" s="191"/>
      <c r="RLK6" s="191"/>
      <c r="RLL6" s="191"/>
      <c r="RLN6" s="191"/>
      <c r="RLO6" s="191"/>
      <c r="RLP6" s="191"/>
      <c r="RLR6" s="191"/>
      <c r="RLS6" s="191"/>
      <c r="RLT6" s="191"/>
      <c r="RLV6" s="191"/>
      <c r="RLW6" s="191"/>
      <c r="RLX6" s="191"/>
      <c r="RLZ6" s="191"/>
      <c r="RMA6" s="191"/>
      <c r="RMB6" s="191"/>
      <c r="RMD6" s="191"/>
      <c r="RME6" s="191"/>
      <c r="RMF6" s="191"/>
      <c r="RMH6" s="191"/>
      <c r="RMI6" s="191"/>
      <c r="RMJ6" s="191"/>
      <c r="RML6" s="191"/>
      <c r="RMM6" s="191"/>
      <c r="RMN6" s="191"/>
      <c r="RMP6" s="191"/>
      <c r="RMQ6" s="191"/>
      <c r="RMR6" s="191"/>
      <c r="RMT6" s="191"/>
      <c r="RMU6" s="191"/>
      <c r="RMV6" s="191"/>
      <c r="RMX6" s="191"/>
      <c r="RMY6" s="191"/>
      <c r="RMZ6" s="191"/>
      <c r="RNB6" s="191"/>
      <c r="RNC6" s="191"/>
      <c r="RND6" s="191"/>
      <c r="RNF6" s="191"/>
      <c r="RNG6" s="191"/>
      <c r="RNH6" s="191"/>
      <c r="RNJ6" s="191"/>
      <c r="RNK6" s="191"/>
      <c r="RNL6" s="191"/>
      <c r="RNN6" s="191"/>
      <c r="RNO6" s="191"/>
      <c r="RNP6" s="191"/>
      <c r="RNR6" s="191"/>
      <c r="RNS6" s="191"/>
      <c r="RNT6" s="191"/>
      <c r="RNV6" s="191"/>
      <c r="RNW6" s="191"/>
      <c r="RNX6" s="191"/>
      <c r="RNZ6" s="191"/>
      <c r="ROA6" s="191"/>
      <c r="ROB6" s="191"/>
      <c r="ROD6" s="191"/>
      <c r="ROE6" s="191"/>
      <c r="ROF6" s="191"/>
      <c r="ROH6" s="191"/>
      <c r="ROI6" s="191"/>
      <c r="ROJ6" s="191"/>
      <c r="ROL6" s="191"/>
      <c r="ROM6" s="191"/>
      <c r="RON6" s="191"/>
      <c r="ROP6" s="191"/>
      <c r="ROQ6" s="191"/>
      <c r="ROR6" s="191"/>
      <c r="ROT6" s="191"/>
      <c r="ROU6" s="191"/>
      <c r="ROV6" s="191"/>
      <c r="ROX6" s="191"/>
      <c r="ROY6" s="191"/>
      <c r="ROZ6" s="191"/>
      <c r="RPB6" s="191"/>
      <c r="RPC6" s="191"/>
      <c r="RPD6" s="191"/>
      <c r="RPF6" s="191"/>
      <c r="RPG6" s="191"/>
      <c r="RPH6" s="191"/>
      <c r="RPJ6" s="191"/>
      <c r="RPK6" s="191"/>
      <c r="RPL6" s="191"/>
      <c r="RPN6" s="191"/>
      <c r="RPO6" s="191"/>
      <c r="RPP6" s="191"/>
      <c r="RPR6" s="191"/>
      <c r="RPS6" s="191"/>
      <c r="RPT6" s="191"/>
      <c r="RPV6" s="191"/>
      <c r="RPW6" s="191"/>
      <c r="RPX6" s="191"/>
      <c r="RPZ6" s="191"/>
      <c r="RQA6" s="191"/>
      <c r="RQB6" s="191"/>
      <c r="RQD6" s="191"/>
      <c r="RQE6" s="191"/>
      <c r="RQF6" s="191"/>
      <c r="RQH6" s="191"/>
      <c r="RQI6" s="191"/>
      <c r="RQJ6" s="191"/>
      <c r="RQL6" s="191"/>
      <c r="RQM6" s="191"/>
      <c r="RQN6" s="191"/>
      <c r="RQP6" s="191"/>
      <c r="RQQ6" s="191"/>
      <c r="RQR6" s="191"/>
      <c r="RQT6" s="191"/>
      <c r="RQU6" s="191"/>
      <c r="RQV6" s="191"/>
      <c r="RQX6" s="191"/>
      <c r="RQY6" s="191"/>
      <c r="RQZ6" s="191"/>
      <c r="RRB6" s="191"/>
      <c r="RRC6" s="191"/>
      <c r="RRD6" s="191"/>
      <c r="RRF6" s="191"/>
      <c r="RRG6" s="191"/>
      <c r="RRH6" s="191"/>
      <c r="RRJ6" s="191"/>
      <c r="RRK6" s="191"/>
      <c r="RRL6" s="191"/>
      <c r="RRN6" s="191"/>
      <c r="RRO6" s="191"/>
      <c r="RRP6" s="191"/>
      <c r="RRR6" s="191"/>
      <c r="RRS6" s="191"/>
      <c r="RRT6" s="191"/>
      <c r="RRV6" s="191"/>
      <c r="RRW6" s="191"/>
      <c r="RRX6" s="191"/>
      <c r="RRZ6" s="191"/>
      <c r="RSA6" s="191"/>
      <c r="RSB6" s="191"/>
      <c r="RSD6" s="191"/>
      <c r="RSE6" s="191"/>
      <c r="RSF6" s="191"/>
      <c r="RSH6" s="191"/>
      <c r="RSI6" s="191"/>
      <c r="RSJ6" s="191"/>
      <c r="RSL6" s="191"/>
      <c r="RSM6" s="191"/>
      <c r="RSN6" s="191"/>
      <c r="RSP6" s="191"/>
      <c r="RSQ6" s="191"/>
      <c r="RSR6" s="191"/>
      <c r="RST6" s="191"/>
      <c r="RSU6" s="191"/>
      <c r="RSV6" s="191"/>
      <c r="RSX6" s="191"/>
      <c r="RSY6" s="191"/>
      <c r="RSZ6" s="191"/>
      <c r="RTB6" s="191"/>
      <c r="RTC6" s="191"/>
      <c r="RTD6" s="191"/>
      <c r="RTF6" s="191"/>
      <c r="RTG6" s="191"/>
      <c r="RTH6" s="191"/>
      <c r="RTJ6" s="191"/>
      <c r="RTK6" s="191"/>
      <c r="RTL6" s="191"/>
      <c r="RTN6" s="191"/>
      <c r="RTO6" s="191"/>
      <c r="RTP6" s="191"/>
      <c r="RTR6" s="191"/>
      <c r="RTS6" s="191"/>
      <c r="RTT6" s="191"/>
      <c r="RTV6" s="191"/>
      <c r="RTW6" s="191"/>
      <c r="RTX6" s="191"/>
      <c r="RTZ6" s="191"/>
      <c r="RUA6" s="191"/>
      <c r="RUB6" s="191"/>
      <c r="RUD6" s="191"/>
      <c r="RUE6" s="191"/>
      <c r="RUF6" s="191"/>
      <c r="RUH6" s="191"/>
      <c r="RUI6" s="191"/>
      <c r="RUJ6" s="191"/>
      <c r="RUL6" s="191"/>
      <c r="RUM6" s="191"/>
      <c r="RUN6" s="191"/>
      <c r="RUP6" s="191"/>
      <c r="RUQ6" s="191"/>
      <c r="RUR6" s="191"/>
      <c r="RUT6" s="191"/>
      <c r="RUU6" s="191"/>
      <c r="RUV6" s="191"/>
      <c r="RUX6" s="191"/>
      <c r="RUY6" s="191"/>
      <c r="RUZ6" s="191"/>
      <c r="RVB6" s="191"/>
      <c r="RVC6" s="191"/>
      <c r="RVD6" s="191"/>
      <c r="RVF6" s="191"/>
      <c r="RVG6" s="191"/>
      <c r="RVH6" s="191"/>
      <c r="RVJ6" s="191"/>
      <c r="RVK6" s="191"/>
      <c r="RVL6" s="191"/>
      <c r="RVN6" s="191"/>
      <c r="RVO6" s="191"/>
      <c r="RVP6" s="191"/>
      <c r="RVR6" s="191"/>
      <c r="RVS6" s="191"/>
      <c r="RVT6" s="191"/>
      <c r="RVV6" s="191"/>
      <c r="RVW6" s="191"/>
      <c r="RVX6" s="191"/>
      <c r="RVZ6" s="191"/>
      <c r="RWA6" s="191"/>
      <c r="RWB6" s="191"/>
      <c r="RWD6" s="191"/>
      <c r="RWE6" s="191"/>
      <c r="RWF6" s="191"/>
      <c r="RWH6" s="191"/>
      <c r="RWI6" s="191"/>
      <c r="RWJ6" s="191"/>
      <c r="RWL6" s="191"/>
      <c r="RWM6" s="191"/>
      <c r="RWN6" s="191"/>
      <c r="RWP6" s="191"/>
      <c r="RWQ6" s="191"/>
      <c r="RWR6" s="191"/>
      <c r="RWT6" s="191"/>
      <c r="RWU6" s="191"/>
      <c r="RWV6" s="191"/>
      <c r="RWX6" s="191"/>
      <c r="RWY6" s="191"/>
      <c r="RWZ6" s="191"/>
      <c r="RXB6" s="191"/>
      <c r="RXC6" s="191"/>
      <c r="RXD6" s="191"/>
      <c r="RXF6" s="191"/>
      <c r="RXG6" s="191"/>
      <c r="RXH6" s="191"/>
      <c r="RXJ6" s="191"/>
      <c r="RXK6" s="191"/>
      <c r="RXL6" s="191"/>
      <c r="RXN6" s="191"/>
      <c r="RXO6" s="191"/>
      <c r="RXP6" s="191"/>
      <c r="RXR6" s="191"/>
      <c r="RXS6" s="191"/>
      <c r="RXT6" s="191"/>
      <c r="RXV6" s="191"/>
      <c r="RXW6" s="191"/>
      <c r="RXX6" s="191"/>
      <c r="RXZ6" s="191"/>
      <c r="RYA6" s="191"/>
      <c r="RYB6" s="191"/>
      <c r="RYD6" s="191"/>
      <c r="RYE6" s="191"/>
      <c r="RYF6" s="191"/>
      <c r="RYH6" s="191"/>
      <c r="RYI6" s="191"/>
      <c r="RYJ6" s="191"/>
      <c r="RYL6" s="191"/>
      <c r="RYM6" s="191"/>
      <c r="RYN6" s="191"/>
      <c r="RYP6" s="191"/>
      <c r="RYQ6" s="191"/>
      <c r="RYR6" s="191"/>
      <c r="RYT6" s="191"/>
      <c r="RYU6" s="191"/>
      <c r="RYV6" s="191"/>
      <c r="RYX6" s="191"/>
      <c r="RYY6" s="191"/>
      <c r="RYZ6" s="191"/>
      <c r="RZB6" s="191"/>
      <c r="RZC6" s="191"/>
      <c r="RZD6" s="191"/>
      <c r="RZF6" s="191"/>
      <c r="RZG6" s="191"/>
      <c r="RZH6" s="191"/>
      <c r="RZJ6" s="191"/>
      <c r="RZK6" s="191"/>
      <c r="RZL6" s="191"/>
      <c r="RZN6" s="191"/>
      <c r="RZO6" s="191"/>
      <c r="RZP6" s="191"/>
      <c r="RZR6" s="191"/>
      <c r="RZS6" s="191"/>
      <c r="RZT6" s="191"/>
      <c r="RZV6" s="191"/>
      <c r="RZW6" s="191"/>
      <c r="RZX6" s="191"/>
      <c r="RZZ6" s="191"/>
      <c r="SAA6" s="191"/>
      <c r="SAB6" s="191"/>
      <c r="SAD6" s="191"/>
      <c r="SAE6" s="191"/>
      <c r="SAF6" s="191"/>
      <c r="SAH6" s="191"/>
      <c r="SAI6" s="191"/>
      <c r="SAJ6" s="191"/>
      <c r="SAL6" s="191"/>
      <c r="SAM6" s="191"/>
      <c r="SAN6" s="191"/>
      <c r="SAP6" s="191"/>
      <c r="SAQ6" s="191"/>
      <c r="SAR6" s="191"/>
      <c r="SAT6" s="191"/>
      <c r="SAU6" s="191"/>
      <c r="SAV6" s="191"/>
      <c r="SAX6" s="191"/>
      <c r="SAY6" s="191"/>
      <c r="SAZ6" s="191"/>
      <c r="SBB6" s="191"/>
      <c r="SBC6" s="191"/>
      <c r="SBD6" s="191"/>
      <c r="SBF6" s="191"/>
      <c r="SBG6" s="191"/>
      <c r="SBH6" s="191"/>
      <c r="SBJ6" s="191"/>
      <c r="SBK6" s="191"/>
      <c r="SBL6" s="191"/>
      <c r="SBN6" s="191"/>
      <c r="SBO6" s="191"/>
      <c r="SBP6" s="191"/>
      <c r="SBR6" s="191"/>
      <c r="SBS6" s="191"/>
      <c r="SBT6" s="191"/>
      <c r="SBV6" s="191"/>
      <c r="SBW6" s="191"/>
      <c r="SBX6" s="191"/>
      <c r="SBZ6" s="191"/>
      <c r="SCA6" s="191"/>
      <c r="SCB6" s="191"/>
      <c r="SCD6" s="191"/>
      <c r="SCE6" s="191"/>
      <c r="SCF6" s="191"/>
      <c r="SCH6" s="191"/>
      <c r="SCI6" s="191"/>
      <c r="SCJ6" s="191"/>
      <c r="SCL6" s="191"/>
      <c r="SCM6" s="191"/>
      <c r="SCN6" s="191"/>
      <c r="SCP6" s="191"/>
      <c r="SCQ6" s="191"/>
      <c r="SCR6" s="191"/>
      <c r="SCT6" s="191"/>
      <c r="SCU6" s="191"/>
      <c r="SCV6" s="191"/>
      <c r="SCX6" s="191"/>
      <c r="SCY6" s="191"/>
      <c r="SCZ6" s="191"/>
      <c r="SDB6" s="191"/>
      <c r="SDC6" s="191"/>
      <c r="SDD6" s="191"/>
      <c r="SDF6" s="191"/>
      <c r="SDG6" s="191"/>
      <c r="SDH6" s="191"/>
      <c r="SDJ6" s="191"/>
      <c r="SDK6" s="191"/>
      <c r="SDL6" s="191"/>
      <c r="SDN6" s="191"/>
      <c r="SDO6" s="191"/>
      <c r="SDP6" s="191"/>
      <c r="SDR6" s="191"/>
      <c r="SDS6" s="191"/>
      <c r="SDT6" s="191"/>
      <c r="SDV6" s="191"/>
      <c r="SDW6" s="191"/>
      <c r="SDX6" s="191"/>
      <c r="SDZ6" s="191"/>
      <c r="SEA6" s="191"/>
      <c r="SEB6" s="191"/>
      <c r="SED6" s="191"/>
      <c r="SEE6" s="191"/>
      <c r="SEF6" s="191"/>
      <c r="SEH6" s="191"/>
      <c r="SEI6" s="191"/>
      <c r="SEJ6" s="191"/>
      <c r="SEL6" s="191"/>
      <c r="SEM6" s="191"/>
      <c r="SEN6" s="191"/>
      <c r="SEP6" s="191"/>
      <c r="SEQ6" s="191"/>
      <c r="SER6" s="191"/>
      <c r="SET6" s="191"/>
      <c r="SEU6" s="191"/>
      <c r="SEV6" s="191"/>
      <c r="SEX6" s="191"/>
      <c r="SEY6" s="191"/>
      <c r="SEZ6" s="191"/>
      <c r="SFB6" s="191"/>
      <c r="SFC6" s="191"/>
      <c r="SFD6" s="191"/>
      <c r="SFF6" s="191"/>
      <c r="SFG6" s="191"/>
      <c r="SFH6" s="191"/>
      <c r="SFJ6" s="191"/>
      <c r="SFK6" s="191"/>
      <c r="SFL6" s="191"/>
      <c r="SFN6" s="191"/>
      <c r="SFO6" s="191"/>
      <c r="SFP6" s="191"/>
      <c r="SFR6" s="191"/>
      <c r="SFS6" s="191"/>
      <c r="SFT6" s="191"/>
      <c r="SFV6" s="191"/>
      <c r="SFW6" s="191"/>
      <c r="SFX6" s="191"/>
      <c r="SFZ6" s="191"/>
      <c r="SGA6" s="191"/>
      <c r="SGB6" s="191"/>
      <c r="SGD6" s="191"/>
      <c r="SGE6" s="191"/>
      <c r="SGF6" s="191"/>
      <c r="SGH6" s="191"/>
      <c r="SGI6" s="191"/>
      <c r="SGJ6" s="191"/>
      <c r="SGL6" s="191"/>
      <c r="SGM6" s="191"/>
      <c r="SGN6" s="191"/>
      <c r="SGP6" s="191"/>
      <c r="SGQ6" s="191"/>
      <c r="SGR6" s="191"/>
      <c r="SGT6" s="191"/>
      <c r="SGU6" s="191"/>
      <c r="SGV6" s="191"/>
      <c r="SGX6" s="191"/>
      <c r="SGY6" s="191"/>
      <c r="SGZ6" s="191"/>
      <c r="SHB6" s="191"/>
      <c r="SHC6" s="191"/>
      <c r="SHD6" s="191"/>
      <c r="SHF6" s="191"/>
      <c r="SHG6" s="191"/>
      <c r="SHH6" s="191"/>
      <c r="SHJ6" s="191"/>
      <c r="SHK6" s="191"/>
      <c r="SHL6" s="191"/>
      <c r="SHN6" s="191"/>
      <c r="SHO6" s="191"/>
      <c r="SHP6" s="191"/>
      <c r="SHR6" s="191"/>
      <c r="SHS6" s="191"/>
      <c r="SHT6" s="191"/>
      <c r="SHV6" s="191"/>
      <c r="SHW6" s="191"/>
      <c r="SHX6" s="191"/>
      <c r="SHZ6" s="191"/>
      <c r="SIA6" s="191"/>
      <c r="SIB6" s="191"/>
      <c r="SID6" s="191"/>
      <c r="SIE6" s="191"/>
      <c r="SIF6" s="191"/>
      <c r="SIH6" s="191"/>
      <c r="SII6" s="191"/>
      <c r="SIJ6" s="191"/>
      <c r="SIL6" s="191"/>
      <c r="SIM6" s="191"/>
      <c r="SIN6" s="191"/>
      <c r="SIP6" s="191"/>
      <c r="SIQ6" s="191"/>
      <c r="SIR6" s="191"/>
      <c r="SIT6" s="191"/>
      <c r="SIU6" s="191"/>
      <c r="SIV6" s="191"/>
      <c r="SIX6" s="191"/>
      <c r="SIY6" s="191"/>
      <c r="SIZ6" s="191"/>
      <c r="SJB6" s="191"/>
      <c r="SJC6" s="191"/>
      <c r="SJD6" s="191"/>
      <c r="SJF6" s="191"/>
      <c r="SJG6" s="191"/>
      <c r="SJH6" s="191"/>
      <c r="SJJ6" s="191"/>
      <c r="SJK6" s="191"/>
      <c r="SJL6" s="191"/>
      <c r="SJN6" s="191"/>
      <c r="SJO6" s="191"/>
      <c r="SJP6" s="191"/>
      <c r="SJR6" s="191"/>
      <c r="SJS6" s="191"/>
      <c r="SJT6" s="191"/>
      <c r="SJV6" s="191"/>
      <c r="SJW6" s="191"/>
      <c r="SJX6" s="191"/>
      <c r="SJZ6" s="191"/>
      <c r="SKA6" s="191"/>
      <c r="SKB6" s="191"/>
      <c r="SKD6" s="191"/>
      <c r="SKE6" s="191"/>
      <c r="SKF6" s="191"/>
      <c r="SKH6" s="191"/>
      <c r="SKI6" s="191"/>
      <c r="SKJ6" s="191"/>
      <c r="SKL6" s="191"/>
      <c r="SKM6" s="191"/>
      <c r="SKN6" s="191"/>
      <c r="SKP6" s="191"/>
      <c r="SKQ6" s="191"/>
      <c r="SKR6" s="191"/>
      <c r="SKT6" s="191"/>
      <c r="SKU6" s="191"/>
      <c r="SKV6" s="191"/>
      <c r="SKX6" s="191"/>
      <c r="SKY6" s="191"/>
      <c r="SKZ6" s="191"/>
      <c r="SLB6" s="191"/>
      <c r="SLC6" s="191"/>
      <c r="SLD6" s="191"/>
      <c r="SLF6" s="191"/>
      <c r="SLG6" s="191"/>
      <c r="SLH6" s="191"/>
      <c r="SLJ6" s="191"/>
      <c r="SLK6" s="191"/>
      <c r="SLL6" s="191"/>
      <c r="SLN6" s="191"/>
      <c r="SLO6" s="191"/>
      <c r="SLP6" s="191"/>
      <c r="SLR6" s="191"/>
      <c r="SLS6" s="191"/>
      <c r="SLT6" s="191"/>
      <c r="SLV6" s="191"/>
      <c r="SLW6" s="191"/>
      <c r="SLX6" s="191"/>
      <c r="SLZ6" s="191"/>
      <c r="SMA6" s="191"/>
      <c r="SMB6" s="191"/>
      <c r="SMD6" s="191"/>
      <c r="SME6" s="191"/>
      <c r="SMF6" s="191"/>
      <c r="SMH6" s="191"/>
      <c r="SMI6" s="191"/>
      <c r="SMJ6" s="191"/>
      <c r="SML6" s="191"/>
      <c r="SMM6" s="191"/>
      <c r="SMN6" s="191"/>
      <c r="SMP6" s="191"/>
      <c r="SMQ6" s="191"/>
      <c r="SMR6" s="191"/>
      <c r="SMT6" s="191"/>
      <c r="SMU6" s="191"/>
      <c r="SMV6" s="191"/>
      <c r="SMX6" s="191"/>
      <c r="SMY6" s="191"/>
      <c r="SMZ6" s="191"/>
      <c r="SNB6" s="191"/>
      <c r="SNC6" s="191"/>
      <c r="SND6" s="191"/>
      <c r="SNF6" s="191"/>
      <c r="SNG6" s="191"/>
      <c r="SNH6" s="191"/>
      <c r="SNJ6" s="191"/>
      <c r="SNK6" s="191"/>
      <c r="SNL6" s="191"/>
      <c r="SNN6" s="191"/>
      <c r="SNO6" s="191"/>
      <c r="SNP6" s="191"/>
      <c r="SNR6" s="191"/>
      <c r="SNS6" s="191"/>
      <c r="SNT6" s="191"/>
      <c r="SNV6" s="191"/>
      <c r="SNW6" s="191"/>
      <c r="SNX6" s="191"/>
      <c r="SNZ6" s="191"/>
      <c r="SOA6" s="191"/>
      <c r="SOB6" s="191"/>
      <c r="SOD6" s="191"/>
      <c r="SOE6" s="191"/>
      <c r="SOF6" s="191"/>
      <c r="SOH6" s="191"/>
      <c r="SOI6" s="191"/>
      <c r="SOJ6" s="191"/>
      <c r="SOL6" s="191"/>
      <c r="SOM6" s="191"/>
      <c r="SON6" s="191"/>
      <c r="SOP6" s="191"/>
      <c r="SOQ6" s="191"/>
      <c r="SOR6" s="191"/>
      <c r="SOT6" s="191"/>
      <c r="SOU6" s="191"/>
      <c r="SOV6" s="191"/>
      <c r="SOX6" s="191"/>
      <c r="SOY6" s="191"/>
      <c r="SOZ6" s="191"/>
      <c r="SPB6" s="191"/>
      <c r="SPC6" s="191"/>
      <c r="SPD6" s="191"/>
      <c r="SPF6" s="191"/>
      <c r="SPG6" s="191"/>
      <c r="SPH6" s="191"/>
      <c r="SPJ6" s="191"/>
      <c r="SPK6" s="191"/>
      <c r="SPL6" s="191"/>
      <c r="SPN6" s="191"/>
      <c r="SPO6" s="191"/>
      <c r="SPP6" s="191"/>
      <c r="SPR6" s="191"/>
      <c r="SPS6" s="191"/>
      <c r="SPT6" s="191"/>
      <c r="SPV6" s="191"/>
      <c r="SPW6" s="191"/>
      <c r="SPX6" s="191"/>
      <c r="SPZ6" s="191"/>
      <c r="SQA6" s="191"/>
      <c r="SQB6" s="191"/>
      <c r="SQD6" s="191"/>
      <c r="SQE6" s="191"/>
      <c r="SQF6" s="191"/>
      <c r="SQH6" s="191"/>
      <c r="SQI6" s="191"/>
      <c r="SQJ6" s="191"/>
      <c r="SQL6" s="191"/>
      <c r="SQM6" s="191"/>
      <c r="SQN6" s="191"/>
      <c r="SQP6" s="191"/>
      <c r="SQQ6" s="191"/>
      <c r="SQR6" s="191"/>
      <c r="SQT6" s="191"/>
      <c r="SQU6" s="191"/>
      <c r="SQV6" s="191"/>
      <c r="SQX6" s="191"/>
      <c r="SQY6" s="191"/>
      <c r="SQZ6" s="191"/>
      <c r="SRB6" s="191"/>
      <c r="SRC6" s="191"/>
      <c r="SRD6" s="191"/>
      <c r="SRF6" s="191"/>
      <c r="SRG6" s="191"/>
      <c r="SRH6" s="191"/>
      <c r="SRJ6" s="191"/>
      <c r="SRK6" s="191"/>
      <c r="SRL6" s="191"/>
      <c r="SRN6" s="191"/>
      <c r="SRO6" s="191"/>
      <c r="SRP6" s="191"/>
      <c r="SRR6" s="191"/>
      <c r="SRS6" s="191"/>
      <c r="SRT6" s="191"/>
      <c r="SRV6" s="191"/>
      <c r="SRW6" s="191"/>
      <c r="SRX6" s="191"/>
      <c r="SRZ6" s="191"/>
      <c r="SSA6" s="191"/>
      <c r="SSB6" s="191"/>
      <c r="SSD6" s="191"/>
      <c r="SSE6" s="191"/>
      <c r="SSF6" s="191"/>
      <c r="SSH6" s="191"/>
      <c r="SSI6" s="191"/>
      <c r="SSJ6" s="191"/>
      <c r="SSL6" s="191"/>
      <c r="SSM6" s="191"/>
      <c r="SSN6" s="191"/>
      <c r="SSP6" s="191"/>
      <c r="SSQ6" s="191"/>
      <c r="SSR6" s="191"/>
      <c r="SST6" s="191"/>
      <c r="SSU6" s="191"/>
      <c r="SSV6" s="191"/>
      <c r="SSX6" s="191"/>
      <c r="SSY6" s="191"/>
      <c r="SSZ6" s="191"/>
      <c r="STB6" s="191"/>
      <c r="STC6" s="191"/>
      <c r="STD6" s="191"/>
      <c r="STF6" s="191"/>
      <c r="STG6" s="191"/>
      <c r="STH6" s="191"/>
      <c r="STJ6" s="191"/>
      <c r="STK6" s="191"/>
      <c r="STL6" s="191"/>
      <c r="STN6" s="191"/>
      <c r="STO6" s="191"/>
      <c r="STP6" s="191"/>
      <c r="STR6" s="191"/>
      <c r="STS6" s="191"/>
      <c r="STT6" s="191"/>
      <c r="STV6" s="191"/>
      <c r="STW6" s="191"/>
      <c r="STX6" s="191"/>
      <c r="STZ6" s="191"/>
      <c r="SUA6" s="191"/>
      <c r="SUB6" s="191"/>
      <c r="SUD6" s="191"/>
      <c r="SUE6" s="191"/>
      <c r="SUF6" s="191"/>
      <c r="SUH6" s="191"/>
      <c r="SUI6" s="191"/>
      <c r="SUJ6" s="191"/>
      <c r="SUL6" s="191"/>
      <c r="SUM6" s="191"/>
      <c r="SUN6" s="191"/>
      <c r="SUP6" s="191"/>
      <c r="SUQ6" s="191"/>
      <c r="SUR6" s="191"/>
      <c r="SUT6" s="191"/>
      <c r="SUU6" s="191"/>
      <c r="SUV6" s="191"/>
      <c r="SUX6" s="191"/>
      <c r="SUY6" s="191"/>
      <c r="SUZ6" s="191"/>
      <c r="SVB6" s="191"/>
      <c r="SVC6" s="191"/>
      <c r="SVD6" s="191"/>
      <c r="SVF6" s="191"/>
      <c r="SVG6" s="191"/>
      <c r="SVH6" s="191"/>
      <c r="SVJ6" s="191"/>
      <c r="SVK6" s="191"/>
      <c r="SVL6" s="191"/>
      <c r="SVN6" s="191"/>
      <c r="SVO6" s="191"/>
      <c r="SVP6" s="191"/>
      <c r="SVR6" s="191"/>
      <c r="SVS6" s="191"/>
      <c r="SVT6" s="191"/>
      <c r="SVV6" s="191"/>
      <c r="SVW6" s="191"/>
      <c r="SVX6" s="191"/>
      <c r="SVZ6" s="191"/>
      <c r="SWA6" s="191"/>
      <c r="SWB6" s="191"/>
      <c r="SWD6" s="191"/>
      <c r="SWE6" s="191"/>
      <c r="SWF6" s="191"/>
      <c r="SWH6" s="191"/>
      <c r="SWI6" s="191"/>
      <c r="SWJ6" s="191"/>
      <c r="SWL6" s="191"/>
      <c r="SWM6" s="191"/>
      <c r="SWN6" s="191"/>
      <c r="SWP6" s="191"/>
      <c r="SWQ6" s="191"/>
      <c r="SWR6" s="191"/>
      <c r="SWT6" s="191"/>
      <c r="SWU6" s="191"/>
      <c r="SWV6" s="191"/>
      <c r="SWX6" s="191"/>
      <c r="SWY6" s="191"/>
      <c r="SWZ6" s="191"/>
      <c r="SXB6" s="191"/>
      <c r="SXC6" s="191"/>
      <c r="SXD6" s="191"/>
      <c r="SXF6" s="191"/>
      <c r="SXG6" s="191"/>
      <c r="SXH6" s="191"/>
      <c r="SXJ6" s="191"/>
      <c r="SXK6" s="191"/>
      <c r="SXL6" s="191"/>
      <c r="SXN6" s="191"/>
      <c r="SXO6" s="191"/>
      <c r="SXP6" s="191"/>
      <c r="SXR6" s="191"/>
      <c r="SXS6" s="191"/>
      <c r="SXT6" s="191"/>
      <c r="SXV6" s="191"/>
      <c r="SXW6" s="191"/>
      <c r="SXX6" s="191"/>
      <c r="SXZ6" s="191"/>
      <c r="SYA6" s="191"/>
      <c r="SYB6" s="191"/>
      <c r="SYD6" s="191"/>
      <c r="SYE6" s="191"/>
      <c r="SYF6" s="191"/>
      <c r="SYH6" s="191"/>
      <c r="SYI6" s="191"/>
      <c r="SYJ6" s="191"/>
      <c r="SYL6" s="191"/>
      <c r="SYM6" s="191"/>
      <c r="SYN6" s="191"/>
      <c r="SYP6" s="191"/>
      <c r="SYQ6" s="191"/>
      <c r="SYR6" s="191"/>
      <c r="SYT6" s="191"/>
      <c r="SYU6" s="191"/>
      <c r="SYV6" s="191"/>
      <c r="SYX6" s="191"/>
      <c r="SYY6" s="191"/>
      <c r="SYZ6" s="191"/>
      <c r="SZB6" s="191"/>
      <c r="SZC6" s="191"/>
      <c r="SZD6" s="191"/>
      <c r="SZF6" s="191"/>
      <c r="SZG6" s="191"/>
      <c r="SZH6" s="191"/>
      <c r="SZJ6" s="191"/>
      <c r="SZK6" s="191"/>
      <c r="SZL6" s="191"/>
      <c r="SZN6" s="191"/>
      <c r="SZO6" s="191"/>
      <c r="SZP6" s="191"/>
      <c r="SZR6" s="191"/>
      <c r="SZS6" s="191"/>
      <c r="SZT6" s="191"/>
      <c r="SZV6" s="191"/>
      <c r="SZW6" s="191"/>
      <c r="SZX6" s="191"/>
      <c r="SZZ6" s="191"/>
      <c r="TAA6" s="191"/>
      <c r="TAB6" s="191"/>
      <c r="TAD6" s="191"/>
      <c r="TAE6" s="191"/>
      <c r="TAF6" s="191"/>
      <c r="TAH6" s="191"/>
      <c r="TAI6" s="191"/>
      <c r="TAJ6" s="191"/>
      <c r="TAL6" s="191"/>
      <c r="TAM6" s="191"/>
      <c r="TAN6" s="191"/>
      <c r="TAP6" s="191"/>
      <c r="TAQ6" s="191"/>
      <c r="TAR6" s="191"/>
      <c r="TAT6" s="191"/>
      <c r="TAU6" s="191"/>
      <c r="TAV6" s="191"/>
      <c r="TAX6" s="191"/>
      <c r="TAY6" s="191"/>
      <c r="TAZ6" s="191"/>
      <c r="TBB6" s="191"/>
      <c r="TBC6" s="191"/>
      <c r="TBD6" s="191"/>
      <c r="TBF6" s="191"/>
      <c r="TBG6" s="191"/>
      <c r="TBH6" s="191"/>
      <c r="TBJ6" s="191"/>
      <c r="TBK6" s="191"/>
      <c r="TBL6" s="191"/>
      <c r="TBN6" s="191"/>
      <c r="TBO6" s="191"/>
      <c r="TBP6" s="191"/>
      <c r="TBR6" s="191"/>
      <c r="TBS6" s="191"/>
      <c r="TBT6" s="191"/>
      <c r="TBV6" s="191"/>
      <c r="TBW6" s="191"/>
      <c r="TBX6" s="191"/>
      <c r="TBZ6" s="191"/>
      <c r="TCA6" s="191"/>
      <c r="TCB6" s="191"/>
      <c r="TCD6" s="191"/>
      <c r="TCE6" s="191"/>
      <c r="TCF6" s="191"/>
      <c r="TCH6" s="191"/>
      <c r="TCI6" s="191"/>
      <c r="TCJ6" s="191"/>
      <c r="TCL6" s="191"/>
      <c r="TCM6" s="191"/>
      <c r="TCN6" s="191"/>
      <c r="TCP6" s="191"/>
      <c r="TCQ6" s="191"/>
      <c r="TCR6" s="191"/>
      <c r="TCT6" s="191"/>
      <c r="TCU6" s="191"/>
      <c r="TCV6" s="191"/>
      <c r="TCX6" s="191"/>
      <c r="TCY6" s="191"/>
      <c r="TCZ6" s="191"/>
      <c r="TDB6" s="191"/>
      <c r="TDC6" s="191"/>
      <c r="TDD6" s="191"/>
      <c r="TDF6" s="191"/>
      <c r="TDG6" s="191"/>
      <c r="TDH6" s="191"/>
      <c r="TDJ6" s="191"/>
      <c r="TDK6" s="191"/>
      <c r="TDL6" s="191"/>
      <c r="TDN6" s="191"/>
      <c r="TDO6" s="191"/>
      <c r="TDP6" s="191"/>
      <c r="TDR6" s="191"/>
      <c r="TDS6" s="191"/>
      <c r="TDT6" s="191"/>
      <c r="TDV6" s="191"/>
      <c r="TDW6" s="191"/>
      <c r="TDX6" s="191"/>
      <c r="TDZ6" s="191"/>
      <c r="TEA6" s="191"/>
      <c r="TEB6" s="191"/>
      <c r="TED6" s="191"/>
      <c r="TEE6" s="191"/>
      <c r="TEF6" s="191"/>
      <c r="TEH6" s="191"/>
      <c r="TEI6" s="191"/>
      <c r="TEJ6" s="191"/>
      <c r="TEL6" s="191"/>
      <c r="TEM6" s="191"/>
      <c r="TEN6" s="191"/>
      <c r="TEP6" s="191"/>
      <c r="TEQ6" s="191"/>
      <c r="TER6" s="191"/>
      <c r="TET6" s="191"/>
      <c r="TEU6" s="191"/>
      <c r="TEV6" s="191"/>
      <c r="TEX6" s="191"/>
      <c r="TEY6" s="191"/>
      <c r="TEZ6" s="191"/>
      <c r="TFB6" s="191"/>
      <c r="TFC6" s="191"/>
      <c r="TFD6" s="191"/>
      <c r="TFF6" s="191"/>
      <c r="TFG6" s="191"/>
      <c r="TFH6" s="191"/>
      <c r="TFJ6" s="191"/>
      <c r="TFK6" s="191"/>
      <c r="TFL6" s="191"/>
      <c r="TFN6" s="191"/>
      <c r="TFO6" s="191"/>
      <c r="TFP6" s="191"/>
      <c r="TFR6" s="191"/>
      <c r="TFS6" s="191"/>
      <c r="TFT6" s="191"/>
      <c r="TFV6" s="191"/>
      <c r="TFW6" s="191"/>
      <c r="TFX6" s="191"/>
      <c r="TFZ6" s="191"/>
      <c r="TGA6" s="191"/>
      <c r="TGB6" s="191"/>
      <c r="TGD6" s="191"/>
      <c r="TGE6" s="191"/>
      <c r="TGF6" s="191"/>
      <c r="TGH6" s="191"/>
      <c r="TGI6" s="191"/>
      <c r="TGJ6" s="191"/>
      <c r="TGL6" s="191"/>
      <c r="TGM6" s="191"/>
      <c r="TGN6" s="191"/>
      <c r="TGP6" s="191"/>
      <c r="TGQ6" s="191"/>
      <c r="TGR6" s="191"/>
      <c r="TGT6" s="191"/>
      <c r="TGU6" s="191"/>
      <c r="TGV6" s="191"/>
      <c r="TGX6" s="191"/>
      <c r="TGY6" s="191"/>
      <c r="TGZ6" s="191"/>
      <c r="THB6" s="191"/>
      <c r="THC6" s="191"/>
      <c r="THD6" s="191"/>
      <c r="THF6" s="191"/>
      <c r="THG6" s="191"/>
      <c r="THH6" s="191"/>
      <c r="THJ6" s="191"/>
      <c r="THK6" s="191"/>
      <c r="THL6" s="191"/>
      <c r="THN6" s="191"/>
      <c r="THO6" s="191"/>
      <c r="THP6" s="191"/>
      <c r="THR6" s="191"/>
      <c r="THS6" s="191"/>
      <c r="THT6" s="191"/>
      <c r="THV6" s="191"/>
      <c r="THW6" s="191"/>
      <c r="THX6" s="191"/>
      <c r="THZ6" s="191"/>
      <c r="TIA6" s="191"/>
      <c r="TIB6" s="191"/>
      <c r="TID6" s="191"/>
      <c r="TIE6" s="191"/>
      <c r="TIF6" s="191"/>
      <c r="TIH6" s="191"/>
      <c r="TII6" s="191"/>
      <c r="TIJ6" s="191"/>
      <c r="TIL6" s="191"/>
      <c r="TIM6" s="191"/>
      <c r="TIN6" s="191"/>
      <c r="TIP6" s="191"/>
      <c r="TIQ6" s="191"/>
      <c r="TIR6" s="191"/>
      <c r="TIT6" s="191"/>
      <c r="TIU6" s="191"/>
      <c r="TIV6" s="191"/>
      <c r="TIX6" s="191"/>
      <c r="TIY6" s="191"/>
      <c r="TIZ6" s="191"/>
      <c r="TJB6" s="191"/>
      <c r="TJC6" s="191"/>
      <c r="TJD6" s="191"/>
      <c r="TJF6" s="191"/>
      <c r="TJG6" s="191"/>
      <c r="TJH6" s="191"/>
      <c r="TJJ6" s="191"/>
      <c r="TJK6" s="191"/>
      <c r="TJL6" s="191"/>
      <c r="TJN6" s="191"/>
      <c r="TJO6" s="191"/>
      <c r="TJP6" s="191"/>
      <c r="TJR6" s="191"/>
      <c r="TJS6" s="191"/>
      <c r="TJT6" s="191"/>
      <c r="TJV6" s="191"/>
      <c r="TJW6" s="191"/>
      <c r="TJX6" s="191"/>
      <c r="TJZ6" s="191"/>
      <c r="TKA6" s="191"/>
      <c r="TKB6" s="191"/>
      <c r="TKD6" s="191"/>
      <c r="TKE6" s="191"/>
      <c r="TKF6" s="191"/>
      <c r="TKH6" s="191"/>
      <c r="TKI6" s="191"/>
      <c r="TKJ6" s="191"/>
      <c r="TKL6" s="191"/>
      <c r="TKM6" s="191"/>
      <c r="TKN6" s="191"/>
      <c r="TKP6" s="191"/>
      <c r="TKQ6" s="191"/>
      <c r="TKR6" s="191"/>
      <c r="TKT6" s="191"/>
      <c r="TKU6" s="191"/>
      <c r="TKV6" s="191"/>
      <c r="TKX6" s="191"/>
      <c r="TKY6" s="191"/>
      <c r="TKZ6" s="191"/>
      <c r="TLB6" s="191"/>
      <c r="TLC6" s="191"/>
      <c r="TLD6" s="191"/>
      <c r="TLF6" s="191"/>
      <c r="TLG6" s="191"/>
      <c r="TLH6" s="191"/>
      <c r="TLJ6" s="191"/>
      <c r="TLK6" s="191"/>
      <c r="TLL6" s="191"/>
      <c r="TLN6" s="191"/>
      <c r="TLO6" s="191"/>
      <c r="TLP6" s="191"/>
      <c r="TLR6" s="191"/>
      <c r="TLS6" s="191"/>
      <c r="TLT6" s="191"/>
      <c r="TLV6" s="191"/>
      <c r="TLW6" s="191"/>
      <c r="TLX6" s="191"/>
      <c r="TLZ6" s="191"/>
      <c r="TMA6" s="191"/>
      <c r="TMB6" s="191"/>
      <c r="TMD6" s="191"/>
      <c r="TME6" s="191"/>
      <c r="TMF6" s="191"/>
      <c r="TMH6" s="191"/>
      <c r="TMI6" s="191"/>
      <c r="TMJ6" s="191"/>
      <c r="TML6" s="191"/>
      <c r="TMM6" s="191"/>
      <c r="TMN6" s="191"/>
      <c r="TMP6" s="191"/>
      <c r="TMQ6" s="191"/>
      <c r="TMR6" s="191"/>
      <c r="TMT6" s="191"/>
      <c r="TMU6" s="191"/>
      <c r="TMV6" s="191"/>
      <c r="TMX6" s="191"/>
      <c r="TMY6" s="191"/>
      <c r="TMZ6" s="191"/>
      <c r="TNB6" s="191"/>
      <c r="TNC6" s="191"/>
      <c r="TND6" s="191"/>
      <c r="TNF6" s="191"/>
      <c r="TNG6" s="191"/>
      <c r="TNH6" s="191"/>
      <c r="TNJ6" s="191"/>
      <c r="TNK6" s="191"/>
      <c r="TNL6" s="191"/>
      <c r="TNN6" s="191"/>
      <c r="TNO6" s="191"/>
      <c r="TNP6" s="191"/>
      <c r="TNR6" s="191"/>
      <c r="TNS6" s="191"/>
      <c r="TNT6" s="191"/>
      <c r="TNV6" s="191"/>
      <c r="TNW6" s="191"/>
      <c r="TNX6" s="191"/>
      <c r="TNZ6" s="191"/>
      <c r="TOA6" s="191"/>
      <c r="TOB6" s="191"/>
      <c r="TOD6" s="191"/>
      <c r="TOE6" s="191"/>
      <c r="TOF6" s="191"/>
      <c r="TOH6" s="191"/>
      <c r="TOI6" s="191"/>
      <c r="TOJ6" s="191"/>
      <c r="TOL6" s="191"/>
      <c r="TOM6" s="191"/>
      <c r="TON6" s="191"/>
      <c r="TOP6" s="191"/>
      <c r="TOQ6" s="191"/>
      <c r="TOR6" s="191"/>
      <c r="TOT6" s="191"/>
      <c r="TOU6" s="191"/>
      <c r="TOV6" s="191"/>
      <c r="TOX6" s="191"/>
      <c r="TOY6" s="191"/>
      <c r="TOZ6" s="191"/>
      <c r="TPB6" s="191"/>
      <c r="TPC6" s="191"/>
      <c r="TPD6" s="191"/>
      <c r="TPF6" s="191"/>
      <c r="TPG6" s="191"/>
      <c r="TPH6" s="191"/>
      <c r="TPJ6" s="191"/>
      <c r="TPK6" s="191"/>
      <c r="TPL6" s="191"/>
      <c r="TPN6" s="191"/>
      <c r="TPO6" s="191"/>
      <c r="TPP6" s="191"/>
      <c r="TPR6" s="191"/>
      <c r="TPS6" s="191"/>
      <c r="TPT6" s="191"/>
      <c r="TPV6" s="191"/>
      <c r="TPW6" s="191"/>
      <c r="TPX6" s="191"/>
      <c r="TPZ6" s="191"/>
      <c r="TQA6" s="191"/>
      <c r="TQB6" s="191"/>
      <c r="TQD6" s="191"/>
      <c r="TQE6" s="191"/>
      <c r="TQF6" s="191"/>
      <c r="TQH6" s="191"/>
      <c r="TQI6" s="191"/>
      <c r="TQJ6" s="191"/>
      <c r="TQL6" s="191"/>
      <c r="TQM6" s="191"/>
      <c r="TQN6" s="191"/>
      <c r="TQP6" s="191"/>
      <c r="TQQ6" s="191"/>
      <c r="TQR6" s="191"/>
      <c r="TQT6" s="191"/>
      <c r="TQU6" s="191"/>
      <c r="TQV6" s="191"/>
      <c r="TQX6" s="191"/>
      <c r="TQY6" s="191"/>
      <c r="TQZ6" s="191"/>
      <c r="TRB6" s="191"/>
      <c r="TRC6" s="191"/>
      <c r="TRD6" s="191"/>
      <c r="TRF6" s="191"/>
      <c r="TRG6" s="191"/>
      <c r="TRH6" s="191"/>
      <c r="TRJ6" s="191"/>
      <c r="TRK6" s="191"/>
      <c r="TRL6" s="191"/>
      <c r="TRN6" s="191"/>
      <c r="TRO6" s="191"/>
      <c r="TRP6" s="191"/>
      <c r="TRR6" s="191"/>
      <c r="TRS6" s="191"/>
      <c r="TRT6" s="191"/>
      <c r="TRV6" s="191"/>
      <c r="TRW6" s="191"/>
      <c r="TRX6" s="191"/>
      <c r="TRZ6" s="191"/>
      <c r="TSA6" s="191"/>
      <c r="TSB6" s="191"/>
      <c r="TSD6" s="191"/>
      <c r="TSE6" s="191"/>
      <c r="TSF6" s="191"/>
      <c r="TSH6" s="191"/>
      <c r="TSI6" s="191"/>
      <c r="TSJ6" s="191"/>
      <c r="TSL6" s="191"/>
      <c r="TSM6" s="191"/>
      <c r="TSN6" s="191"/>
      <c r="TSP6" s="191"/>
      <c r="TSQ6" s="191"/>
      <c r="TSR6" s="191"/>
      <c r="TST6" s="191"/>
      <c r="TSU6" s="191"/>
      <c r="TSV6" s="191"/>
      <c r="TSX6" s="191"/>
      <c r="TSY6" s="191"/>
      <c r="TSZ6" s="191"/>
      <c r="TTB6" s="191"/>
      <c r="TTC6" s="191"/>
      <c r="TTD6" s="191"/>
      <c r="TTF6" s="191"/>
      <c r="TTG6" s="191"/>
      <c r="TTH6" s="191"/>
      <c r="TTJ6" s="191"/>
      <c r="TTK6" s="191"/>
      <c r="TTL6" s="191"/>
      <c r="TTN6" s="191"/>
      <c r="TTO6" s="191"/>
      <c r="TTP6" s="191"/>
      <c r="TTR6" s="191"/>
      <c r="TTS6" s="191"/>
      <c r="TTT6" s="191"/>
      <c r="TTV6" s="191"/>
      <c r="TTW6" s="191"/>
      <c r="TTX6" s="191"/>
      <c r="TTZ6" s="191"/>
      <c r="TUA6" s="191"/>
      <c r="TUB6" s="191"/>
      <c r="TUD6" s="191"/>
      <c r="TUE6" s="191"/>
      <c r="TUF6" s="191"/>
      <c r="TUH6" s="191"/>
      <c r="TUI6" s="191"/>
      <c r="TUJ6" s="191"/>
      <c r="TUL6" s="191"/>
      <c r="TUM6" s="191"/>
      <c r="TUN6" s="191"/>
      <c r="TUP6" s="191"/>
      <c r="TUQ6" s="191"/>
      <c r="TUR6" s="191"/>
      <c r="TUT6" s="191"/>
      <c r="TUU6" s="191"/>
      <c r="TUV6" s="191"/>
      <c r="TUX6" s="191"/>
      <c r="TUY6" s="191"/>
      <c r="TUZ6" s="191"/>
      <c r="TVB6" s="191"/>
      <c r="TVC6" s="191"/>
      <c r="TVD6" s="191"/>
      <c r="TVF6" s="191"/>
      <c r="TVG6" s="191"/>
      <c r="TVH6" s="191"/>
      <c r="TVJ6" s="191"/>
      <c r="TVK6" s="191"/>
      <c r="TVL6" s="191"/>
      <c r="TVN6" s="191"/>
      <c r="TVO6" s="191"/>
      <c r="TVP6" s="191"/>
      <c r="TVR6" s="191"/>
      <c r="TVS6" s="191"/>
      <c r="TVT6" s="191"/>
      <c r="TVV6" s="191"/>
      <c r="TVW6" s="191"/>
      <c r="TVX6" s="191"/>
      <c r="TVZ6" s="191"/>
      <c r="TWA6" s="191"/>
      <c r="TWB6" s="191"/>
      <c r="TWD6" s="191"/>
      <c r="TWE6" s="191"/>
      <c r="TWF6" s="191"/>
      <c r="TWH6" s="191"/>
      <c r="TWI6" s="191"/>
      <c r="TWJ6" s="191"/>
      <c r="TWL6" s="191"/>
      <c r="TWM6" s="191"/>
      <c r="TWN6" s="191"/>
      <c r="TWP6" s="191"/>
      <c r="TWQ6" s="191"/>
      <c r="TWR6" s="191"/>
      <c r="TWT6" s="191"/>
      <c r="TWU6" s="191"/>
      <c r="TWV6" s="191"/>
      <c r="TWX6" s="191"/>
      <c r="TWY6" s="191"/>
      <c r="TWZ6" s="191"/>
      <c r="TXB6" s="191"/>
      <c r="TXC6" s="191"/>
      <c r="TXD6" s="191"/>
      <c r="TXF6" s="191"/>
      <c r="TXG6" s="191"/>
      <c r="TXH6" s="191"/>
      <c r="TXJ6" s="191"/>
      <c r="TXK6" s="191"/>
      <c r="TXL6" s="191"/>
      <c r="TXN6" s="191"/>
      <c r="TXO6" s="191"/>
      <c r="TXP6" s="191"/>
      <c r="TXR6" s="191"/>
      <c r="TXS6" s="191"/>
      <c r="TXT6" s="191"/>
      <c r="TXV6" s="191"/>
      <c r="TXW6" s="191"/>
      <c r="TXX6" s="191"/>
      <c r="TXZ6" s="191"/>
      <c r="TYA6" s="191"/>
      <c r="TYB6" s="191"/>
      <c r="TYD6" s="191"/>
      <c r="TYE6" s="191"/>
      <c r="TYF6" s="191"/>
      <c r="TYH6" s="191"/>
      <c r="TYI6" s="191"/>
      <c r="TYJ6" s="191"/>
      <c r="TYL6" s="191"/>
      <c r="TYM6" s="191"/>
      <c r="TYN6" s="191"/>
      <c r="TYP6" s="191"/>
      <c r="TYQ6" s="191"/>
      <c r="TYR6" s="191"/>
      <c r="TYT6" s="191"/>
      <c r="TYU6" s="191"/>
      <c r="TYV6" s="191"/>
      <c r="TYX6" s="191"/>
      <c r="TYY6" s="191"/>
      <c r="TYZ6" s="191"/>
      <c r="TZB6" s="191"/>
      <c r="TZC6" s="191"/>
      <c r="TZD6" s="191"/>
      <c r="TZF6" s="191"/>
      <c r="TZG6" s="191"/>
      <c r="TZH6" s="191"/>
      <c r="TZJ6" s="191"/>
      <c r="TZK6" s="191"/>
      <c r="TZL6" s="191"/>
      <c r="TZN6" s="191"/>
      <c r="TZO6" s="191"/>
      <c r="TZP6" s="191"/>
      <c r="TZR6" s="191"/>
      <c r="TZS6" s="191"/>
      <c r="TZT6" s="191"/>
      <c r="TZV6" s="191"/>
      <c r="TZW6" s="191"/>
      <c r="TZX6" s="191"/>
      <c r="TZZ6" s="191"/>
      <c r="UAA6" s="191"/>
      <c r="UAB6" s="191"/>
      <c r="UAD6" s="191"/>
      <c r="UAE6" s="191"/>
      <c r="UAF6" s="191"/>
      <c r="UAH6" s="191"/>
      <c r="UAI6" s="191"/>
      <c r="UAJ6" s="191"/>
      <c r="UAL6" s="191"/>
      <c r="UAM6" s="191"/>
      <c r="UAN6" s="191"/>
      <c r="UAP6" s="191"/>
      <c r="UAQ6" s="191"/>
      <c r="UAR6" s="191"/>
      <c r="UAT6" s="191"/>
      <c r="UAU6" s="191"/>
      <c r="UAV6" s="191"/>
      <c r="UAX6" s="191"/>
      <c r="UAY6" s="191"/>
      <c r="UAZ6" s="191"/>
      <c r="UBB6" s="191"/>
      <c r="UBC6" s="191"/>
      <c r="UBD6" s="191"/>
      <c r="UBF6" s="191"/>
      <c r="UBG6" s="191"/>
      <c r="UBH6" s="191"/>
      <c r="UBJ6" s="191"/>
      <c r="UBK6" s="191"/>
      <c r="UBL6" s="191"/>
      <c r="UBN6" s="191"/>
      <c r="UBO6" s="191"/>
      <c r="UBP6" s="191"/>
      <c r="UBR6" s="191"/>
      <c r="UBS6" s="191"/>
      <c r="UBT6" s="191"/>
      <c r="UBV6" s="191"/>
      <c r="UBW6" s="191"/>
      <c r="UBX6" s="191"/>
      <c r="UBZ6" s="191"/>
      <c r="UCA6" s="191"/>
      <c r="UCB6" s="191"/>
      <c r="UCD6" s="191"/>
      <c r="UCE6" s="191"/>
      <c r="UCF6" s="191"/>
      <c r="UCH6" s="191"/>
      <c r="UCI6" s="191"/>
      <c r="UCJ6" s="191"/>
      <c r="UCL6" s="191"/>
      <c r="UCM6" s="191"/>
      <c r="UCN6" s="191"/>
      <c r="UCP6" s="191"/>
      <c r="UCQ6" s="191"/>
      <c r="UCR6" s="191"/>
      <c r="UCT6" s="191"/>
      <c r="UCU6" s="191"/>
      <c r="UCV6" s="191"/>
      <c r="UCX6" s="191"/>
      <c r="UCY6" s="191"/>
      <c r="UCZ6" s="191"/>
      <c r="UDB6" s="191"/>
      <c r="UDC6" s="191"/>
      <c r="UDD6" s="191"/>
      <c r="UDF6" s="191"/>
      <c r="UDG6" s="191"/>
      <c r="UDH6" s="191"/>
      <c r="UDJ6" s="191"/>
      <c r="UDK6" s="191"/>
      <c r="UDL6" s="191"/>
      <c r="UDN6" s="191"/>
      <c r="UDO6" s="191"/>
      <c r="UDP6" s="191"/>
      <c r="UDR6" s="191"/>
      <c r="UDS6" s="191"/>
      <c r="UDT6" s="191"/>
      <c r="UDV6" s="191"/>
      <c r="UDW6" s="191"/>
      <c r="UDX6" s="191"/>
      <c r="UDZ6" s="191"/>
      <c r="UEA6" s="191"/>
      <c r="UEB6" s="191"/>
      <c r="UED6" s="191"/>
      <c r="UEE6" s="191"/>
      <c r="UEF6" s="191"/>
      <c r="UEH6" s="191"/>
      <c r="UEI6" s="191"/>
      <c r="UEJ6" s="191"/>
      <c r="UEL6" s="191"/>
      <c r="UEM6" s="191"/>
      <c r="UEN6" s="191"/>
      <c r="UEP6" s="191"/>
      <c r="UEQ6" s="191"/>
      <c r="UER6" s="191"/>
      <c r="UET6" s="191"/>
      <c r="UEU6" s="191"/>
      <c r="UEV6" s="191"/>
      <c r="UEX6" s="191"/>
      <c r="UEY6" s="191"/>
      <c r="UEZ6" s="191"/>
      <c r="UFB6" s="191"/>
      <c r="UFC6" s="191"/>
      <c r="UFD6" s="191"/>
      <c r="UFF6" s="191"/>
      <c r="UFG6" s="191"/>
      <c r="UFH6" s="191"/>
      <c r="UFJ6" s="191"/>
      <c r="UFK6" s="191"/>
      <c r="UFL6" s="191"/>
      <c r="UFN6" s="191"/>
      <c r="UFO6" s="191"/>
      <c r="UFP6" s="191"/>
      <c r="UFR6" s="191"/>
      <c r="UFS6" s="191"/>
      <c r="UFT6" s="191"/>
      <c r="UFV6" s="191"/>
      <c r="UFW6" s="191"/>
      <c r="UFX6" s="191"/>
      <c r="UFZ6" s="191"/>
      <c r="UGA6" s="191"/>
      <c r="UGB6" s="191"/>
      <c r="UGD6" s="191"/>
      <c r="UGE6" s="191"/>
      <c r="UGF6" s="191"/>
      <c r="UGH6" s="191"/>
      <c r="UGI6" s="191"/>
      <c r="UGJ6" s="191"/>
      <c r="UGL6" s="191"/>
      <c r="UGM6" s="191"/>
      <c r="UGN6" s="191"/>
      <c r="UGP6" s="191"/>
      <c r="UGQ6" s="191"/>
      <c r="UGR6" s="191"/>
      <c r="UGT6" s="191"/>
      <c r="UGU6" s="191"/>
      <c r="UGV6" s="191"/>
      <c r="UGX6" s="191"/>
      <c r="UGY6" s="191"/>
      <c r="UGZ6" s="191"/>
      <c r="UHB6" s="191"/>
      <c r="UHC6" s="191"/>
      <c r="UHD6" s="191"/>
      <c r="UHF6" s="191"/>
      <c r="UHG6" s="191"/>
      <c r="UHH6" s="191"/>
      <c r="UHJ6" s="191"/>
      <c r="UHK6" s="191"/>
      <c r="UHL6" s="191"/>
      <c r="UHN6" s="191"/>
      <c r="UHO6" s="191"/>
      <c r="UHP6" s="191"/>
      <c r="UHR6" s="191"/>
      <c r="UHS6" s="191"/>
      <c r="UHT6" s="191"/>
      <c r="UHV6" s="191"/>
      <c r="UHW6" s="191"/>
      <c r="UHX6" s="191"/>
      <c r="UHZ6" s="191"/>
      <c r="UIA6" s="191"/>
      <c r="UIB6" s="191"/>
      <c r="UID6" s="191"/>
      <c r="UIE6" s="191"/>
      <c r="UIF6" s="191"/>
      <c r="UIH6" s="191"/>
      <c r="UII6" s="191"/>
      <c r="UIJ6" s="191"/>
      <c r="UIL6" s="191"/>
      <c r="UIM6" s="191"/>
      <c r="UIN6" s="191"/>
      <c r="UIP6" s="191"/>
      <c r="UIQ6" s="191"/>
      <c r="UIR6" s="191"/>
      <c r="UIT6" s="191"/>
      <c r="UIU6" s="191"/>
      <c r="UIV6" s="191"/>
      <c r="UIX6" s="191"/>
      <c r="UIY6" s="191"/>
      <c r="UIZ6" s="191"/>
      <c r="UJB6" s="191"/>
      <c r="UJC6" s="191"/>
      <c r="UJD6" s="191"/>
      <c r="UJF6" s="191"/>
      <c r="UJG6" s="191"/>
      <c r="UJH6" s="191"/>
      <c r="UJJ6" s="191"/>
      <c r="UJK6" s="191"/>
      <c r="UJL6" s="191"/>
      <c r="UJN6" s="191"/>
      <c r="UJO6" s="191"/>
      <c r="UJP6" s="191"/>
      <c r="UJR6" s="191"/>
      <c r="UJS6" s="191"/>
      <c r="UJT6" s="191"/>
      <c r="UJV6" s="191"/>
      <c r="UJW6" s="191"/>
      <c r="UJX6" s="191"/>
      <c r="UJZ6" s="191"/>
      <c r="UKA6" s="191"/>
      <c r="UKB6" s="191"/>
      <c r="UKD6" s="191"/>
      <c r="UKE6" s="191"/>
      <c r="UKF6" s="191"/>
      <c r="UKH6" s="191"/>
      <c r="UKI6" s="191"/>
      <c r="UKJ6" s="191"/>
      <c r="UKL6" s="191"/>
      <c r="UKM6" s="191"/>
      <c r="UKN6" s="191"/>
      <c r="UKP6" s="191"/>
      <c r="UKQ6" s="191"/>
      <c r="UKR6" s="191"/>
      <c r="UKT6" s="191"/>
      <c r="UKU6" s="191"/>
      <c r="UKV6" s="191"/>
      <c r="UKX6" s="191"/>
      <c r="UKY6" s="191"/>
      <c r="UKZ6" s="191"/>
      <c r="ULB6" s="191"/>
      <c r="ULC6" s="191"/>
      <c r="ULD6" s="191"/>
      <c r="ULF6" s="191"/>
      <c r="ULG6" s="191"/>
      <c r="ULH6" s="191"/>
      <c r="ULJ6" s="191"/>
      <c r="ULK6" s="191"/>
      <c r="ULL6" s="191"/>
      <c r="ULN6" s="191"/>
      <c r="ULO6" s="191"/>
      <c r="ULP6" s="191"/>
      <c r="ULR6" s="191"/>
      <c r="ULS6" s="191"/>
      <c r="ULT6" s="191"/>
      <c r="ULV6" s="191"/>
      <c r="ULW6" s="191"/>
      <c r="ULX6" s="191"/>
      <c r="ULZ6" s="191"/>
      <c r="UMA6" s="191"/>
      <c r="UMB6" s="191"/>
      <c r="UMD6" s="191"/>
      <c r="UME6" s="191"/>
      <c r="UMF6" s="191"/>
      <c r="UMH6" s="191"/>
      <c r="UMI6" s="191"/>
      <c r="UMJ6" s="191"/>
      <c r="UML6" s="191"/>
      <c r="UMM6" s="191"/>
      <c r="UMN6" s="191"/>
      <c r="UMP6" s="191"/>
      <c r="UMQ6" s="191"/>
      <c r="UMR6" s="191"/>
      <c r="UMT6" s="191"/>
      <c r="UMU6" s="191"/>
      <c r="UMV6" s="191"/>
      <c r="UMX6" s="191"/>
      <c r="UMY6" s="191"/>
      <c r="UMZ6" s="191"/>
      <c r="UNB6" s="191"/>
      <c r="UNC6" s="191"/>
      <c r="UND6" s="191"/>
      <c r="UNF6" s="191"/>
      <c r="UNG6" s="191"/>
      <c r="UNH6" s="191"/>
      <c r="UNJ6" s="191"/>
      <c r="UNK6" s="191"/>
      <c r="UNL6" s="191"/>
      <c r="UNN6" s="191"/>
      <c r="UNO6" s="191"/>
      <c r="UNP6" s="191"/>
      <c r="UNR6" s="191"/>
      <c r="UNS6" s="191"/>
      <c r="UNT6" s="191"/>
      <c r="UNV6" s="191"/>
      <c r="UNW6" s="191"/>
      <c r="UNX6" s="191"/>
      <c r="UNZ6" s="191"/>
      <c r="UOA6" s="191"/>
      <c r="UOB6" s="191"/>
      <c r="UOD6" s="191"/>
      <c r="UOE6" s="191"/>
      <c r="UOF6" s="191"/>
      <c r="UOH6" s="191"/>
      <c r="UOI6" s="191"/>
      <c r="UOJ6" s="191"/>
      <c r="UOL6" s="191"/>
      <c r="UOM6" s="191"/>
      <c r="UON6" s="191"/>
      <c r="UOP6" s="191"/>
      <c r="UOQ6" s="191"/>
      <c r="UOR6" s="191"/>
      <c r="UOT6" s="191"/>
      <c r="UOU6" s="191"/>
      <c r="UOV6" s="191"/>
      <c r="UOX6" s="191"/>
      <c r="UOY6" s="191"/>
      <c r="UOZ6" s="191"/>
      <c r="UPB6" s="191"/>
      <c r="UPC6" s="191"/>
      <c r="UPD6" s="191"/>
      <c r="UPF6" s="191"/>
      <c r="UPG6" s="191"/>
      <c r="UPH6" s="191"/>
      <c r="UPJ6" s="191"/>
      <c r="UPK6" s="191"/>
      <c r="UPL6" s="191"/>
      <c r="UPN6" s="191"/>
      <c r="UPO6" s="191"/>
      <c r="UPP6" s="191"/>
      <c r="UPR6" s="191"/>
      <c r="UPS6" s="191"/>
      <c r="UPT6" s="191"/>
      <c r="UPV6" s="191"/>
      <c r="UPW6" s="191"/>
      <c r="UPX6" s="191"/>
      <c r="UPZ6" s="191"/>
      <c r="UQA6" s="191"/>
      <c r="UQB6" s="191"/>
      <c r="UQD6" s="191"/>
      <c r="UQE6" s="191"/>
      <c r="UQF6" s="191"/>
      <c r="UQH6" s="191"/>
      <c r="UQI6" s="191"/>
      <c r="UQJ6" s="191"/>
      <c r="UQL6" s="191"/>
      <c r="UQM6" s="191"/>
      <c r="UQN6" s="191"/>
      <c r="UQP6" s="191"/>
      <c r="UQQ6" s="191"/>
      <c r="UQR6" s="191"/>
      <c r="UQT6" s="191"/>
      <c r="UQU6" s="191"/>
      <c r="UQV6" s="191"/>
      <c r="UQX6" s="191"/>
      <c r="UQY6" s="191"/>
      <c r="UQZ6" s="191"/>
      <c r="URB6" s="191"/>
      <c r="URC6" s="191"/>
      <c r="URD6" s="191"/>
      <c r="URF6" s="191"/>
      <c r="URG6" s="191"/>
      <c r="URH6" s="191"/>
      <c r="URJ6" s="191"/>
      <c r="URK6" s="191"/>
      <c r="URL6" s="191"/>
      <c r="URN6" s="191"/>
      <c r="URO6" s="191"/>
      <c r="URP6" s="191"/>
      <c r="URR6" s="191"/>
      <c r="URS6" s="191"/>
      <c r="URT6" s="191"/>
      <c r="URV6" s="191"/>
      <c r="URW6" s="191"/>
      <c r="URX6" s="191"/>
      <c r="URZ6" s="191"/>
      <c r="USA6" s="191"/>
      <c r="USB6" s="191"/>
      <c r="USD6" s="191"/>
      <c r="USE6" s="191"/>
      <c r="USF6" s="191"/>
      <c r="USH6" s="191"/>
      <c r="USI6" s="191"/>
      <c r="USJ6" s="191"/>
      <c r="USL6" s="191"/>
      <c r="USM6" s="191"/>
      <c r="USN6" s="191"/>
      <c r="USP6" s="191"/>
      <c r="USQ6" s="191"/>
      <c r="USR6" s="191"/>
      <c r="UST6" s="191"/>
      <c r="USU6" s="191"/>
      <c r="USV6" s="191"/>
      <c r="USX6" s="191"/>
      <c r="USY6" s="191"/>
      <c r="USZ6" s="191"/>
      <c r="UTB6" s="191"/>
      <c r="UTC6" s="191"/>
      <c r="UTD6" s="191"/>
      <c r="UTF6" s="191"/>
      <c r="UTG6" s="191"/>
      <c r="UTH6" s="191"/>
      <c r="UTJ6" s="191"/>
      <c r="UTK6" s="191"/>
      <c r="UTL6" s="191"/>
      <c r="UTN6" s="191"/>
      <c r="UTO6" s="191"/>
      <c r="UTP6" s="191"/>
      <c r="UTR6" s="191"/>
      <c r="UTS6" s="191"/>
      <c r="UTT6" s="191"/>
      <c r="UTV6" s="191"/>
      <c r="UTW6" s="191"/>
      <c r="UTX6" s="191"/>
      <c r="UTZ6" s="191"/>
      <c r="UUA6" s="191"/>
      <c r="UUB6" s="191"/>
      <c r="UUD6" s="191"/>
      <c r="UUE6" s="191"/>
      <c r="UUF6" s="191"/>
      <c r="UUH6" s="191"/>
      <c r="UUI6" s="191"/>
      <c r="UUJ6" s="191"/>
      <c r="UUL6" s="191"/>
      <c r="UUM6" s="191"/>
      <c r="UUN6" s="191"/>
      <c r="UUP6" s="191"/>
      <c r="UUQ6" s="191"/>
      <c r="UUR6" s="191"/>
      <c r="UUT6" s="191"/>
      <c r="UUU6" s="191"/>
      <c r="UUV6" s="191"/>
      <c r="UUX6" s="191"/>
      <c r="UUY6" s="191"/>
      <c r="UUZ6" s="191"/>
      <c r="UVB6" s="191"/>
      <c r="UVC6" s="191"/>
      <c r="UVD6" s="191"/>
      <c r="UVF6" s="191"/>
      <c r="UVG6" s="191"/>
      <c r="UVH6" s="191"/>
      <c r="UVJ6" s="191"/>
      <c r="UVK6" s="191"/>
      <c r="UVL6" s="191"/>
      <c r="UVN6" s="191"/>
      <c r="UVO6" s="191"/>
      <c r="UVP6" s="191"/>
      <c r="UVR6" s="191"/>
      <c r="UVS6" s="191"/>
      <c r="UVT6" s="191"/>
      <c r="UVV6" s="191"/>
      <c r="UVW6" s="191"/>
      <c r="UVX6" s="191"/>
      <c r="UVZ6" s="191"/>
      <c r="UWA6" s="191"/>
      <c r="UWB6" s="191"/>
      <c r="UWD6" s="191"/>
      <c r="UWE6" s="191"/>
      <c r="UWF6" s="191"/>
      <c r="UWH6" s="191"/>
      <c r="UWI6" s="191"/>
      <c r="UWJ6" s="191"/>
      <c r="UWL6" s="191"/>
      <c r="UWM6" s="191"/>
      <c r="UWN6" s="191"/>
      <c r="UWP6" s="191"/>
      <c r="UWQ6" s="191"/>
      <c r="UWR6" s="191"/>
      <c r="UWT6" s="191"/>
      <c r="UWU6" s="191"/>
      <c r="UWV6" s="191"/>
      <c r="UWX6" s="191"/>
      <c r="UWY6" s="191"/>
      <c r="UWZ6" s="191"/>
      <c r="UXB6" s="191"/>
      <c r="UXC6" s="191"/>
      <c r="UXD6" s="191"/>
      <c r="UXF6" s="191"/>
      <c r="UXG6" s="191"/>
      <c r="UXH6" s="191"/>
      <c r="UXJ6" s="191"/>
      <c r="UXK6" s="191"/>
      <c r="UXL6" s="191"/>
      <c r="UXN6" s="191"/>
      <c r="UXO6" s="191"/>
      <c r="UXP6" s="191"/>
      <c r="UXR6" s="191"/>
      <c r="UXS6" s="191"/>
      <c r="UXT6" s="191"/>
      <c r="UXV6" s="191"/>
      <c r="UXW6" s="191"/>
      <c r="UXX6" s="191"/>
      <c r="UXZ6" s="191"/>
      <c r="UYA6" s="191"/>
      <c r="UYB6" s="191"/>
      <c r="UYD6" s="191"/>
      <c r="UYE6" s="191"/>
      <c r="UYF6" s="191"/>
      <c r="UYH6" s="191"/>
      <c r="UYI6" s="191"/>
      <c r="UYJ6" s="191"/>
      <c r="UYL6" s="191"/>
      <c r="UYM6" s="191"/>
      <c r="UYN6" s="191"/>
      <c r="UYP6" s="191"/>
      <c r="UYQ6" s="191"/>
      <c r="UYR6" s="191"/>
      <c r="UYT6" s="191"/>
      <c r="UYU6" s="191"/>
      <c r="UYV6" s="191"/>
      <c r="UYX6" s="191"/>
      <c r="UYY6" s="191"/>
      <c r="UYZ6" s="191"/>
      <c r="UZB6" s="191"/>
      <c r="UZC6" s="191"/>
      <c r="UZD6" s="191"/>
      <c r="UZF6" s="191"/>
      <c r="UZG6" s="191"/>
      <c r="UZH6" s="191"/>
      <c r="UZJ6" s="191"/>
      <c r="UZK6" s="191"/>
      <c r="UZL6" s="191"/>
      <c r="UZN6" s="191"/>
      <c r="UZO6" s="191"/>
      <c r="UZP6" s="191"/>
      <c r="UZR6" s="191"/>
      <c r="UZS6" s="191"/>
      <c r="UZT6" s="191"/>
      <c r="UZV6" s="191"/>
      <c r="UZW6" s="191"/>
      <c r="UZX6" s="191"/>
      <c r="UZZ6" s="191"/>
      <c r="VAA6" s="191"/>
      <c r="VAB6" s="191"/>
      <c r="VAD6" s="191"/>
      <c r="VAE6" s="191"/>
      <c r="VAF6" s="191"/>
      <c r="VAH6" s="191"/>
      <c r="VAI6" s="191"/>
      <c r="VAJ6" s="191"/>
      <c r="VAL6" s="191"/>
      <c r="VAM6" s="191"/>
      <c r="VAN6" s="191"/>
      <c r="VAP6" s="191"/>
      <c r="VAQ6" s="191"/>
      <c r="VAR6" s="191"/>
      <c r="VAT6" s="191"/>
      <c r="VAU6" s="191"/>
      <c r="VAV6" s="191"/>
      <c r="VAX6" s="191"/>
      <c r="VAY6" s="191"/>
      <c r="VAZ6" s="191"/>
      <c r="VBB6" s="191"/>
      <c r="VBC6" s="191"/>
      <c r="VBD6" s="191"/>
      <c r="VBF6" s="191"/>
      <c r="VBG6" s="191"/>
      <c r="VBH6" s="191"/>
      <c r="VBJ6" s="191"/>
      <c r="VBK6" s="191"/>
      <c r="VBL6" s="191"/>
      <c r="VBN6" s="191"/>
      <c r="VBO6" s="191"/>
      <c r="VBP6" s="191"/>
      <c r="VBR6" s="191"/>
      <c r="VBS6" s="191"/>
      <c r="VBT6" s="191"/>
      <c r="VBV6" s="191"/>
      <c r="VBW6" s="191"/>
      <c r="VBX6" s="191"/>
      <c r="VBZ6" s="191"/>
      <c r="VCA6" s="191"/>
      <c r="VCB6" s="191"/>
      <c r="VCD6" s="191"/>
      <c r="VCE6" s="191"/>
      <c r="VCF6" s="191"/>
      <c r="VCH6" s="191"/>
      <c r="VCI6" s="191"/>
      <c r="VCJ6" s="191"/>
      <c r="VCL6" s="191"/>
      <c r="VCM6" s="191"/>
      <c r="VCN6" s="191"/>
      <c r="VCP6" s="191"/>
      <c r="VCQ6" s="191"/>
      <c r="VCR6" s="191"/>
      <c r="VCT6" s="191"/>
      <c r="VCU6" s="191"/>
      <c r="VCV6" s="191"/>
      <c r="VCX6" s="191"/>
      <c r="VCY6" s="191"/>
      <c r="VCZ6" s="191"/>
      <c r="VDB6" s="191"/>
      <c r="VDC6" s="191"/>
      <c r="VDD6" s="191"/>
      <c r="VDF6" s="191"/>
      <c r="VDG6" s="191"/>
      <c r="VDH6" s="191"/>
      <c r="VDJ6" s="191"/>
      <c r="VDK6" s="191"/>
      <c r="VDL6" s="191"/>
      <c r="VDN6" s="191"/>
      <c r="VDO6" s="191"/>
      <c r="VDP6" s="191"/>
      <c r="VDR6" s="191"/>
      <c r="VDS6" s="191"/>
      <c r="VDT6" s="191"/>
      <c r="VDV6" s="191"/>
      <c r="VDW6" s="191"/>
      <c r="VDX6" s="191"/>
      <c r="VDZ6" s="191"/>
      <c r="VEA6" s="191"/>
      <c r="VEB6" s="191"/>
      <c r="VED6" s="191"/>
      <c r="VEE6" s="191"/>
      <c r="VEF6" s="191"/>
      <c r="VEH6" s="191"/>
      <c r="VEI6" s="191"/>
      <c r="VEJ6" s="191"/>
      <c r="VEL6" s="191"/>
      <c r="VEM6" s="191"/>
      <c r="VEN6" s="191"/>
      <c r="VEP6" s="191"/>
      <c r="VEQ6" s="191"/>
      <c r="VER6" s="191"/>
      <c r="VET6" s="191"/>
      <c r="VEU6" s="191"/>
      <c r="VEV6" s="191"/>
      <c r="VEX6" s="191"/>
      <c r="VEY6" s="191"/>
      <c r="VEZ6" s="191"/>
      <c r="VFB6" s="191"/>
      <c r="VFC6" s="191"/>
      <c r="VFD6" s="191"/>
      <c r="VFF6" s="191"/>
      <c r="VFG6" s="191"/>
      <c r="VFH6" s="191"/>
      <c r="VFJ6" s="191"/>
      <c r="VFK6" s="191"/>
      <c r="VFL6" s="191"/>
      <c r="VFN6" s="191"/>
      <c r="VFO6" s="191"/>
      <c r="VFP6" s="191"/>
      <c r="VFR6" s="191"/>
      <c r="VFS6" s="191"/>
      <c r="VFT6" s="191"/>
      <c r="VFV6" s="191"/>
      <c r="VFW6" s="191"/>
      <c r="VFX6" s="191"/>
      <c r="VFZ6" s="191"/>
      <c r="VGA6" s="191"/>
      <c r="VGB6" s="191"/>
      <c r="VGD6" s="191"/>
      <c r="VGE6" s="191"/>
      <c r="VGF6" s="191"/>
      <c r="VGH6" s="191"/>
      <c r="VGI6" s="191"/>
      <c r="VGJ6" s="191"/>
      <c r="VGL6" s="191"/>
      <c r="VGM6" s="191"/>
      <c r="VGN6" s="191"/>
      <c r="VGP6" s="191"/>
      <c r="VGQ6" s="191"/>
      <c r="VGR6" s="191"/>
      <c r="VGT6" s="191"/>
      <c r="VGU6" s="191"/>
      <c r="VGV6" s="191"/>
      <c r="VGX6" s="191"/>
      <c r="VGY6" s="191"/>
      <c r="VGZ6" s="191"/>
      <c r="VHB6" s="191"/>
      <c r="VHC6" s="191"/>
      <c r="VHD6" s="191"/>
      <c r="VHF6" s="191"/>
      <c r="VHG6" s="191"/>
      <c r="VHH6" s="191"/>
      <c r="VHJ6" s="191"/>
      <c r="VHK6" s="191"/>
      <c r="VHL6" s="191"/>
      <c r="VHN6" s="191"/>
      <c r="VHO6" s="191"/>
      <c r="VHP6" s="191"/>
      <c r="VHR6" s="191"/>
      <c r="VHS6" s="191"/>
      <c r="VHT6" s="191"/>
      <c r="VHV6" s="191"/>
      <c r="VHW6" s="191"/>
      <c r="VHX6" s="191"/>
      <c r="VHZ6" s="191"/>
      <c r="VIA6" s="191"/>
      <c r="VIB6" s="191"/>
      <c r="VID6" s="191"/>
      <c r="VIE6" s="191"/>
      <c r="VIF6" s="191"/>
      <c r="VIH6" s="191"/>
      <c r="VII6" s="191"/>
      <c r="VIJ6" s="191"/>
      <c r="VIL6" s="191"/>
      <c r="VIM6" s="191"/>
      <c r="VIN6" s="191"/>
      <c r="VIP6" s="191"/>
      <c r="VIQ6" s="191"/>
      <c r="VIR6" s="191"/>
      <c r="VIT6" s="191"/>
      <c r="VIU6" s="191"/>
      <c r="VIV6" s="191"/>
      <c r="VIX6" s="191"/>
      <c r="VIY6" s="191"/>
      <c r="VIZ6" s="191"/>
      <c r="VJB6" s="191"/>
      <c r="VJC6" s="191"/>
      <c r="VJD6" s="191"/>
      <c r="VJF6" s="191"/>
      <c r="VJG6" s="191"/>
      <c r="VJH6" s="191"/>
      <c r="VJJ6" s="191"/>
      <c r="VJK6" s="191"/>
      <c r="VJL6" s="191"/>
      <c r="VJN6" s="191"/>
      <c r="VJO6" s="191"/>
      <c r="VJP6" s="191"/>
      <c r="VJR6" s="191"/>
      <c r="VJS6" s="191"/>
      <c r="VJT6" s="191"/>
      <c r="VJV6" s="191"/>
      <c r="VJW6" s="191"/>
      <c r="VJX6" s="191"/>
      <c r="VJZ6" s="191"/>
      <c r="VKA6" s="191"/>
      <c r="VKB6" s="191"/>
      <c r="VKD6" s="191"/>
      <c r="VKE6" s="191"/>
      <c r="VKF6" s="191"/>
      <c r="VKH6" s="191"/>
      <c r="VKI6" s="191"/>
      <c r="VKJ6" s="191"/>
      <c r="VKL6" s="191"/>
      <c r="VKM6" s="191"/>
      <c r="VKN6" s="191"/>
      <c r="VKP6" s="191"/>
      <c r="VKQ6" s="191"/>
      <c r="VKR6" s="191"/>
      <c r="VKT6" s="191"/>
      <c r="VKU6" s="191"/>
      <c r="VKV6" s="191"/>
      <c r="VKX6" s="191"/>
      <c r="VKY6" s="191"/>
      <c r="VKZ6" s="191"/>
      <c r="VLB6" s="191"/>
      <c r="VLC6" s="191"/>
      <c r="VLD6" s="191"/>
      <c r="VLF6" s="191"/>
      <c r="VLG6" s="191"/>
      <c r="VLH6" s="191"/>
      <c r="VLJ6" s="191"/>
      <c r="VLK6" s="191"/>
      <c r="VLL6" s="191"/>
      <c r="VLN6" s="191"/>
      <c r="VLO6" s="191"/>
      <c r="VLP6" s="191"/>
      <c r="VLR6" s="191"/>
      <c r="VLS6" s="191"/>
      <c r="VLT6" s="191"/>
      <c r="VLV6" s="191"/>
      <c r="VLW6" s="191"/>
      <c r="VLX6" s="191"/>
      <c r="VLZ6" s="191"/>
      <c r="VMA6" s="191"/>
      <c r="VMB6" s="191"/>
      <c r="VMD6" s="191"/>
      <c r="VME6" s="191"/>
      <c r="VMF6" s="191"/>
      <c r="VMH6" s="191"/>
      <c r="VMI6" s="191"/>
      <c r="VMJ6" s="191"/>
      <c r="VML6" s="191"/>
      <c r="VMM6" s="191"/>
      <c r="VMN6" s="191"/>
      <c r="VMP6" s="191"/>
      <c r="VMQ6" s="191"/>
      <c r="VMR6" s="191"/>
      <c r="VMT6" s="191"/>
      <c r="VMU6" s="191"/>
      <c r="VMV6" s="191"/>
      <c r="VMX6" s="191"/>
      <c r="VMY6" s="191"/>
      <c r="VMZ6" s="191"/>
      <c r="VNB6" s="191"/>
      <c r="VNC6" s="191"/>
      <c r="VND6" s="191"/>
      <c r="VNF6" s="191"/>
      <c r="VNG6" s="191"/>
      <c r="VNH6" s="191"/>
      <c r="VNJ6" s="191"/>
      <c r="VNK6" s="191"/>
      <c r="VNL6" s="191"/>
      <c r="VNN6" s="191"/>
      <c r="VNO6" s="191"/>
      <c r="VNP6" s="191"/>
      <c r="VNR6" s="191"/>
      <c r="VNS6" s="191"/>
      <c r="VNT6" s="191"/>
      <c r="VNV6" s="191"/>
      <c r="VNW6" s="191"/>
      <c r="VNX6" s="191"/>
      <c r="VNZ6" s="191"/>
      <c r="VOA6" s="191"/>
      <c r="VOB6" s="191"/>
      <c r="VOD6" s="191"/>
      <c r="VOE6" s="191"/>
      <c r="VOF6" s="191"/>
      <c r="VOH6" s="191"/>
      <c r="VOI6" s="191"/>
      <c r="VOJ6" s="191"/>
      <c r="VOL6" s="191"/>
      <c r="VOM6" s="191"/>
      <c r="VON6" s="191"/>
      <c r="VOP6" s="191"/>
      <c r="VOQ6" s="191"/>
      <c r="VOR6" s="191"/>
      <c r="VOT6" s="191"/>
      <c r="VOU6" s="191"/>
      <c r="VOV6" s="191"/>
      <c r="VOX6" s="191"/>
      <c r="VOY6" s="191"/>
      <c r="VOZ6" s="191"/>
      <c r="VPB6" s="191"/>
      <c r="VPC6" s="191"/>
      <c r="VPD6" s="191"/>
      <c r="VPF6" s="191"/>
      <c r="VPG6" s="191"/>
      <c r="VPH6" s="191"/>
      <c r="VPJ6" s="191"/>
      <c r="VPK6" s="191"/>
      <c r="VPL6" s="191"/>
      <c r="VPN6" s="191"/>
      <c r="VPO6" s="191"/>
      <c r="VPP6" s="191"/>
      <c r="VPR6" s="191"/>
      <c r="VPS6" s="191"/>
      <c r="VPT6" s="191"/>
      <c r="VPV6" s="191"/>
      <c r="VPW6" s="191"/>
      <c r="VPX6" s="191"/>
      <c r="VPZ6" s="191"/>
      <c r="VQA6" s="191"/>
      <c r="VQB6" s="191"/>
      <c r="VQD6" s="191"/>
      <c r="VQE6" s="191"/>
      <c r="VQF6" s="191"/>
      <c r="VQH6" s="191"/>
      <c r="VQI6" s="191"/>
      <c r="VQJ6" s="191"/>
      <c r="VQL6" s="191"/>
      <c r="VQM6" s="191"/>
      <c r="VQN6" s="191"/>
      <c r="VQP6" s="191"/>
      <c r="VQQ6" s="191"/>
      <c r="VQR6" s="191"/>
      <c r="VQT6" s="191"/>
      <c r="VQU6" s="191"/>
      <c r="VQV6" s="191"/>
      <c r="VQX6" s="191"/>
      <c r="VQY6" s="191"/>
      <c r="VQZ6" s="191"/>
      <c r="VRB6" s="191"/>
      <c r="VRC6" s="191"/>
      <c r="VRD6" s="191"/>
      <c r="VRF6" s="191"/>
      <c r="VRG6" s="191"/>
      <c r="VRH6" s="191"/>
      <c r="VRJ6" s="191"/>
      <c r="VRK6" s="191"/>
      <c r="VRL6" s="191"/>
      <c r="VRN6" s="191"/>
      <c r="VRO6" s="191"/>
      <c r="VRP6" s="191"/>
      <c r="VRR6" s="191"/>
      <c r="VRS6" s="191"/>
      <c r="VRT6" s="191"/>
      <c r="VRV6" s="191"/>
      <c r="VRW6" s="191"/>
      <c r="VRX6" s="191"/>
      <c r="VRZ6" s="191"/>
      <c r="VSA6" s="191"/>
      <c r="VSB6" s="191"/>
      <c r="VSD6" s="191"/>
      <c r="VSE6" s="191"/>
      <c r="VSF6" s="191"/>
      <c r="VSH6" s="191"/>
      <c r="VSI6" s="191"/>
      <c r="VSJ6" s="191"/>
      <c r="VSL6" s="191"/>
      <c r="VSM6" s="191"/>
      <c r="VSN6" s="191"/>
      <c r="VSP6" s="191"/>
      <c r="VSQ6" s="191"/>
      <c r="VSR6" s="191"/>
      <c r="VST6" s="191"/>
      <c r="VSU6" s="191"/>
      <c r="VSV6" s="191"/>
      <c r="VSX6" s="191"/>
      <c r="VSY6" s="191"/>
      <c r="VSZ6" s="191"/>
      <c r="VTB6" s="191"/>
      <c r="VTC6" s="191"/>
      <c r="VTD6" s="191"/>
      <c r="VTF6" s="191"/>
      <c r="VTG6" s="191"/>
      <c r="VTH6" s="191"/>
      <c r="VTJ6" s="191"/>
      <c r="VTK6" s="191"/>
      <c r="VTL6" s="191"/>
      <c r="VTN6" s="191"/>
      <c r="VTO6" s="191"/>
      <c r="VTP6" s="191"/>
      <c r="VTR6" s="191"/>
      <c r="VTS6" s="191"/>
      <c r="VTT6" s="191"/>
      <c r="VTV6" s="191"/>
      <c r="VTW6" s="191"/>
      <c r="VTX6" s="191"/>
      <c r="VTZ6" s="191"/>
      <c r="VUA6" s="191"/>
      <c r="VUB6" s="191"/>
      <c r="VUD6" s="191"/>
      <c r="VUE6" s="191"/>
      <c r="VUF6" s="191"/>
      <c r="VUH6" s="191"/>
      <c r="VUI6" s="191"/>
      <c r="VUJ6" s="191"/>
      <c r="VUL6" s="191"/>
      <c r="VUM6" s="191"/>
      <c r="VUN6" s="191"/>
      <c r="VUP6" s="191"/>
      <c r="VUQ6" s="191"/>
      <c r="VUR6" s="191"/>
      <c r="VUT6" s="191"/>
      <c r="VUU6" s="191"/>
      <c r="VUV6" s="191"/>
      <c r="VUX6" s="191"/>
      <c r="VUY6" s="191"/>
      <c r="VUZ6" s="191"/>
      <c r="VVB6" s="191"/>
      <c r="VVC6" s="191"/>
      <c r="VVD6" s="191"/>
      <c r="VVF6" s="191"/>
      <c r="VVG6" s="191"/>
      <c r="VVH6" s="191"/>
      <c r="VVJ6" s="191"/>
      <c r="VVK6" s="191"/>
      <c r="VVL6" s="191"/>
      <c r="VVN6" s="191"/>
      <c r="VVO6" s="191"/>
      <c r="VVP6" s="191"/>
      <c r="VVR6" s="191"/>
      <c r="VVS6" s="191"/>
      <c r="VVT6" s="191"/>
      <c r="VVV6" s="191"/>
      <c r="VVW6" s="191"/>
      <c r="VVX6" s="191"/>
      <c r="VVZ6" s="191"/>
      <c r="VWA6" s="191"/>
      <c r="VWB6" s="191"/>
      <c r="VWD6" s="191"/>
      <c r="VWE6" s="191"/>
      <c r="VWF6" s="191"/>
      <c r="VWH6" s="191"/>
      <c r="VWI6" s="191"/>
      <c r="VWJ6" s="191"/>
      <c r="VWL6" s="191"/>
      <c r="VWM6" s="191"/>
      <c r="VWN6" s="191"/>
      <c r="VWP6" s="191"/>
      <c r="VWQ6" s="191"/>
      <c r="VWR6" s="191"/>
      <c r="VWT6" s="191"/>
      <c r="VWU6" s="191"/>
      <c r="VWV6" s="191"/>
      <c r="VWX6" s="191"/>
      <c r="VWY6" s="191"/>
      <c r="VWZ6" s="191"/>
      <c r="VXB6" s="191"/>
      <c r="VXC6" s="191"/>
      <c r="VXD6" s="191"/>
      <c r="VXF6" s="191"/>
      <c r="VXG6" s="191"/>
      <c r="VXH6" s="191"/>
      <c r="VXJ6" s="191"/>
      <c r="VXK6" s="191"/>
      <c r="VXL6" s="191"/>
      <c r="VXN6" s="191"/>
      <c r="VXO6" s="191"/>
      <c r="VXP6" s="191"/>
      <c r="VXR6" s="191"/>
      <c r="VXS6" s="191"/>
      <c r="VXT6" s="191"/>
      <c r="VXV6" s="191"/>
      <c r="VXW6" s="191"/>
      <c r="VXX6" s="191"/>
      <c r="VXZ6" s="191"/>
      <c r="VYA6" s="191"/>
      <c r="VYB6" s="191"/>
      <c r="VYD6" s="191"/>
      <c r="VYE6" s="191"/>
      <c r="VYF6" s="191"/>
      <c r="VYH6" s="191"/>
      <c r="VYI6" s="191"/>
      <c r="VYJ6" s="191"/>
      <c r="VYL6" s="191"/>
      <c r="VYM6" s="191"/>
      <c r="VYN6" s="191"/>
      <c r="VYP6" s="191"/>
      <c r="VYQ6" s="191"/>
      <c r="VYR6" s="191"/>
      <c r="VYT6" s="191"/>
      <c r="VYU6" s="191"/>
      <c r="VYV6" s="191"/>
      <c r="VYX6" s="191"/>
      <c r="VYY6" s="191"/>
      <c r="VYZ6" s="191"/>
      <c r="VZB6" s="191"/>
      <c r="VZC6" s="191"/>
      <c r="VZD6" s="191"/>
      <c r="VZF6" s="191"/>
      <c r="VZG6" s="191"/>
      <c r="VZH6" s="191"/>
      <c r="VZJ6" s="191"/>
      <c r="VZK6" s="191"/>
      <c r="VZL6" s="191"/>
      <c r="VZN6" s="191"/>
      <c r="VZO6" s="191"/>
      <c r="VZP6" s="191"/>
      <c r="VZR6" s="191"/>
      <c r="VZS6" s="191"/>
      <c r="VZT6" s="191"/>
      <c r="VZV6" s="191"/>
      <c r="VZW6" s="191"/>
      <c r="VZX6" s="191"/>
      <c r="VZZ6" s="191"/>
      <c r="WAA6" s="191"/>
      <c r="WAB6" s="191"/>
      <c r="WAD6" s="191"/>
      <c r="WAE6" s="191"/>
      <c r="WAF6" s="191"/>
      <c r="WAH6" s="191"/>
      <c r="WAI6" s="191"/>
      <c r="WAJ6" s="191"/>
      <c r="WAL6" s="191"/>
      <c r="WAM6" s="191"/>
      <c r="WAN6" s="191"/>
      <c r="WAP6" s="191"/>
      <c r="WAQ6" s="191"/>
      <c r="WAR6" s="191"/>
      <c r="WAT6" s="191"/>
      <c r="WAU6" s="191"/>
      <c r="WAV6" s="191"/>
      <c r="WAX6" s="191"/>
      <c r="WAY6" s="191"/>
      <c r="WAZ6" s="191"/>
      <c r="WBB6" s="191"/>
      <c r="WBC6" s="191"/>
      <c r="WBD6" s="191"/>
      <c r="WBF6" s="191"/>
      <c r="WBG6" s="191"/>
      <c r="WBH6" s="191"/>
      <c r="WBJ6" s="191"/>
      <c r="WBK6" s="191"/>
      <c r="WBL6" s="191"/>
      <c r="WBN6" s="191"/>
      <c r="WBO6" s="191"/>
      <c r="WBP6" s="191"/>
      <c r="WBR6" s="191"/>
      <c r="WBS6" s="191"/>
      <c r="WBT6" s="191"/>
      <c r="WBV6" s="191"/>
      <c r="WBW6" s="191"/>
      <c r="WBX6" s="191"/>
      <c r="WBZ6" s="191"/>
      <c r="WCA6" s="191"/>
      <c r="WCB6" s="191"/>
      <c r="WCD6" s="191"/>
      <c r="WCE6" s="191"/>
      <c r="WCF6" s="191"/>
      <c r="WCH6" s="191"/>
      <c r="WCI6" s="191"/>
      <c r="WCJ6" s="191"/>
      <c r="WCL6" s="191"/>
      <c r="WCM6" s="191"/>
      <c r="WCN6" s="191"/>
      <c r="WCP6" s="191"/>
      <c r="WCQ6" s="191"/>
      <c r="WCR6" s="191"/>
      <c r="WCT6" s="191"/>
      <c r="WCU6" s="191"/>
      <c r="WCV6" s="191"/>
      <c r="WCX6" s="191"/>
      <c r="WCY6" s="191"/>
      <c r="WCZ6" s="191"/>
      <c r="WDB6" s="191"/>
      <c r="WDC6" s="191"/>
      <c r="WDD6" s="191"/>
      <c r="WDF6" s="191"/>
      <c r="WDG6" s="191"/>
      <c r="WDH6" s="191"/>
      <c r="WDJ6" s="191"/>
      <c r="WDK6" s="191"/>
      <c r="WDL6" s="191"/>
      <c r="WDN6" s="191"/>
      <c r="WDO6" s="191"/>
      <c r="WDP6" s="191"/>
      <c r="WDR6" s="191"/>
      <c r="WDS6" s="191"/>
      <c r="WDT6" s="191"/>
      <c r="WDV6" s="191"/>
      <c r="WDW6" s="191"/>
      <c r="WDX6" s="191"/>
      <c r="WDZ6" s="191"/>
      <c r="WEA6" s="191"/>
      <c r="WEB6" s="191"/>
      <c r="WED6" s="191"/>
      <c r="WEE6" s="191"/>
      <c r="WEF6" s="191"/>
      <c r="WEH6" s="191"/>
      <c r="WEI6" s="191"/>
      <c r="WEJ6" s="191"/>
      <c r="WEL6" s="191"/>
      <c r="WEM6" s="191"/>
      <c r="WEN6" s="191"/>
      <c r="WEP6" s="191"/>
      <c r="WEQ6" s="191"/>
      <c r="WER6" s="191"/>
      <c r="WET6" s="191"/>
      <c r="WEU6" s="191"/>
      <c r="WEV6" s="191"/>
      <c r="WEX6" s="191"/>
      <c r="WEY6" s="191"/>
      <c r="WEZ6" s="191"/>
      <c r="WFB6" s="191"/>
      <c r="WFC6" s="191"/>
      <c r="WFD6" s="191"/>
      <c r="WFF6" s="191"/>
      <c r="WFG6" s="191"/>
      <c r="WFH6" s="191"/>
      <c r="WFJ6" s="191"/>
      <c r="WFK6" s="191"/>
      <c r="WFL6" s="191"/>
      <c r="WFN6" s="191"/>
      <c r="WFO6" s="191"/>
      <c r="WFP6" s="191"/>
      <c r="WFR6" s="191"/>
      <c r="WFS6" s="191"/>
      <c r="WFT6" s="191"/>
      <c r="WFV6" s="191"/>
      <c r="WFW6" s="191"/>
      <c r="WFX6" s="191"/>
      <c r="WFZ6" s="191"/>
      <c r="WGA6" s="191"/>
      <c r="WGB6" s="191"/>
      <c r="WGD6" s="191"/>
      <c r="WGE6" s="191"/>
      <c r="WGF6" s="191"/>
      <c r="WGH6" s="191"/>
      <c r="WGI6" s="191"/>
      <c r="WGJ6" s="191"/>
      <c r="WGL6" s="191"/>
      <c r="WGM6" s="191"/>
      <c r="WGN6" s="191"/>
      <c r="WGP6" s="191"/>
      <c r="WGQ6" s="191"/>
      <c r="WGR6" s="191"/>
      <c r="WGT6" s="191"/>
      <c r="WGU6" s="191"/>
      <c r="WGV6" s="191"/>
      <c r="WGX6" s="191"/>
      <c r="WGY6" s="191"/>
      <c r="WGZ6" s="191"/>
      <c r="WHB6" s="191"/>
      <c r="WHC6" s="191"/>
      <c r="WHD6" s="191"/>
      <c r="WHF6" s="191"/>
      <c r="WHG6" s="191"/>
      <c r="WHH6" s="191"/>
      <c r="WHJ6" s="191"/>
      <c r="WHK6" s="191"/>
      <c r="WHL6" s="191"/>
      <c r="WHN6" s="191"/>
      <c r="WHO6" s="191"/>
      <c r="WHP6" s="191"/>
      <c r="WHR6" s="191"/>
      <c r="WHS6" s="191"/>
      <c r="WHT6" s="191"/>
      <c r="WHV6" s="191"/>
      <c r="WHW6" s="191"/>
      <c r="WHX6" s="191"/>
      <c r="WHZ6" s="191"/>
      <c r="WIA6" s="191"/>
      <c r="WIB6" s="191"/>
      <c r="WID6" s="191"/>
      <c r="WIE6" s="191"/>
      <c r="WIF6" s="191"/>
      <c r="WIH6" s="191"/>
      <c r="WII6" s="191"/>
      <c r="WIJ6" s="191"/>
      <c r="WIL6" s="191"/>
      <c r="WIM6" s="191"/>
      <c r="WIN6" s="191"/>
      <c r="WIP6" s="191"/>
      <c r="WIQ6" s="191"/>
      <c r="WIR6" s="191"/>
      <c r="WIT6" s="191"/>
      <c r="WIU6" s="191"/>
      <c r="WIV6" s="191"/>
      <c r="WIX6" s="191"/>
      <c r="WIY6" s="191"/>
      <c r="WIZ6" s="191"/>
      <c r="WJB6" s="191"/>
      <c r="WJC6" s="191"/>
      <c r="WJD6" s="191"/>
      <c r="WJF6" s="191"/>
      <c r="WJG6" s="191"/>
      <c r="WJH6" s="191"/>
      <c r="WJJ6" s="191"/>
      <c r="WJK6" s="191"/>
      <c r="WJL6" s="191"/>
      <c r="WJN6" s="191"/>
      <c r="WJO6" s="191"/>
      <c r="WJP6" s="191"/>
      <c r="WJR6" s="191"/>
      <c r="WJS6" s="191"/>
      <c r="WJT6" s="191"/>
      <c r="WJV6" s="191"/>
      <c r="WJW6" s="191"/>
      <c r="WJX6" s="191"/>
      <c r="WJZ6" s="191"/>
      <c r="WKA6" s="191"/>
      <c r="WKB6" s="191"/>
      <c r="WKD6" s="191"/>
      <c r="WKE6" s="191"/>
      <c r="WKF6" s="191"/>
      <c r="WKH6" s="191"/>
      <c r="WKI6" s="191"/>
      <c r="WKJ6" s="191"/>
      <c r="WKL6" s="191"/>
      <c r="WKM6" s="191"/>
      <c r="WKN6" s="191"/>
      <c r="WKP6" s="191"/>
      <c r="WKQ6" s="191"/>
      <c r="WKR6" s="191"/>
      <c r="WKT6" s="191"/>
      <c r="WKU6" s="191"/>
      <c r="WKV6" s="191"/>
      <c r="WKX6" s="191"/>
      <c r="WKY6" s="191"/>
      <c r="WKZ6" s="191"/>
      <c r="WLB6" s="191"/>
      <c r="WLC6" s="191"/>
      <c r="WLD6" s="191"/>
      <c r="WLF6" s="191"/>
      <c r="WLG6" s="191"/>
      <c r="WLH6" s="191"/>
      <c r="WLJ6" s="191"/>
      <c r="WLK6" s="191"/>
      <c r="WLL6" s="191"/>
      <c r="WLN6" s="191"/>
      <c r="WLO6" s="191"/>
      <c r="WLP6" s="191"/>
      <c r="WLR6" s="191"/>
      <c r="WLS6" s="191"/>
      <c r="WLT6" s="191"/>
      <c r="WLV6" s="191"/>
      <c r="WLW6" s="191"/>
      <c r="WLX6" s="191"/>
      <c r="WLZ6" s="191"/>
      <c r="WMA6" s="191"/>
      <c r="WMB6" s="191"/>
      <c r="WMD6" s="191"/>
      <c r="WME6" s="191"/>
      <c r="WMF6" s="191"/>
      <c r="WMH6" s="191"/>
      <c r="WMI6" s="191"/>
      <c r="WMJ6" s="191"/>
      <c r="WML6" s="191"/>
      <c r="WMM6" s="191"/>
      <c r="WMN6" s="191"/>
      <c r="WMP6" s="191"/>
      <c r="WMQ6" s="191"/>
      <c r="WMR6" s="191"/>
      <c r="WMT6" s="191"/>
      <c r="WMU6" s="191"/>
      <c r="WMV6" s="191"/>
      <c r="WMX6" s="191"/>
      <c r="WMY6" s="191"/>
      <c r="WMZ6" s="191"/>
      <c r="WNB6" s="191"/>
      <c r="WNC6" s="191"/>
      <c r="WND6" s="191"/>
      <c r="WNF6" s="191"/>
      <c r="WNG6" s="191"/>
      <c r="WNH6" s="191"/>
      <c r="WNJ6" s="191"/>
      <c r="WNK6" s="191"/>
      <c r="WNL6" s="191"/>
      <c r="WNN6" s="191"/>
      <c r="WNO6" s="191"/>
      <c r="WNP6" s="191"/>
      <c r="WNR6" s="191"/>
      <c r="WNS6" s="191"/>
      <c r="WNT6" s="191"/>
      <c r="WNV6" s="191"/>
      <c r="WNW6" s="191"/>
      <c r="WNX6" s="191"/>
      <c r="WNZ6" s="191"/>
      <c r="WOA6" s="191"/>
      <c r="WOB6" s="191"/>
      <c r="WOD6" s="191"/>
      <c r="WOE6" s="191"/>
      <c r="WOF6" s="191"/>
      <c r="WOH6" s="191"/>
      <c r="WOI6" s="191"/>
      <c r="WOJ6" s="191"/>
      <c r="WOL6" s="191"/>
      <c r="WOM6" s="191"/>
      <c r="WON6" s="191"/>
      <c r="WOP6" s="191"/>
      <c r="WOQ6" s="191"/>
      <c r="WOR6" s="191"/>
      <c r="WOT6" s="191"/>
      <c r="WOU6" s="191"/>
      <c r="WOV6" s="191"/>
      <c r="WOX6" s="191"/>
      <c r="WOY6" s="191"/>
      <c r="WOZ6" s="191"/>
      <c r="WPB6" s="191"/>
      <c r="WPC6" s="191"/>
      <c r="WPD6" s="191"/>
      <c r="WPF6" s="191"/>
      <c r="WPG6" s="191"/>
      <c r="WPH6" s="191"/>
      <c r="WPJ6" s="191"/>
      <c r="WPK6" s="191"/>
      <c r="WPL6" s="191"/>
      <c r="WPN6" s="191"/>
      <c r="WPO6" s="191"/>
      <c r="WPP6" s="191"/>
      <c r="WPR6" s="191"/>
      <c r="WPS6" s="191"/>
      <c r="WPT6" s="191"/>
      <c r="WPV6" s="191"/>
      <c r="WPW6" s="191"/>
      <c r="WPX6" s="191"/>
      <c r="WPZ6" s="191"/>
      <c r="WQA6" s="191"/>
      <c r="WQB6" s="191"/>
      <c r="WQD6" s="191"/>
      <c r="WQE6" s="191"/>
      <c r="WQF6" s="191"/>
      <c r="WQH6" s="191"/>
      <c r="WQI6" s="191"/>
      <c r="WQJ6" s="191"/>
      <c r="WQL6" s="191"/>
      <c r="WQM6" s="191"/>
      <c r="WQN6" s="191"/>
      <c r="WQP6" s="191"/>
      <c r="WQQ6" s="191"/>
      <c r="WQR6" s="191"/>
      <c r="WQT6" s="191"/>
      <c r="WQU6" s="191"/>
      <c r="WQV6" s="191"/>
      <c r="WQX6" s="191"/>
      <c r="WQY6" s="191"/>
      <c r="WQZ6" s="191"/>
      <c r="WRB6" s="191"/>
      <c r="WRC6" s="191"/>
      <c r="WRD6" s="191"/>
      <c r="WRF6" s="191"/>
      <c r="WRG6" s="191"/>
      <c r="WRH6" s="191"/>
      <c r="WRJ6" s="191"/>
      <c r="WRK6" s="191"/>
      <c r="WRL6" s="191"/>
      <c r="WRN6" s="191"/>
      <c r="WRO6" s="191"/>
      <c r="WRP6" s="191"/>
      <c r="WRR6" s="191"/>
      <c r="WRS6" s="191"/>
      <c r="WRT6" s="191"/>
      <c r="WRV6" s="191"/>
      <c r="WRW6" s="191"/>
      <c r="WRX6" s="191"/>
      <c r="WRZ6" s="191"/>
      <c r="WSA6" s="191"/>
      <c r="WSB6" s="191"/>
      <c r="WSD6" s="191"/>
      <c r="WSE6" s="191"/>
      <c r="WSF6" s="191"/>
      <c r="WSH6" s="191"/>
      <c r="WSI6" s="191"/>
      <c r="WSJ6" s="191"/>
      <c r="WSL6" s="191"/>
      <c r="WSM6" s="191"/>
      <c r="WSN6" s="191"/>
      <c r="WSP6" s="191"/>
      <c r="WSQ6" s="191"/>
      <c r="WSR6" s="191"/>
      <c r="WST6" s="191"/>
      <c r="WSU6" s="191"/>
      <c r="WSV6" s="191"/>
      <c r="WSX6" s="191"/>
      <c r="WSY6" s="191"/>
      <c r="WSZ6" s="191"/>
      <c r="WTB6" s="191"/>
      <c r="WTC6" s="191"/>
      <c r="WTD6" s="191"/>
      <c r="WTF6" s="191"/>
      <c r="WTG6" s="191"/>
      <c r="WTH6" s="191"/>
      <c r="WTJ6" s="191"/>
      <c r="WTK6" s="191"/>
      <c r="WTL6" s="191"/>
      <c r="WTN6" s="191"/>
      <c r="WTO6" s="191"/>
      <c r="WTP6" s="191"/>
      <c r="WTR6" s="191"/>
      <c r="WTS6" s="191"/>
      <c r="WTT6" s="191"/>
      <c r="WTV6" s="191"/>
      <c r="WTW6" s="191"/>
      <c r="WTX6" s="191"/>
      <c r="WTZ6" s="191"/>
      <c r="WUA6" s="191"/>
      <c r="WUB6" s="191"/>
      <c r="WUD6" s="191"/>
      <c r="WUE6" s="191"/>
      <c r="WUF6" s="191"/>
      <c r="WUH6" s="191"/>
      <c r="WUI6" s="191"/>
      <c r="WUJ6" s="191"/>
      <c r="WUL6" s="191"/>
      <c r="WUM6" s="191"/>
      <c r="WUN6" s="191"/>
      <c r="WUP6" s="191"/>
      <c r="WUQ6" s="191"/>
      <c r="WUR6" s="191"/>
      <c r="WUT6" s="191"/>
      <c r="WUU6" s="191"/>
      <c r="WUV6" s="191"/>
      <c r="WUX6" s="191"/>
      <c r="WUY6" s="191"/>
      <c r="WUZ6" s="191"/>
      <c r="WVB6" s="191"/>
      <c r="WVC6" s="191"/>
      <c r="WVD6" s="191"/>
      <c r="WVF6" s="191"/>
      <c r="WVG6" s="191"/>
      <c r="WVH6" s="191"/>
      <c r="WVJ6" s="191"/>
      <c r="WVK6" s="191"/>
      <c r="WVL6" s="191"/>
      <c r="WVN6" s="191"/>
      <c r="WVO6" s="191"/>
      <c r="WVP6" s="191"/>
      <c r="WVR6" s="191"/>
      <c r="WVS6" s="191"/>
      <c r="WVT6" s="191"/>
      <c r="WVV6" s="191"/>
      <c r="WVW6" s="191"/>
      <c r="WVX6" s="191"/>
      <c r="WVZ6" s="191"/>
      <c r="WWA6" s="191"/>
      <c r="WWB6" s="191"/>
      <c r="WWD6" s="191"/>
      <c r="WWE6" s="191"/>
      <c r="WWF6" s="191"/>
      <c r="WWH6" s="191"/>
      <c r="WWI6" s="191"/>
      <c r="WWJ6" s="191"/>
      <c r="WWL6" s="191"/>
      <c r="WWM6" s="191"/>
      <c r="WWN6" s="191"/>
      <c r="WWP6" s="191"/>
      <c r="WWQ6" s="191"/>
      <c r="WWR6" s="191"/>
      <c r="WWT6" s="191"/>
      <c r="WWU6" s="191"/>
      <c r="WWV6" s="191"/>
      <c r="WWX6" s="191"/>
      <c r="WWY6" s="191"/>
      <c r="WWZ6" s="191"/>
      <c r="WXB6" s="191"/>
      <c r="WXC6" s="191"/>
      <c r="WXD6" s="191"/>
      <c r="WXF6" s="191"/>
      <c r="WXG6" s="191"/>
      <c r="WXH6" s="191"/>
      <c r="WXJ6" s="191"/>
      <c r="WXK6" s="191"/>
      <c r="WXL6" s="191"/>
      <c r="WXN6" s="191"/>
      <c r="WXO6" s="191"/>
      <c r="WXP6" s="191"/>
      <c r="WXR6" s="191"/>
      <c r="WXS6" s="191"/>
      <c r="WXT6" s="191"/>
      <c r="WXV6" s="191"/>
      <c r="WXW6" s="191"/>
      <c r="WXX6" s="191"/>
      <c r="WXZ6" s="191"/>
      <c r="WYA6" s="191"/>
      <c r="WYB6" s="191"/>
      <c r="WYD6" s="191"/>
      <c r="WYE6" s="191"/>
      <c r="WYF6" s="191"/>
      <c r="WYH6" s="191"/>
      <c r="WYI6" s="191"/>
      <c r="WYJ6" s="191"/>
      <c r="WYL6" s="191"/>
      <c r="WYM6" s="191"/>
      <c r="WYN6" s="191"/>
      <c r="WYP6" s="191"/>
      <c r="WYQ6" s="191"/>
      <c r="WYR6" s="191"/>
      <c r="WYT6" s="191"/>
      <c r="WYU6" s="191"/>
      <c r="WYV6" s="191"/>
      <c r="WYX6" s="191"/>
      <c r="WYY6" s="191"/>
      <c r="WYZ6" s="191"/>
      <c r="WZB6" s="191"/>
      <c r="WZC6" s="191"/>
      <c r="WZD6" s="191"/>
      <c r="WZF6" s="191"/>
      <c r="WZG6" s="191"/>
      <c r="WZH6" s="191"/>
      <c r="WZJ6" s="191"/>
      <c r="WZK6" s="191"/>
      <c r="WZL6" s="191"/>
      <c r="WZN6" s="191"/>
      <c r="WZO6" s="191"/>
      <c r="WZP6" s="191"/>
      <c r="WZR6" s="191"/>
      <c r="WZS6" s="191"/>
      <c r="WZT6" s="191"/>
      <c r="WZV6" s="191"/>
      <c r="WZW6" s="191"/>
      <c r="WZX6" s="191"/>
      <c r="WZZ6" s="191"/>
      <c r="XAA6" s="191"/>
      <c r="XAB6" s="191"/>
      <c r="XAD6" s="191"/>
      <c r="XAE6" s="191"/>
      <c r="XAF6" s="191"/>
      <c r="XAH6" s="191"/>
      <c r="XAI6" s="191"/>
      <c r="XAJ6" s="191"/>
      <c r="XAL6" s="191"/>
      <c r="XAM6" s="191"/>
      <c r="XAN6" s="191"/>
      <c r="XAP6" s="191"/>
      <c r="XAQ6" s="191"/>
      <c r="XAR6" s="191"/>
      <c r="XAT6" s="191"/>
      <c r="XAU6" s="191"/>
      <c r="XAV6" s="191"/>
      <c r="XAX6" s="191"/>
      <c r="XAY6" s="191"/>
      <c r="XAZ6" s="191"/>
      <c r="XBB6" s="191"/>
      <c r="XBC6" s="191"/>
      <c r="XBD6" s="191"/>
      <c r="XBF6" s="191"/>
      <c r="XBG6" s="191"/>
      <c r="XBH6" s="191"/>
      <c r="XBJ6" s="191"/>
      <c r="XBK6" s="191"/>
      <c r="XBL6" s="191"/>
      <c r="XBN6" s="191"/>
      <c r="XBO6" s="191"/>
      <c r="XBP6" s="191"/>
      <c r="XBR6" s="191"/>
      <c r="XBS6" s="191"/>
      <c r="XBT6" s="191"/>
      <c r="XBV6" s="191"/>
      <c r="XBW6" s="191"/>
      <c r="XBX6" s="191"/>
      <c r="XBZ6" s="191"/>
      <c r="XCA6" s="191"/>
      <c r="XCB6" s="191"/>
      <c r="XCD6" s="191"/>
      <c r="XCE6" s="191"/>
      <c r="XCF6" s="191"/>
      <c r="XCH6" s="191"/>
      <c r="XCI6" s="191"/>
      <c r="XCJ6" s="191"/>
      <c r="XCL6" s="191"/>
      <c r="XCM6" s="191"/>
      <c r="XCN6" s="191"/>
      <c r="XCP6" s="191"/>
      <c r="XCQ6" s="191"/>
      <c r="XCR6" s="191"/>
      <c r="XCT6" s="191"/>
      <c r="XCU6" s="191"/>
      <c r="XCV6" s="191"/>
      <c r="XCX6" s="191"/>
      <c r="XCY6" s="191"/>
      <c r="XCZ6" s="191"/>
      <c r="XDB6" s="191"/>
      <c r="XDC6" s="191"/>
      <c r="XDD6" s="191"/>
      <c r="XDF6" s="191"/>
      <c r="XDG6" s="191"/>
      <c r="XDH6" s="191"/>
      <c r="XDJ6" s="191"/>
      <c r="XDK6" s="191"/>
      <c r="XDL6" s="191"/>
      <c r="XDN6" s="191"/>
      <c r="XDO6" s="191"/>
      <c r="XDP6" s="191"/>
      <c r="XDR6" s="191"/>
      <c r="XDS6" s="191"/>
      <c r="XDT6" s="191"/>
      <c r="XDV6" s="191"/>
      <c r="XDW6" s="191"/>
      <c r="XDX6" s="191"/>
      <c r="XDZ6" s="191"/>
      <c r="XEA6" s="191"/>
      <c r="XEB6" s="191"/>
      <c r="XED6" s="191"/>
      <c r="XEE6" s="191"/>
      <c r="XEF6" s="191"/>
      <c r="XEH6" s="191"/>
      <c r="XEI6" s="191"/>
      <c r="XEJ6" s="191"/>
      <c r="XEL6" s="191"/>
      <c r="XEM6" s="191"/>
      <c r="XEN6" s="191"/>
      <c r="XEP6" s="191"/>
      <c r="XEQ6" s="191"/>
      <c r="XER6" s="191"/>
      <c r="XET6" s="191"/>
      <c r="XEU6" s="191"/>
      <c r="XEV6" s="191"/>
      <c r="XEX6" s="191"/>
      <c r="XEY6" s="191"/>
      <c r="XEZ6" s="191"/>
      <c r="XFB6" s="191"/>
      <c r="XFC6" s="191"/>
      <c r="XFD6" s="191"/>
    </row>
    <row r="7" spans="1:1024 1026:2048 2050:3072 3074:4096 4098:5120 5122:6144 6146:7168 7170:8192 8194:9216 9218:10240 10242:11264 11266:12288 12290:13312 13314:14336 14338:15360 15362:16384" s="61" customFormat="1" x14ac:dyDescent="0.3">
      <c r="A7" s="196" t="s">
        <v>297</v>
      </c>
      <c r="B7" s="197">
        <v>4</v>
      </c>
      <c r="C7" s="197">
        <v>4</v>
      </c>
      <c r="D7" s="197">
        <v>4</v>
      </c>
      <c r="E7" s="197">
        <v>4</v>
      </c>
      <c r="F7" s="197">
        <v>4</v>
      </c>
      <c r="G7" s="197">
        <v>4</v>
      </c>
      <c r="H7" s="197">
        <v>4</v>
      </c>
      <c r="I7" s="197">
        <v>4</v>
      </c>
      <c r="J7" s="197">
        <v>4</v>
      </c>
      <c r="K7" s="197">
        <v>4</v>
      </c>
      <c r="L7" s="197">
        <v>4</v>
      </c>
      <c r="M7" s="197">
        <v>4</v>
      </c>
      <c r="N7" s="191"/>
      <c r="O7" s="191"/>
      <c r="P7" s="191"/>
      <c r="R7" s="191"/>
      <c r="S7" s="191"/>
      <c r="T7" s="191"/>
      <c r="V7" s="191"/>
      <c r="W7" s="191"/>
      <c r="X7" s="191"/>
      <c r="Z7" s="191"/>
      <c r="AA7" s="191"/>
      <c r="AB7" s="191"/>
      <c r="AD7" s="191"/>
      <c r="AE7" s="191"/>
      <c r="AF7" s="191"/>
      <c r="AH7" s="191"/>
      <c r="AI7" s="191"/>
      <c r="AJ7" s="191"/>
      <c r="AL7" s="191"/>
      <c r="AM7" s="191"/>
      <c r="AN7" s="191"/>
      <c r="AP7" s="191"/>
      <c r="AQ7" s="191"/>
      <c r="AR7" s="191"/>
      <c r="AT7" s="191"/>
      <c r="AU7" s="191"/>
      <c r="AV7" s="191"/>
      <c r="AX7" s="191"/>
      <c r="AY7" s="191"/>
      <c r="AZ7" s="191"/>
      <c r="BB7" s="191"/>
      <c r="BC7" s="191"/>
      <c r="BD7" s="191"/>
      <c r="BF7" s="191"/>
      <c r="BG7" s="191"/>
      <c r="BH7" s="191"/>
      <c r="BJ7" s="191"/>
      <c r="BK7" s="191"/>
      <c r="BL7" s="191"/>
      <c r="BN7" s="191"/>
      <c r="BO7" s="191"/>
      <c r="BP7" s="191"/>
      <c r="BR7" s="191"/>
      <c r="BS7" s="191"/>
      <c r="BT7" s="191"/>
      <c r="BV7" s="191"/>
      <c r="BW7" s="191"/>
      <c r="BX7" s="191"/>
      <c r="BZ7" s="191"/>
      <c r="CA7" s="191"/>
      <c r="CB7" s="191"/>
      <c r="CD7" s="191"/>
      <c r="CE7" s="191"/>
      <c r="CF7" s="191"/>
      <c r="CH7" s="191"/>
      <c r="CI7" s="191"/>
      <c r="CJ7" s="191"/>
      <c r="CL7" s="191"/>
      <c r="CM7" s="191"/>
      <c r="CN7" s="191"/>
      <c r="CP7" s="191"/>
      <c r="CQ7" s="191"/>
      <c r="CR7" s="191"/>
      <c r="CT7" s="191"/>
      <c r="CU7" s="191"/>
      <c r="CV7" s="191"/>
      <c r="CX7" s="191"/>
      <c r="CY7" s="191"/>
      <c r="CZ7" s="191"/>
      <c r="DB7" s="191"/>
      <c r="DC7" s="191"/>
      <c r="DD7" s="191"/>
      <c r="DF7" s="191"/>
      <c r="DG7" s="191"/>
      <c r="DH7" s="191"/>
      <c r="DJ7" s="191"/>
      <c r="DK7" s="191"/>
      <c r="DL7" s="191"/>
      <c r="DN7" s="191"/>
      <c r="DO7" s="191"/>
      <c r="DP7" s="191"/>
      <c r="DR7" s="191"/>
      <c r="DS7" s="191"/>
      <c r="DT7" s="191"/>
      <c r="DV7" s="191"/>
      <c r="DW7" s="191"/>
      <c r="DX7" s="191"/>
      <c r="DZ7" s="191"/>
      <c r="EA7" s="191"/>
      <c r="EB7" s="191"/>
      <c r="ED7" s="191"/>
      <c r="EE7" s="191"/>
      <c r="EF7" s="191"/>
      <c r="EH7" s="191"/>
      <c r="EI7" s="191"/>
      <c r="EJ7" s="191"/>
      <c r="EL7" s="191"/>
      <c r="EM7" s="191"/>
      <c r="EN7" s="191"/>
      <c r="EP7" s="191"/>
      <c r="EQ7" s="191"/>
      <c r="ER7" s="191"/>
      <c r="ET7" s="191"/>
      <c r="EU7" s="191"/>
      <c r="EV7" s="191"/>
      <c r="EX7" s="191"/>
      <c r="EY7" s="191"/>
      <c r="EZ7" s="191"/>
      <c r="FB7" s="191"/>
      <c r="FC7" s="191"/>
      <c r="FD7" s="191"/>
      <c r="FF7" s="191"/>
      <c r="FG7" s="191"/>
      <c r="FH7" s="191"/>
      <c r="FJ7" s="191"/>
      <c r="FK7" s="191"/>
      <c r="FL7" s="191"/>
      <c r="FN7" s="191"/>
      <c r="FO7" s="191"/>
      <c r="FP7" s="191"/>
      <c r="FR7" s="191"/>
      <c r="FS7" s="191"/>
      <c r="FT7" s="191"/>
      <c r="FV7" s="191"/>
      <c r="FW7" s="191"/>
      <c r="FX7" s="191"/>
      <c r="FZ7" s="191"/>
      <c r="GA7" s="191"/>
      <c r="GB7" s="191"/>
      <c r="GD7" s="191"/>
      <c r="GE7" s="191"/>
      <c r="GF7" s="191"/>
      <c r="GH7" s="191"/>
      <c r="GI7" s="191"/>
      <c r="GJ7" s="191"/>
      <c r="GL7" s="191"/>
      <c r="GM7" s="191"/>
      <c r="GN7" s="191"/>
      <c r="GP7" s="191"/>
      <c r="GQ7" s="191"/>
      <c r="GR7" s="191"/>
      <c r="GT7" s="191"/>
      <c r="GU7" s="191"/>
      <c r="GV7" s="191"/>
      <c r="GX7" s="191"/>
      <c r="GY7" s="191"/>
      <c r="GZ7" s="191"/>
      <c r="HB7" s="191"/>
      <c r="HC7" s="191"/>
      <c r="HD7" s="191"/>
      <c r="HF7" s="191"/>
      <c r="HG7" s="191"/>
      <c r="HH7" s="191"/>
      <c r="HJ7" s="191"/>
      <c r="HK7" s="191"/>
      <c r="HL7" s="191"/>
      <c r="HN7" s="191"/>
      <c r="HO7" s="191"/>
      <c r="HP7" s="191"/>
      <c r="HR7" s="191"/>
      <c r="HS7" s="191"/>
      <c r="HT7" s="191"/>
      <c r="HV7" s="191"/>
      <c r="HW7" s="191"/>
      <c r="HX7" s="191"/>
      <c r="HZ7" s="191"/>
      <c r="IA7" s="191"/>
      <c r="IB7" s="191"/>
      <c r="ID7" s="191"/>
      <c r="IE7" s="191"/>
      <c r="IF7" s="191"/>
      <c r="IH7" s="191"/>
      <c r="II7" s="191"/>
      <c r="IJ7" s="191"/>
      <c r="IL7" s="191"/>
      <c r="IM7" s="191"/>
      <c r="IN7" s="191"/>
      <c r="IP7" s="191"/>
      <c r="IQ7" s="191"/>
      <c r="IR7" s="191"/>
      <c r="IT7" s="191"/>
      <c r="IU7" s="191"/>
      <c r="IV7" s="191"/>
      <c r="IX7" s="191"/>
      <c r="IY7" s="191"/>
      <c r="IZ7" s="191"/>
      <c r="JB7" s="191"/>
      <c r="JC7" s="191"/>
      <c r="JD7" s="191"/>
      <c r="JF7" s="191"/>
      <c r="JG7" s="191"/>
      <c r="JH7" s="191"/>
      <c r="JJ7" s="191"/>
      <c r="JK7" s="191"/>
      <c r="JL7" s="191"/>
      <c r="JN7" s="191"/>
      <c r="JO7" s="191"/>
      <c r="JP7" s="191"/>
      <c r="JR7" s="191"/>
      <c r="JS7" s="191"/>
      <c r="JT7" s="191"/>
      <c r="JV7" s="191"/>
      <c r="JW7" s="191"/>
      <c r="JX7" s="191"/>
      <c r="JZ7" s="191"/>
      <c r="KA7" s="191"/>
      <c r="KB7" s="191"/>
      <c r="KD7" s="191"/>
      <c r="KE7" s="191"/>
      <c r="KF7" s="191"/>
      <c r="KH7" s="191"/>
      <c r="KI7" s="191"/>
      <c r="KJ7" s="191"/>
      <c r="KL7" s="191"/>
      <c r="KM7" s="191"/>
      <c r="KN7" s="191"/>
      <c r="KP7" s="191"/>
      <c r="KQ7" s="191"/>
      <c r="KR7" s="191"/>
      <c r="KT7" s="191"/>
      <c r="KU7" s="191"/>
      <c r="KV7" s="191"/>
      <c r="KX7" s="191"/>
      <c r="KY7" s="191"/>
      <c r="KZ7" s="191"/>
      <c r="LB7" s="191"/>
      <c r="LC7" s="191"/>
      <c r="LD7" s="191"/>
      <c r="LF7" s="191"/>
      <c r="LG7" s="191"/>
      <c r="LH7" s="191"/>
      <c r="LJ7" s="191"/>
      <c r="LK7" s="191"/>
      <c r="LL7" s="191"/>
      <c r="LN7" s="191"/>
      <c r="LO7" s="191"/>
      <c r="LP7" s="191"/>
      <c r="LR7" s="191"/>
      <c r="LS7" s="191"/>
      <c r="LT7" s="191"/>
      <c r="LV7" s="191"/>
      <c r="LW7" s="191"/>
      <c r="LX7" s="191"/>
      <c r="LZ7" s="191"/>
      <c r="MA7" s="191"/>
      <c r="MB7" s="191"/>
      <c r="MD7" s="191"/>
      <c r="ME7" s="191"/>
      <c r="MF7" s="191"/>
      <c r="MH7" s="191"/>
      <c r="MI7" s="191"/>
      <c r="MJ7" s="191"/>
      <c r="ML7" s="191"/>
      <c r="MM7" s="191"/>
      <c r="MN7" s="191"/>
      <c r="MP7" s="191"/>
      <c r="MQ7" s="191"/>
      <c r="MR7" s="191"/>
      <c r="MT7" s="191"/>
      <c r="MU7" s="191"/>
      <c r="MV7" s="191"/>
      <c r="MX7" s="191"/>
      <c r="MY7" s="191"/>
      <c r="MZ7" s="191"/>
      <c r="NB7" s="191"/>
      <c r="NC7" s="191"/>
      <c r="ND7" s="191"/>
      <c r="NF7" s="191"/>
      <c r="NG7" s="191"/>
      <c r="NH7" s="191"/>
      <c r="NJ7" s="191"/>
      <c r="NK7" s="191"/>
      <c r="NL7" s="191"/>
      <c r="NN7" s="191"/>
      <c r="NO7" s="191"/>
      <c r="NP7" s="191"/>
      <c r="NR7" s="191"/>
      <c r="NS7" s="191"/>
      <c r="NT7" s="191"/>
      <c r="NV7" s="191"/>
      <c r="NW7" s="191"/>
      <c r="NX7" s="191"/>
      <c r="NZ7" s="191"/>
      <c r="OA7" s="191"/>
      <c r="OB7" s="191"/>
      <c r="OD7" s="191"/>
      <c r="OE7" s="191"/>
      <c r="OF7" s="191"/>
      <c r="OH7" s="191"/>
      <c r="OI7" s="191"/>
      <c r="OJ7" s="191"/>
      <c r="OL7" s="191"/>
      <c r="OM7" s="191"/>
      <c r="ON7" s="191"/>
      <c r="OP7" s="191"/>
      <c r="OQ7" s="191"/>
      <c r="OR7" s="191"/>
      <c r="OT7" s="191"/>
      <c r="OU7" s="191"/>
      <c r="OV7" s="191"/>
      <c r="OX7" s="191"/>
      <c r="OY7" s="191"/>
      <c r="OZ7" s="191"/>
      <c r="PB7" s="191"/>
      <c r="PC7" s="191"/>
      <c r="PD7" s="191"/>
      <c r="PF7" s="191"/>
      <c r="PG7" s="191"/>
      <c r="PH7" s="191"/>
      <c r="PJ7" s="191"/>
      <c r="PK7" s="191"/>
      <c r="PL7" s="191"/>
      <c r="PN7" s="191"/>
      <c r="PO7" s="191"/>
      <c r="PP7" s="191"/>
      <c r="PR7" s="191"/>
      <c r="PS7" s="191"/>
      <c r="PT7" s="191"/>
      <c r="PV7" s="191"/>
      <c r="PW7" s="191"/>
      <c r="PX7" s="191"/>
      <c r="PZ7" s="191"/>
      <c r="QA7" s="191"/>
      <c r="QB7" s="191"/>
      <c r="QD7" s="191"/>
      <c r="QE7" s="191"/>
      <c r="QF7" s="191"/>
      <c r="QH7" s="191"/>
      <c r="QI7" s="191"/>
      <c r="QJ7" s="191"/>
      <c r="QL7" s="191"/>
      <c r="QM7" s="191"/>
      <c r="QN7" s="191"/>
      <c r="QP7" s="191"/>
      <c r="QQ7" s="191"/>
      <c r="QR7" s="191"/>
      <c r="QT7" s="191"/>
      <c r="QU7" s="191"/>
      <c r="QV7" s="191"/>
      <c r="QX7" s="191"/>
      <c r="QY7" s="191"/>
      <c r="QZ7" s="191"/>
      <c r="RB7" s="191"/>
      <c r="RC7" s="191"/>
      <c r="RD7" s="191"/>
      <c r="RF7" s="191"/>
      <c r="RG7" s="191"/>
      <c r="RH7" s="191"/>
      <c r="RJ7" s="191"/>
      <c r="RK7" s="191"/>
      <c r="RL7" s="191"/>
      <c r="RN7" s="191"/>
      <c r="RO7" s="191"/>
      <c r="RP7" s="191"/>
      <c r="RR7" s="191"/>
      <c r="RS7" s="191"/>
      <c r="RT7" s="191"/>
      <c r="RV7" s="191"/>
      <c r="RW7" s="191"/>
      <c r="RX7" s="191"/>
      <c r="RZ7" s="191"/>
      <c r="SA7" s="191"/>
      <c r="SB7" s="191"/>
      <c r="SD7" s="191"/>
      <c r="SE7" s="191"/>
      <c r="SF7" s="191"/>
      <c r="SH7" s="191"/>
      <c r="SI7" s="191"/>
      <c r="SJ7" s="191"/>
      <c r="SL7" s="191"/>
      <c r="SM7" s="191"/>
      <c r="SN7" s="191"/>
      <c r="SP7" s="191"/>
      <c r="SQ7" s="191"/>
      <c r="SR7" s="191"/>
      <c r="ST7" s="191"/>
      <c r="SU7" s="191"/>
      <c r="SV7" s="191"/>
      <c r="SX7" s="191"/>
      <c r="SY7" s="191"/>
      <c r="SZ7" s="191"/>
      <c r="TB7" s="191"/>
      <c r="TC7" s="191"/>
      <c r="TD7" s="191"/>
      <c r="TF7" s="191"/>
      <c r="TG7" s="191"/>
      <c r="TH7" s="191"/>
      <c r="TJ7" s="191"/>
      <c r="TK7" s="191"/>
      <c r="TL7" s="191"/>
      <c r="TN7" s="191"/>
      <c r="TO7" s="191"/>
      <c r="TP7" s="191"/>
      <c r="TR7" s="191"/>
      <c r="TS7" s="191"/>
      <c r="TT7" s="191"/>
      <c r="TV7" s="191"/>
      <c r="TW7" s="191"/>
      <c r="TX7" s="191"/>
      <c r="TZ7" s="191"/>
      <c r="UA7" s="191"/>
      <c r="UB7" s="191"/>
      <c r="UD7" s="191"/>
      <c r="UE7" s="191"/>
      <c r="UF7" s="191"/>
      <c r="UH7" s="191"/>
      <c r="UI7" s="191"/>
      <c r="UJ7" s="191"/>
      <c r="UL7" s="191"/>
      <c r="UM7" s="191"/>
      <c r="UN7" s="191"/>
      <c r="UP7" s="191"/>
      <c r="UQ7" s="191"/>
      <c r="UR7" s="191"/>
      <c r="UT7" s="191"/>
      <c r="UU7" s="191"/>
      <c r="UV7" s="191"/>
      <c r="UX7" s="191"/>
      <c r="UY7" s="191"/>
      <c r="UZ7" s="191"/>
      <c r="VB7" s="191"/>
      <c r="VC7" s="191"/>
      <c r="VD7" s="191"/>
      <c r="VF7" s="191"/>
      <c r="VG7" s="191"/>
      <c r="VH7" s="191"/>
      <c r="VJ7" s="191"/>
      <c r="VK7" s="191"/>
      <c r="VL7" s="191"/>
      <c r="VN7" s="191"/>
      <c r="VO7" s="191"/>
      <c r="VP7" s="191"/>
      <c r="VR7" s="191"/>
      <c r="VS7" s="191"/>
      <c r="VT7" s="191"/>
      <c r="VV7" s="191"/>
      <c r="VW7" s="191"/>
      <c r="VX7" s="191"/>
      <c r="VZ7" s="191"/>
      <c r="WA7" s="191"/>
      <c r="WB7" s="191"/>
      <c r="WD7" s="191"/>
      <c r="WE7" s="191"/>
      <c r="WF7" s="191"/>
      <c r="WH7" s="191"/>
      <c r="WI7" s="191"/>
      <c r="WJ7" s="191"/>
      <c r="WL7" s="191"/>
      <c r="WM7" s="191"/>
      <c r="WN7" s="191"/>
      <c r="WP7" s="191"/>
      <c r="WQ7" s="191"/>
      <c r="WR7" s="191"/>
      <c r="WT7" s="191"/>
      <c r="WU7" s="191"/>
      <c r="WV7" s="191"/>
      <c r="WX7" s="191"/>
      <c r="WY7" s="191"/>
      <c r="WZ7" s="191"/>
      <c r="XB7" s="191"/>
      <c r="XC7" s="191"/>
      <c r="XD7" s="191"/>
      <c r="XF7" s="191"/>
      <c r="XG7" s="191"/>
      <c r="XH7" s="191"/>
      <c r="XJ7" s="191"/>
      <c r="XK7" s="191"/>
      <c r="XL7" s="191"/>
      <c r="XN7" s="191"/>
      <c r="XO7" s="191"/>
      <c r="XP7" s="191"/>
      <c r="XR7" s="191"/>
      <c r="XS7" s="191"/>
      <c r="XT7" s="191"/>
      <c r="XV7" s="191"/>
      <c r="XW7" s="191"/>
      <c r="XX7" s="191"/>
      <c r="XZ7" s="191"/>
      <c r="YA7" s="191"/>
      <c r="YB7" s="191"/>
      <c r="YD7" s="191"/>
      <c r="YE7" s="191"/>
      <c r="YF7" s="191"/>
      <c r="YH7" s="191"/>
      <c r="YI7" s="191"/>
      <c r="YJ7" s="191"/>
      <c r="YL7" s="191"/>
      <c r="YM7" s="191"/>
      <c r="YN7" s="191"/>
      <c r="YP7" s="191"/>
      <c r="YQ7" s="191"/>
      <c r="YR7" s="191"/>
      <c r="YT7" s="191"/>
      <c r="YU7" s="191"/>
      <c r="YV7" s="191"/>
      <c r="YX7" s="191"/>
      <c r="YY7" s="191"/>
      <c r="YZ7" s="191"/>
      <c r="ZB7" s="191"/>
      <c r="ZC7" s="191"/>
      <c r="ZD7" s="191"/>
      <c r="ZF7" s="191"/>
      <c r="ZG7" s="191"/>
      <c r="ZH7" s="191"/>
      <c r="ZJ7" s="191"/>
      <c r="ZK7" s="191"/>
      <c r="ZL7" s="191"/>
      <c r="ZN7" s="191"/>
      <c r="ZO7" s="191"/>
      <c r="ZP7" s="191"/>
      <c r="ZR7" s="191"/>
      <c r="ZS7" s="191"/>
      <c r="ZT7" s="191"/>
      <c r="ZV7" s="191"/>
      <c r="ZW7" s="191"/>
      <c r="ZX7" s="191"/>
      <c r="ZZ7" s="191"/>
      <c r="AAA7" s="191"/>
      <c r="AAB7" s="191"/>
      <c r="AAD7" s="191"/>
      <c r="AAE7" s="191"/>
      <c r="AAF7" s="191"/>
      <c r="AAH7" s="191"/>
      <c r="AAI7" s="191"/>
      <c r="AAJ7" s="191"/>
      <c r="AAL7" s="191"/>
      <c r="AAM7" s="191"/>
      <c r="AAN7" s="191"/>
      <c r="AAP7" s="191"/>
      <c r="AAQ7" s="191"/>
      <c r="AAR7" s="191"/>
      <c r="AAT7" s="191"/>
      <c r="AAU7" s="191"/>
      <c r="AAV7" s="191"/>
      <c r="AAX7" s="191"/>
      <c r="AAY7" s="191"/>
      <c r="AAZ7" s="191"/>
      <c r="ABB7" s="191"/>
      <c r="ABC7" s="191"/>
      <c r="ABD7" s="191"/>
      <c r="ABF7" s="191"/>
      <c r="ABG7" s="191"/>
      <c r="ABH7" s="191"/>
      <c r="ABJ7" s="191"/>
      <c r="ABK7" s="191"/>
      <c r="ABL7" s="191"/>
      <c r="ABN7" s="191"/>
      <c r="ABO7" s="191"/>
      <c r="ABP7" s="191"/>
      <c r="ABR7" s="191"/>
      <c r="ABS7" s="191"/>
      <c r="ABT7" s="191"/>
      <c r="ABV7" s="191"/>
      <c r="ABW7" s="191"/>
      <c r="ABX7" s="191"/>
      <c r="ABZ7" s="191"/>
      <c r="ACA7" s="191"/>
      <c r="ACB7" s="191"/>
      <c r="ACD7" s="191"/>
      <c r="ACE7" s="191"/>
      <c r="ACF7" s="191"/>
      <c r="ACH7" s="191"/>
      <c r="ACI7" s="191"/>
      <c r="ACJ7" s="191"/>
      <c r="ACL7" s="191"/>
      <c r="ACM7" s="191"/>
      <c r="ACN7" s="191"/>
      <c r="ACP7" s="191"/>
      <c r="ACQ7" s="191"/>
      <c r="ACR7" s="191"/>
      <c r="ACT7" s="191"/>
      <c r="ACU7" s="191"/>
      <c r="ACV7" s="191"/>
      <c r="ACX7" s="191"/>
      <c r="ACY7" s="191"/>
      <c r="ACZ7" s="191"/>
      <c r="ADB7" s="191"/>
      <c r="ADC7" s="191"/>
      <c r="ADD7" s="191"/>
      <c r="ADF7" s="191"/>
      <c r="ADG7" s="191"/>
      <c r="ADH7" s="191"/>
      <c r="ADJ7" s="191"/>
      <c r="ADK7" s="191"/>
      <c r="ADL7" s="191"/>
      <c r="ADN7" s="191"/>
      <c r="ADO7" s="191"/>
      <c r="ADP7" s="191"/>
      <c r="ADR7" s="191"/>
      <c r="ADS7" s="191"/>
      <c r="ADT7" s="191"/>
      <c r="ADV7" s="191"/>
      <c r="ADW7" s="191"/>
      <c r="ADX7" s="191"/>
      <c r="ADZ7" s="191"/>
      <c r="AEA7" s="191"/>
      <c r="AEB7" s="191"/>
      <c r="AED7" s="191"/>
      <c r="AEE7" s="191"/>
      <c r="AEF7" s="191"/>
      <c r="AEH7" s="191"/>
      <c r="AEI7" s="191"/>
      <c r="AEJ7" s="191"/>
      <c r="AEL7" s="191"/>
      <c r="AEM7" s="191"/>
      <c r="AEN7" s="191"/>
      <c r="AEP7" s="191"/>
      <c r="AEQ7" s="191"/>
      <c r="AER7" s="191"/>
      <c r="AET7" s="191"/>
      <c r="AEU7" s="191"/>
      <c r="AEV7" s="191"/>
      <c r="AEX7" s="191"/>
      <c r="AEY7" s="191"/>
      <c r="AEZ7" s="191"/>
      <c r="AFB7" s="191"/>
      <c r="AFC7" s="191"/>
      <c r="AFD7" s="191"/>
      <c r="AFF7" s="191"/>
      <c r="AFG7" s="191"/>
      <c r="AFH7" s="191"/>
      <c r="AFJ7" s="191"/>
      <c r="AFK7" s="191"/>
      <c r="AFL7" s="191"/>
      <c r="AFN7" s="191"/>
      <c r="AFO7" s="191"/>
      <c r="AFP7" s="191"/>
      <c r="AFR7" s="191"/>
      <c r="AFS7" s="191"/>
      <c r="AFT7" s="191"/>
      <c r="AFV7" s="191"/>
      <c r="AFW7" s="191"/>
      <c r="AFX7" s="191"/>
      <c r="AFZ7" s="191"/>
      <c r="AGA7" s="191"/>
      <c r="AGB7" s="191"/>
      <c r="AGD7" s="191"/>
      <c r="AGE7" s="191"/>
      <c r="AGF7" s="191"/>
      <c r="AGH7" s="191"/>
      <c r="AGI7" s="191"/>
      <c r="AGJ7" s="191"/>
      <c r="AGL7" s="191"/>
      <c r="AGM7" s="191"/>
      <c r="AGN7" s="191"/>
      <c r="AGP7" s="191"/>
      <c r="AGQ7" s="191"/>
      <c r="AGR7" s="191"/>
      <c r="AGT7" s="191"/>
      <c r="AGU7" s="191"/>
      <c r="AGV7" s="191"/>
      <c r="AGX7" s="191"/>
      <c r="AGY7" s="191"/>
      <c r="AGZ7" s="191"/>
      <c r="AHB7" s="191"/>
      <c r="AHC7" s="191"/>
      <c r="AHD7" s="191"/>
      <c r="AHF7" s="191"/>
      <c r="AHG7" s="191"/>
      <c r="AHH7" s="191"/>
      <c r="AHJ7" s="191"/>
      <c r="AHK7" s="191"/>
      <c r="AHL7" s="191"/>
      <c r="AHN7" s="191"/>
      <c r="AHO7" s="191"/>
      <c r="AHP7" s="191"/>
      <c r="AHR7" s="191"/>
      <c r="AHS7" s="191"/>
      <c r="AHT7" s="191"/>
      <c r="AHV7" s="191"/>
      <c r="AHW7" s="191"/>
      <c r="AHX7" s="191"/>
      <c r="AHZ7" s="191"/>
      <c r="AIA7" s="191"/>
      <c r="AIB7" s="191"/>
      <c r="AID7" s="191"/>
      <c r="AIE7" s="191"/>
      <c r="AIF7" s="191"/>
      <c r="AIH7" s="191"/>
      <c r="AII7" s="191"/>
      <c r="AIJ7" s="191"/>
      <c r="AIL7" s="191"/>
      <c r="AIM7" s="191"/>
      <c r="AIN7" s="191"/>
      <c r="AIP7" s="191"/>
      <c r="AIQ7" s="191"/>
      <c r="AIR7" s="191"/>
      <c r="AIT7" s="191"/>
      <c r="AIU7" s="191"/>
      <c r="AIV7" s="191"/>
      <c r="AIX7" s="191"/>
      <c r="AIY7" s="191"/>
      <c r="AIZ7" s="191"/>
      <c r="AJB7" s="191"/>
      <c r="AJC7" s="191"/>
      <c r="AJD7" s="191"/>
      <c r="AJF7" s="191"/>
      <c r="AJG7" s="191"/>
      <c r="AJH7" s="191"/>
      <c r="AJJ7" s="191"/>
      <c r="AJK7" s="191"/>
      <c r="AJL7" s="191"/>
      <c r="AJN7" s="191"/>
      <c r="AJO7" s="191"/>
      <c r="AJP7" s="191"/>
      <c r="AJR7" s="191"/>
      <c r="AJS7" s="191"/>
      <c r="AJT7" s="191"/>
      <c r="AJV7" s="191"/>
      <c r="AJW7" s="191"/>
      <c r="AJX7" s="191"/>
      <c r="AJZ7" s="191"/>
      <c r="AKA7" s="191"/>
      <c r="AKB7" s="191"/>
      <c r="AKD7" s="191"/>
      <c r="AKE7" s="191"/>
      <c r="AKF7" s="191"/>
      <c r="AKH7" s="191"/>
      <c r="AKI7" s="191"/>
      <c r="AKJ7" s="191"/>
      <c r="AKL7" s="191"/>
      <c r="AKM7" s="191"/>
      <c r="AKN7" s="191"/>
      <c r="AKP7" s="191"/>
      <c r="AKQ7" s="191"/>
      <c r="AKR7" s="191"/>
      <c r="AKT7" s="191"/>
      <c r="AKU7" s="191"/>
      <c r="AKV7" s="191"/>
      <c r="AKX7" s="191"/>
      <c r="AKY7" s="191"/>
      <c r="AKZ7" s="191"/>
      <c r="ALB7" s="191"/>
      <c r="ALC7" s="191"/>
      <c r="ALD7" s="191"/>
      <c r="ALF7" s="191"/>
      <c r="ALG7" s="191"/>
      <c r="ALH7" s="191"/>
      <c r="ALJ7" s="191"/>
      <c r="ALK7" s="191"/>
      <c r="ALL7" s="191"/>
      <c r="ALN7" s="191"/>
      <c r="ALO7" s="191"/>
      <c r="ALP7" s="191"/>
      <c r="ALR7" s="191"/>
      <c r="ALS7" s="191"/>
      <c r="ALT7" s="191"/>
      <c r="ALV7" s="191"/>
      <c r="ALW7" s="191"/>
      <c r="ALX7" s="191"/>
      <c r="ALZ7" s="191"/>
      <c r="AMA7" s="191"/>
      <c r="AMB7" s="191"/>
      <c r="AMD7" s="191"/>
      <c r="AME7" s="191"/>
      <c r="AMF7" s="191"/>
      <c r="AMH7" s="191"/>
      <c r="AMI7" s="191"/>
      <c r="AMJ7" s="191"/>
      <c r="AML7" s="191"/>
      <c r="AMM7" s="191"/>
      <c r="AMN7" s="191"/>
      <c r="AMP7" s="191"/>
      <c r="AMQ7" s="191"/>
      <c r="AMR7" s="191"/>
      <c r="AMT7" s="191"/>
      <c r="AMU7" s="191"/>
      <c r="AMV7" s="191"/>
      <c r="AMX7" s="191"/>
      <c r="AMY7" s="191"/>
      <c r="AMZ7" s="191"/>
      <c r="ANB7" s="191"/>
      <c r="ANC7" s="191"/>
      <c r="AND7" s="191"/>
      <c r="ANF7" s="191"/>
      <c r="ANG7" s="191"/>
      <c r="ANH7" s="191"/>
      <c r="ANJ7" s="191"/>
      <c r="ANK7" s="191"/>
      <c r="ANL7" s="191"/>
      <c r="ANN7" s="191"/>
      <c r="ANO7" s="191"/>
      <c r="ANP7" s="191"/>
      <c r="ANR7" s="191"/>
      <c r="ANS7" s="191"/>
      <c r="ANT7" s="191"/>
      <c r="ANV7" s="191"/>
      <c r="ANW7" s="191"/>
      <c r="ANX7" s="191"/>
      <c r="ANZ7" s="191"/>
      <c r="AOA7" s="191"/>
      <c r="AOB7" s="191"/>
      <c r="AOD7" s="191"/>
      <c r="AOE7" s="191"/>
      <c r="AOF7" s="191"/>
      <c r="AOH7" s="191"/>
      <c r="AOI7" s="191"/>
      <c r="AOJ7" s="191"/>
      <c r="AOL7" s="191"/>
      <c r="AOM7" s="191"/>
      <c r="AON7" s="191"/>
      <c r="AOP7" s="191"/>
      <c r="AOQ7" s="191"/>
      <c r="AOR7" s="191"/>
      <c r="AOT7" s="191"/>
      <c r="AOU7" s="191"/>
      <c r="AOV7" s="191"/>
      <c r="AOX7" s="191"/>
      <c r="AOY7" s="191"/>
      <c r="AOZ7" s="191"/>
      <c r="APB7" s="191"/>
      <c r="APC7" s="191"/>
      <c r="APD7" s="191"/>
      <c r="APF7" s="191"/>
      <c r="APG7" s="191"/>
      <c r="APH7" s="191"/>
      <c r="APJ7" s="191"/>
      <c r="APK7" s="191"/>
      <c r="APL7" s="191"/>
      <c r="APN7" s="191"/>
      <c r="APO7" s="191"/>
      <c r="APP7" s="191"/>
      <c r="APR7" s="191"/>
      <c r="APS7" s="191"/>
      <c r="APT7" s="191"/>
      <c r="APV7" s="191"/>
      <c r="APW7" s="191"/>
      <c r="APX7" s="191"/>
      <c r="APZ7" s="191"/>
      <c r="AQA7" s="191"/>
      <c r="AQB7" s="191"/>
      <c r="AQD7" s="191"/>
      <c r="AQE7" s="191"/>
      <c r="AQF7" s="191"/>
      <c r="AQH7" s="191"/>
      <c r="AQI7" s="191"/>
      <c r="AQJ7" s="191"/>
      <c r="AQL7" s="191"/>
      <c r="AQM7" s="191"/>
      <c r="AQN7" s="191"/>
      <c r="AQP7" s="191"/>
      <c r="AQQ7" s="191"/>
      <c r="AQR7" s="191"/>
      <c r="AQT7" s="191"/>
      <c r="AQU7" s="191"/>
      <c r="AQV7" s="191"/>
      <c r="AQX7" s="191"/>
      <c r="AQY7" s="191"/>
      <c r="AQZ7" s="191"/>
      <c r="ARB7" s="191"/>
      <c r="ARC7" s="191"/>
      <c r="ARD7" s="191"/>
      <c r="ARF7" s="191"/>
      <c r="ARG7" s="191"/>
      <c r="ARH7" s="191"/>
      <c r="ARJ7" s="191"/>
      <c r="ARK7" s="191"/>
      <c r="ARL7" s="191"/>
      <c r="ARN7" s="191"/>
      <c r="ARO7" s="191"/>
      <c r="ARP7" s="191"/>
      <c r="ARR7" s="191"/>
      <c r="ARS7" s="191"/>
      <c r="ART7" s="191"/>
      <c r="ARV7" s="191"/>
      <c r="ARW7" s="191"/>
      <c r="ARX7" s="191"/>
      <c r="ARZ7" s="191"/>
      <c r="ASA7" s="191"/>
      <c r="ASB7" s="191"/>
      <c r="ASD7" s="191"/>
      <c r="ASE7" s="191"/>
      <c r="ASF7" s="191"/>
      <c r="ASH7" s="191"/>
      <c r="ASI7" s="191"/>
      <c r="ASJ7" s="191"/>
      <c r="ASL7" s="191"/>
      <c r="ASM7" s="191"/>
      <c r="ASN7" s="191"/>
      <c r="ASP7" s="191"/>
      <c r="ASQ7" s="191"/>
      <c r="ASR7" s="191"/>
      <c r="AST7" s="191"/>
      <c r="ASU7" s="191"/>
      <c r="ASV7" s="191"/>
      <c r="ASX7" s="191"/>
      <c r="ASY7" s="191"/>
      <c r="ASZ7" s="191"/>
      <c r="ATB7" s="191"/>
      <c r="ATC7" s="191"/>
      <c r="ATD7" s="191"/>
      <c r="ATF7" s="191"/>
      <c r="ATG7" s="191"/>
      <c r="ATH7" s="191"/>
      <c r="ATJ7" s="191"/>
      <c r="ATK7" s="191"/>
      <c r="ATL7" s="191"/>
      <c r="ATN7" s="191"/>
      <c r="ATO7" s="191"/>
      <c r="ATP7" s="191"/>
      <c r="ATR7" s="191"/>
      <c r="ATS7" s="191"/>
      <c r="ATT7" s="191"/>
      <c r="ATV7" s="191"/>
      <c r="ATW7" s="191"/>
      <c r="ATX7" s="191"/>
      <c r="ATZ7" s="191"/>
      <c r="AUA7" s="191"/>
      <c r="AUB7" s="191"/>
      <c r="AUD7" s="191"/>
      <c r="AUE7" s="191"/>
      <c r="AUF7" s="191"/>
      <c r="AUH7" s="191"/>
      <c r="AUI7" s="191"/>
      <c r="AUJ7" s="191"/>
      <c r="AUL7" s="191"/>
      <c r="AUM7" s="191"/>
      <c r="AUN7" s="191"/>
      <c r="AUP7" s="191"/>
      <c r="AUQ7" s="191"/>
      <c r="AUR7" s="191"/>
      <c r="AUT7" s="191"/>
      <c r="AUU7" s="191"/>
      <c r="AUV7" s="191"/>
      <c r="AUX7" s="191"/>
      <c r="AUY7" s="191"/>
      <c r="AUZ7" s="191"/>
      <c r="AVB7" s="191"/>
      <c r="AVC7" s="191"/>
      <c r="AVD7" s="191"/>
      <c r="AVF7" s="191"/>
      <c r="AVG7" s="191"/>
      <c r="AVH7" s="191"/>
      <c r="AVJ7" s="191"/>
      <c r="AVK7" s="191"/>
      <c r="AVL7" s="191"/>
      <c r="AVN7" s="191"/>
      <c r="AVO7" s="191"/>
      <c r="AVP7" s="191"/>
      <c r="AVR7" s="191"/>
      <c r="AVS7" s="191"/>
      <c r="AVT7" s="191"/>
      <c r="AVV7" s="191"/>
      <c r="AVW7" s="191"/>
      <c r="AVX7" s="191"/>
      <c r="AVZ7" s="191"/>
      <c r="AWA7" s="191"/>
      <c r="AWB7" s="191"/>
      <c r="AWD7" s="191"/>
      <c r="AWE7" s="191"/>
      <c r="AWF7" s="191"/>
      <c r="AWH7" s="191"/>
      <c r="AWI7" s="191"/>
      <c r="AWJ7" s="191"/>
      <c r="AWL7" s="191"/>
      <c r="AWM7" s="191"/>
      <c r="AWN7" s="191"/>
      <c r="AWP7" s="191"/>
      <c r="AWQ7" s="191"/>
      <c r="AWR7" s="191"/>
      <c r="AWT7" s="191"/>
      <c r="AWU7" s="191"/>
      <c r="AWV7" s="191"/>
      <c r="AWX7" s="191"/>
      <c r="AWY7" s="191"/>
      <c r="AWZ7" s="191"/>
      <c r="AXB7" s="191"/>
      <c r="AXC7" s="191"/>
      <c r="AXD7" s="191"/>
      <c r="AXF7" s="191"/>
      <c r="AXG7" s="191"/>
      <c r="AXH7" s="191"/>
      <c r="AXJ7" s="191"/>
      <c r="AXK7" s="191"/>
      <c r="AXL7" s="191"/>
      <c r="AXN7" s="191"/>
      <c r="AXO7" s="191"/>
      <c r="AXP7" s="191"/>
      <c r="AXR7" s="191"/>
      <c r="AXS7" s="191"/>
      <c r="AXT7" s="191"/>
      <c r="AXV7" s="191"/>
      <c r="AXW7" s="191"/>
      <c r="AXX7" s="191"/>
      <c r="AXZ7" s="191"/>
      <c r="AYA7" s="191"/>
      <c r="AYB7" s="191"/>
      <c r="AYD7" s="191"/>
      <c r="AYE7" s="191"/>
      <c r="AYF7" s="191"/>
      <c r="AYH7" s="191"/>
      <c r="AYI7" s="191"/>
      <c r="AYJ7" s="191"/>
      <c r="AYL7" s="191"/>
      <c r="AYM7" s="191"/>
      <c r="AYN7" s="191"/>
      <c r="AYP7" s="191"/>
      <c r="AYQ7" s="191"/>
      <c r="AYR7" s="191"/>
      <c r="AYT7" s="191"/>
      <c r="AYU7" s="191"/>
      <c r="AYV7" s="191"/>
      <c r="AYX7" s="191"/>
      <c r="AYY7" s="191"/>
      <c r="AYZ7" s="191"/>
      <c r="AZB7" s="191"/>
      <c r="AZC7" s="191"/>
      <c r="AZD7" s="191"/>
      <c r="AZF7" s="191"/>
      <c r="AZG7" s="191"/>
      <c r="AZH7" s="191"/>
      <c r="AZJ7" s="191"/>
      <c r="AZK7" s="191"/>
      <c r="AZL7" s="191"/>
      <c r="AZN7" s="191"/>
      <c r="AZO7" s="191"/>
      <c r="AZP7" s="191"/>
      <c r="AZR7" s="191"/>
      <c r="AZS7" s="191"/>
      <c r="AZT7" s="191"/>
      <c r="AZV7" s="191"/>
      <c r="AZW7" s="191"/>
      <c r="AZX7" s="191"/>
      <c r="AZZ7" s="191"/>
      <c r="BAA7" s="191"/>
      <c r="BAB7" s="191"/>
      <c r="BAD7" s="191"/>
      <c r="BAE7" s="191"/>
      <c r="BAF7" s="191"/>
      <c r="BAH7" s="191"/>
      <c r="BAI7" s="191"/>
      <c r="BAJ7" s="191"/>
      <c r="BAL7" s="191"/>
      <c r="BAM7" s="191"/>
      <c r="BAN7" s="191"/>
      <c r="BAP7" s="191"/>
      <c r="BAQ7" s="191"/>
      <c r="BAR7" s="191"/>
      <c r="BAT7" s="191"/>
      <c r="BAU7" s="191"/>
      <c r="BAV7" s="191"/>
      <c r="BAX7" s="191"/>
      <c r="BAY7" s="191"/>
      <c r="BAZ7" s="191"/>
      <c r="BBB7" s="191"/>
      <c r="BBC7" s="191"/>
      <c r="BBD7" s="191"/>
      <c r="BBF7" s="191"/>
      <c r="BBG7" s="191"/>
      <c r="BBH7" s="191"/>
      <c r="BBJ7" s="191"/>
      <c r="BBK7" s="191"/>
      <c r="BBL7" s="191"/>
      <c r="BBN7" s="191"/>
      <c r="BBO7" s="191"/>
      <c r="BBP7" s="191"/>
      <c r="BBR7" s="191"/>
      <c r="BBS7" s="191"/>
      <c r="BBT7" s="191"/>
      <c r="BBV7" s="191"/>
      <c r="BBW7" s="191"/>
      <c r="BBX7" s="191"/>
      <c r="BBZ7" s="191"/>
      <c r="BCA7" s="191"/>
      <c r="BCB7" s="191"/>
      <c r="BCD7" s="191"/>
      <c r="BCE7" s="191"/>
      <c r="BCF7" s="191"/>
      <c r="BCH7" s="191"/>
      <c r="BCI7" s="191"/>
      <c r="BCJ7" s="191"/>
      <c r="BCL7" s="191"/>
      <c r="BCM7" s="191"/>
      <c r="BCN7" s="191"/>
      <c r="BCP7" s="191"/>
      <c r="BCQ7" s="191"/>
      <c r="BCR7" s="191"/>
      <c r="BCT7" s="191"/>
      <c r="BCU7" s="191"/>
      <c r="BCV7" s="191"/>
      <c r="BCX7" s="191"/>
      <c r="BCY7" s="191"/>
      <c r="BCZ7" s="191"/>
      <c r="BDB7" s="191"/>
      <c r="BDC7" s="191"/>
      <c r="BDD7" s="191"/>
      <c r="BDF7" s="191"/>
      <c r="BDG7" s="191"/>
      <c r="BDH7" s="191"/>
      <c r="BDJ7" s="191"/>
      <c r="BDK7" s="191"/>
      <c r="BDL7" s="191"/>
      <c r="BDN7" s="191"/>
      <c r="BDO7" s="191"/>
      <c r="BDP7" s="191"/>
      <c r="BDR7" s="191"/>
      <c r="BDS7" s="191"/>
      <c r="BDT7" s="191"/>
      <c r="BDV7" s="191"/>
      <c r="BDW7" s="191"/>
      <c r="BDX7" s="191"/>
      <c r="BDZ7" s="191"/>
      <c r="BEA7" s="191"/>
      <c r="BEB7" s="191"/>
      <c r="BED7" s="191"/>
      <c r="BEE7" s="191"/>
      <c r="BEF7" s="191"/>
      <c r="BEH7" s="191"/>
      <c r="BEI7" s="191"/>
      <c r="BEJ7" s="191"/>
      <c r="BEL7" s="191"/>
      <c r="BEM7" s="191"/>
      <c r="BEN7" s="191"/>
      <c r="BEP7" s="191"/>
      <c r="BEQ7" s="191"/>
      <c r="BER7" s="191"/>
      <c r="BET7" s="191"/>
      <c r="BEU7" s="191"/>
      <c r="BEV7" s="191"/>
      <c r="BEX7" s="191"/>
      <c r="BEY7" s="191"/>
      <c r="BEZ7" s="191"/>
      <c r="BFB7" s="191"/>
      <c r="BFC7" s="191"/>
      <c r="BFD7" s="191"/>
      <c r="BFF7" s="191"/>
      <c r="BFG7" s="191"/>
      <c r="BFH7" s="191"/>
      <c r="BFJ7" s="191"/>
      <c r="BFK7" s="191"/>
      <c r="BFL7" s="191"/>
      <c r="BFN7" s="191"/>
      <c r="BFO7" s="191"/>
      <c r="BFP7" s="191"/>
      <c r="BFR7" s="191"/>
      <c r="BFS7" s="191"/>
      <c r="BFT7" s="191"/>
      <c r="BFV7" s="191"/>
      <c r="BFW7" s="191"/>
      <c r="BFX7" s="191"/>
      <c r="BFZ7" s="191"/>
      <c r="BGA7" s="191"/>
      <c r="BGB7" s="191"/>
      <c r="BGD7" s="191"/>
      <c r="BGE7" s="191"/>
      <c r="BGF7" s="191"/>
      <c r="BGH7" s="191"/>
      <c r="BGI7" s="191"/>
      <c r="BGJ7" s="191"/>
      <c r="BGL7" s="191"/>
      <c r="BGM7" s="191"/>
      <c r="BGN7" s="191"/>
      <c r="BGP7" s="191"/>
      <c r="BGQ7" s="191"/>
      <c r="BGR7" s="191"/>
      <c r="BGT7" s="191"/>
      <c r="BGU7" s="191"/>
      <c r="BGV7" s="191"/>
      <c r="BGX7" s="191"/>
      <c r="BGY7" s="191"/>
      <c r="BGZ7" s="191"/>
      <c r="BHB7" s="191"/>
      <c r="BHC7" s="191"/>
      <c r="BHD7" s="191"/>
      <c r="BHF7" s="191"/>
      <c r="BHG7" s="191"/>
      <c r="BHH7" s="191"/>
      <c r="BHJ7" s="191"/>
      <c r="BHK7" s="191"/>
      <c r="BHL7" s="191"/>
      <c r="BHN7" s="191"/>
      <c r="BHO7" s="191"/>
      <c r="BHP7" s="191"/>
      <c r="BHR7" s="191"/>
      <c r="BHS7" s="191"/>
      <c r="BHT7" s="191"/>
      <c r="BHV7" s="191"/>
      <c r="BHW7" s="191"/>
      <c r="BHX7" s="191"/>
      <c r="BHZ7" s="191"/>
      <c r="BIA7" s="191"/>
      <c r="BIB7" s="191"/>
      <c r="BID7" s="191"/>
      <c r="BIE7" s="191"/>
      <c r="BIF7" s="191"/>
      <c r="BIH7" s="191"/>
      <c r="BII7" s="191"/>
      <c r="BIJ7" s="191"/>
      <c r="BIL7" s="191"/>
      <c r="BIM7" s="191"/>
      <c r="BIN7" s="191"/>
      <c r="BIP7" s="191"/>
      <c r="BIQ7" s="191"/>
      <c r="BIR7" s="191"/>
      <c r="BIT7" s="191"/>
      <c r="BIU7" s="191"/>
      <c r="BIV7" s="191"/>
      <c r="BIX7" s="191"/>
      <c r="BIY7" s="191"/>
      <c r="BIZ7" s="191"/>
      <c r="BJB7" s="191"/>
      <c r="BJC7" s="191"/>
      <c r="BJD7" s="191"/>
      <c r="BJF7" s="191"/>
      <c r="BJG7" s="191"/>
      <c r="BJH7" s="191"/>
      <c r="BJJ7" s="191"/>
      <c r="BJK7" s="191"/>
      <c r="BJL7" s="191"/>
      <c r="BJN7" s="191"/>
      <c r="BJO7" s="191"/>
      <c r="BJP7" s="191"/>
      <c r="BJR7" s="191"/>
      <c r="BJS7" s="191"/>
      <c r="BJT7" s="191"/>
      <c r="BJV7" s="191"/>
      <c r="BJW7" s="191"/>
      <c r="BJX7" s="191"/>
      <c r="BJZ7" s="191"/>
      <c r="BKA7" s="191"/>
      <c r="BKB7" s="191"/>
      <c r="BKD7" s="191"/>
      <c r="BKE7" s="191"/>
      <c r="BKF7" s="191"/>
      <c r="BKH7" s="191"/>
      <c r="BKI7" s="191"/>
      <c r="BKJ7" s="191"/>
      <c r="BKL7" s="191"/>
      <c r="BKM7" s="191"/>
      <c r="BKN7" s="191"/>
      <c r="BKP7" s="191"/>
      <c r="BKQ7" s="191"/>
      <c r="BKR7" s="191"/>
      <c r="BKT7" s="191"/>
      <c r="BKU7" s="191"/>
      <c r="BKV7" s="191"/>
      <c r="BKX7" s="191"/>
      <c r="BKY7" s="191"/>
      <c r="BKZ7" s="191"/>
      <c r="BLB7" s="191"/>
      <c r="BLC7" s="191"/>
      <c r="BLD7" s="191"/>
      <c r="BLF7" s="191"/>
      <c r="BLG7" s="191"/>
      <c r="BLH7" s="191"/>
      <c r="BLJ7" s="191"/>
      <c r="BLK7" s="191"/>
      <c r="BLL7" s="191"/>
      <c r="BLN7" s="191"/>
      <c r="BLO7" s="191"/>
      <c r="BLP7" s="191"/>
      <c r="BLR7" s="191"/>
      <c r="BLS7" s="191"/>
      <c r="BLT7" s="191"/>
      <c r="BLV7" s="191"/>
      <c r="BLW7" s="191"/>
      <c r="BLX7" s="191"/>
      <c r="BLZ7" s="191"/>
      <c r="BMA7" s="191"/>
      <c r="BMB7" s="191"/>
      <c r="BMD7" s="191"/>
      <c r="BME7" s="191"/>
      <c r="BMF7" s="191"/>
      <c r="BMH7" s="191"/>
      <c r="BMI7" s="191"/>
      <c r="BMJ7" s="191"/>
      <c r="BML7" s="191"/>
      <c r="BMM7" s="191"/>
      <c r="BMN7" s="191"/>
      <c r="BMP7" s="191"/>
      <c r="BMQ7" s="191"/>
      <c r="BMR7" s="191"/>
      <c r="BMT7" s="191"/>
      <c r="BMU7" s="191"/>
      <c r="BMV7" s="191"/>
      <c r="BMX7" s="191"/>
      <c r="BMY7" s="191"/>
      <c r="BMZ7" s="191"/>
      <c r="BNB7" s="191"/>
      <c r="BNC7" s="191"/>
      <c r="BND7" s="191"/>
      <c r="BNF7" s="191"/>
      <c r="BNG7" s="191"/>
      <c r="BNH7" s="191"/>
      <c r="BNJ7" s="191"/>
      <c r="BNK7" s="191"/>
      <c r="BNL7" s="191"/>
      <c r="BNN7" s="191"/>
      <c r="BNO7" s="191"/>
      <c r="BNP7" s="191"/>
      <c r="BNR7" s="191"/>
      <c r="BNS7" s="191"/>
      <c r="BNT7" s="191"/>
      <c r="BNV7" s="191"/>
      <c r="BNW7" s="191"/>
      <c r="BNX7" s="191"/>
      <c r="BNZ7" s="191"/>
      <c r="BOA7" s="191"/>
      <c r="BOB7" s="191"/>
      <c r="BOD7" s="191"/>
      <c r="BOE7" s="191"/>
      <c r="BOF7" s="191"/>
      <c r="BOH7" s="191"/>
      <c r="BOI7" s="191"/>
      <c r="BOJ7" s="191"/>
      <c r="BOL7" s="191"/>
      <c r="BOM7" s="191"/>
      <c r="BON7" s="191"/>
      <c r="BOP7" s="191"/>
      <c r="BOQ7" s="191"/>
      <c r="BOR7" s="191"/>
      <c r="BOT7" s="191"/>
      <c r="BOU7" s="191"/>
      <c r="BOV7" s="191"/>
      <c r="BOX7" s="191"/>
      <c r="BOY7" s="191"/>
      <c r="BOZ7" s="191"/>
      <c r="BPB7" s="191"/>
      <c r="BPC7" s="191"/>
      <c r="BPD7" s="191"/>
      <c r="BPF7" s="191"/>
      <c r="BPG7" s="191"/>
      <c r="BPH7" s="191"/>
      <c r="BPJ7" s="191"/>
      <c r="BPK7" s="191"/>
      <c r="BPL7" s="191"/>
      <c r="BPN7" s="191"/>
      <c r="BPO7" s="191"/>
      <c r="BPP7" s="191"/>
      <c r="BPR7" s="191"/>
      <c r="BPS7" s="191"/>
      <c r="BPT7" s="191"/>
      <c r="BPV7" s="191"/>
      <c r="BPW7" s="191"/>
      <c r="BPX7" s="191"/>
      <c r="BPZ7" s="191"/>
      <c r="BQA7" s="191"/>
      <c r="BQB7" s="191"/>
      <c r="BQD7" s="191"/>
      <c r="BQE7" s="191"/>
      <c r="BQF7" s="191"/>
      <c r="BQH7" s="191"/>
      <c r="BQI7" s="191"/>
      <c r="BQJ7" s="191"/>
      <c r="BQL7" s="191"/>
      <c r="BQM7" s="191"/>
      <c r="BQN7" s="191"/>
      <c r="BQP7" s="191"/>
      <c r="BQQ7" s="191"/>
      <c r="BQR7" s="191"/>
      <c r="BQT7" s="191"/>
      <c r="BQU7" s="191"/>
      <c r="BQV7" s="191"/>
      <c r="BQX7" s="191"/>
      <c r="BQY7" s="191"/>
      <c r="BQZ7" s="191"/>
      <c r="BRB7" s="191"/>
      <c r="BRC7" s="191"/>
      <c r="BRD7" s="191"/>
      <c r="BRF7" s="191"/>
      <c r="BRG7" s="191"/>
      <c r="BRH7" s="191"/>
      <c r="BRJ7" s="191"/>
      <c r="BRK7" s="191"/>
      <c r="BRL7" s="191"/>
      <c r="BRN7" s="191"/>
      <c r="BRO7" s="191"/>
      <c r="BRP7" s="191"/>
      <c r="BRR7" s="191"/>
      <c r="BRS7" s="191"/>
      <c r="BRT7" s="191"/>
      <c r="BRV7" s="191"/>
      <c r="BRW7" s="191"/>
      <c r="BRX7" s="191"/>
      <c r="BRZ7" s="191"/>
      <c r="BSA7" s="191"/>
      <c r="BSB7" s="191"/>
      <c r="BSD7" s="191"/>
      <c r="BSE7" s="191"/>
      <c r="BSF7" s="191"/>
      <c r="BSH7" s="191"/>
      <c r="BSI7" s="191"/>
      <c r="BSJ7" s="191"/>
      <c r="BSL7" s="191"/>
      <c r="BSM7" s="191"/>
      <c r="BSN7" s="191"/>
      <c r="BSP7" s="191"/>
      <c r="BSQ7" s="191"/>
      <c r="BSR7" s="191"/>
      <c r="BST7" s="191"/>
      <c r="BSU7" s="191"/>
      <c r="BSV7" s="191"/>
      <c r="BSX7" s="191"/>
      <c r="BSY7" s="191"/>
      <c r="BSZ7" s="191"/>
      <c r="BTB7" s="191"/>
      <c r="BTC7" s="191"/>
      <c r="BTD7" s="191"/>
      <c r="BTF7" s="191"/>
      <c r="BTG7" s="191"/>
      <c r="BTH7" s="191"/>
      <c r="BTJ7" s="191"/>
      <c r="BTK7" s="191"/>
      <c r="BTL7" s="191"/>
      <c r="BTN7" s="191"/>
      <c r="BTO7" s="191"/>
      <c r="BTP7" s="191"/>
      <c r="BTR7" s="191"/>
      <c r="BTS7" s="191"/>
      <c r="BTT7" s="191"/>
      <c r="BTV7" s="191"/>
      <c r="BTW7" s="191"/>
      <c r="BTX7" s="191"/>
      <c r="BTZ7" s="191"/>
      <c r="BUA7" s="191"/>
      <c r="BUB7" s="191"/>
      <c r="BUD7" s="191"/>
      <c r="BUE7" s="191"/>
      <c r="BUF7" s="191"/>
      <c r="BUH7" s="191"/>
      <c r="BUI7" s="191"/>
      <c r="BUJ7" s="191"/>
      <c r="BUL7" s="191"/>
      <c r="BUM7" s="191"/>
      <c r="BUN7" s="191"/>
      <c r="BUP7" s="191"/>
      <c r="BUQ7" s="191"/>
      <c r="BUR7" s="191"/>
      <c r="BUT7" s="191"/>
      <c r="BUU7" s="191"/>
      <c r="BUV7" s="191"/>
      <c r="BUX7" s="191"/>
      <c r="BUY7" s="191"/>
      <c r="BUZ7" s="191"/>
      <c r="BVB7" s="191"/>
      <c r="BVC7" s="191"/>
      <c r="BVD7" s="191"/>
      <c r="BVF7" s="191"/>
      <c r="BVG7" s="191"/>
      <c r="BVH7" s="191"/>
      <c r="BVJ7" s="191"/>
      <c r="BVK7" s="191"/>
      <c r="BVL7" s="191"/>
      <c r="BVN7" s="191"/>
      <c r="BVO7" s="191"/>
      <c r="BVP7" s="191"/>
      <c r="BVR7" s="191"/>
      <c r="BVS7" s="191"/>
      <c r="BVT7" s="191"/>
      <c r="BVV7" s="191"/>
      <c r="BVW7" s="191"/>
      <c r="BVX7" s="191"/>
      <c r="BVZ7" s="191"/>
      <c r="BWA7" s="191"/>
      <c r="BWB7" s="191"/>
      <c r="BWD7" s="191"/>
      <c r="BWE7" s="191"/>
      <c r="BWF7" s="191"/>
      <c r="BWH7" s="191"/>
      <c r="BWI7" s="191"/>
      <c r="BWJ7" s="191"/>
      <c r="BWL7" s="191"/>
      <c r="BWM7" s="191"/>
      <c r="BWN7" s="191"/>
      <c r="BWP7" s="191"/>
      <c r="BWQ7" s="191"/>
      <c r="BWR7" s="191"/>
      <c r="BWT7" s="191"/>
      <c r="BWU7" s="191"/>
      <c r="BWV7" s="191"/>
      <c r="BWX7" s="191"/>
      <c r="BWY7" s="191"/>
      <c r="BWZ7" s="191"/>
      <c r="BXB7" s="191"/>
      <c r="BXC7" s="191"/>
      <c r="BXD7" s="191"/>
      <c r="BXF7" s="191"/>
      <c r="BXG7" s="191"/>
      <c r="BXH7" s="191"/>
      <c r="BXJ7" s="191"/>
      <c r="BXK7" s="191"/>
      <c r="BXL7" s="191"/>
      <c r="BXN7" s="191"/>
      <c r="BXO7" s="191"/>
      <c r="BXP7" s="191"/>
      <c r="BXR7" s="191"/>
      <c r="BXS7" s="191"/>
      <c r="BXT7" s="191"/>
      <c r="BXV7" s="191"/>
      <c r="BXW7" s="191"/>
      <c r="BXX7" s="191"/>
      <c r="BXZ7" s="191"/>
      <c r="BYA7" s="191"/>
      <c r="BYB7" s="191"/>
      <c r="BYD7" s="191"/>
      <c r="BYE7" s="191"/>
      <c r="BYF7" s="191"/>
      <c r="BYH7" s="191"/>
      <c r="BYI7" s="191"/>
      <c r="BYJ7" s="191"/>
      <c r="BYL7" s="191"/>
      <c r="BYM7" s="191"/>
      <c r="BYN7" s="191"/>
      <c r="BYP7" s="191"/>
      <c r="BYQ7" s="191"/>
      <c r="BYR7" s="191"/>
      <c r="BYT7" s="191"/>
      <c r="BYU7" s="191"/>
      <c r="BYV7" s="191"/>
      <c r="BYX7" s="191"/>
      <c r="BYY7" s="191"/>
      <c r="BYZ7" s="191"/>
      <c r="BZB7" s="191"/>
      <c r="BZC7" s="191"/>
      <c r="BZD7" s="191"/>
      <c r="BZF7" s="191"/>
      <c r="BZG7" s="191"/>
      <c r="BZH7" s="191"/>
      <c r="BZJ7" s="191"/>
      <c r="BZK7" s="191"/>
      <c r="BZL7" s="191"/>
      <c r="BZN7" s="191"/>
      <c r="BZO7" s="191"/>
      <c r="BZP7" s="191"/>
      <c r="BZR7" s="191"/>
      <c r="BZS7" s="191"/>
      <c r="BZT7" s="191"/>
      <c r="BZV7" s="191"/>
      <c r="BZW7" s="191"/>
      <c r="BZX7" s="191"/>
      <c r="BZZ7" s="191"/>
      <c r="CAA7" s="191"/>
      <c r="CAB7" s="191"/>
      <c r="CAD7" s="191"/>
      <c r="CAE7" s="191"/>
      <c r="CAF7" s="191"/>
      <c r="CAH7" s="191"/>
      <c r="CAI7" s="191"/>
      <c r="CAJ7" s="191"/>
      <c r="CAL7" s="191"/>
      <c r="CAM7" s="191"/>
      <c r="CAN7" s="191"/>
      <c r="CAP7" s="191"/>
      <c r="CAQ7" s="191"/>
      <c r="CAR7" s="191"/>
      <c r="CAT7" s="191"/>
      <c r="CAU7" s="191"/>
      <c r="CAV7" s="191"/>
      <c r="CAX7" s="191"/>
      <c r="CAY7" s="191"/>
      <c r="CAZ7" s="191"/>
      <c r="CBB7" s="191"/>
      <c r="CBC7" s="191"/>
      <c r="CBD7" s="191"/>
      <c r="CBF7" s="191"/>
      <c r="CBG7" s="191"/>
      <c r="CBH7" s="191"/>
      <c r="CBJ7" s="191"/>
      <c r="CBK7" s="191"/>
      <c r="CBL7" s="191"/>
      <c r="CBN7" s="191"/>
      <c r="CBO7" s="191"/>
      <c r="CBP7" s="191"/>
      <c r="CBR7" s="191"/>
      <c r="CBS7" s="191"/>
      <c r="CBT7" s="191"/>
      <c r="CBV7" s="191"/>
      <c r="CBW7" s="191"/>
      <c r="CBX7" s="191"/>
      <c r="CBZ7" s="191"/>
      <c r="CCA7" s="191"/>
      <c r="CCB7" s="191"/>
      <c r="CCD7" s="191"/>
      <c r="CCE7" s="191"/>
      <c r="CCF7" s="191"/>
      <c r="CCH7" s="191"/>
      <c r="CCI7" s="191"/>
      <c r="CCJ7" s="191"/>
      <c r="CCL7" s="191"/>
      <c r="CCM7" s="191"/>
      <c r="CCN7" s="191"/>
      <c r="CCP7" s="191"/>
      <c r="CCQ7" s="191"/>
      <c r="CCR7" s="191"/>
      <c r="CCT7" s="191"/>
      <c r="CCU7" s="191"/>
      <c r="CCV7" s="191"/>
      <c r="CCX7" s="191"/>
      <c r="CCY7" s="191"/>
      <c r="CCZ7" s="191"/>
      <c r="CDB7" s="191"/>
      <c r="CDC7" s="191"/>
      <c r="CDD7" s="191"/>
      <c r="CDF7" s="191"/>
      <c r="CDG7" s="191"/>
      <c r="CDH7" s="191"/>
      <c r="CDJ7" s="191"/>
      <c r="CDK7" s="191"/>
      <c r="CDL7" s="191"/>
      <c r="CDN7" s="191"/>
      <c r="CDO7" s="191"/>
      <c r="CDP7" s="191"/>
      <c r="CDR7" s="191"/>
      <c r="CDS7" s="191"/>
      <c r="CDT7" s="191"/>
      <c r="CDV7" s="191"/>
      <c r="CDW7" s="191"/>
      <c r="CDX7" s="191"/>
      <c r="CDZ7" s="191"/>
      <c r="CEA7" s="191"/>
      <c r="CEB7" s="191"/>
      <c r="CED7" s="191"/>
      <c r="CEE7" s="191"/>
      <c r="CEF7" s="191"/>
      <c r="CEH7" s="191"/>
      <c r="CEI7" s="191"/>
      <c r="CEJ7" s="191"/>
      <c r="CEL7" s="191"/>
      <c r="CEM7" s="191"/>
      <c r="CEN7" s="191"/>
      <c r="CEP7" s="191"/>
      <c r="CEQ7" s="191"/>
      <c r="CER7" s="191"/>
      <c r="CET7" s="191"/>
      <c r="CEU7" s="191"/>
      <c r="CEV7" s="191"/>
      <c r="CEX7" s="191"/>
      <c r="CEY7" s="191"/>
      <c r="CEZ7" s="191"/>
      <c r="CFB7" s="191"/>
      <c r="CFC7" s="191"/>
      <c r="CFD7" s="191"/>
      <c r="CFF7" s="191"/>
      <c r="CFG7" s="191"/>
      <c r="CFH7" s="191"/>
      <c r="CFJ7" s="191"/>
      <c r="CFK7" s="191"/>
      <c r="CFL7" s="191"/>
      <c r="CFN7" s="191"/>
      <c r="CFO7" s="191"/>
      <c r="CFP7" s="191"/>
      <c r="CFR7" s="191"/>
      <c r="CFS7" s="191"/>
      <c r="CFT7" s="191"/>
      <c r="CFV7" s="191"/>
      <c r="CFW7" s="191"/>
      <c r="CFX7" s="191"/>
      <c r="CFZ7" s="191"/>
      <c r="CGA7" s="191"/>
      <c r="CGB7" s="191"/>
      <c r="CGD7" s="191"/>
      <c r="CGE7" s="191"/>
      <c r="CGF7" s="191"/>
      <c r="CGH7" s="191"/>
      <c r="CGI7" s="191"/>
      <c r="CGJ7" s="191"/>
      <c r="CGL7" s="191"/>
      <c r="CGM7" s="191"/>
      <c r="CGN7" s="191"/>
      <c r="CGP7" s="191"/>
      <c r="CGQ7" s="191"/>
      <c r="CGR7" s="191"/>
      <c r="CGT7" s="191"/>
      <c r="CGU7" s="191"/>
      <c r="CGV7" s="191"/>
      <c r="CGX7" s="191"/>
      <c r="CGY7" s="191"/>
      <c r="CGZ7" s="191"/>
      <c r="CHB7" s="191"/>
      <c r="CHC7" s="191"/>
      <c r="CHD7" s="191"/>
      <c r="CHF7" s="191"/>
      <c r="CHG7" s="191"/>
      <c r="CHH7" s="191"/>
      <c r="CHJ7" s="191"/>
      <c r="CHK7" s="191"/>
      <c r="CHL7" s="191"/>
      <c r="CHN7" s="191"/>
      <c r="CHO7" s="191"/>
      <c r="CHP7" s="191"/>
      <c r="CHR7" s="191"/>
      <c r="CHS7" s="191"/>
      <c r="CHT7" s="191"/>
      <c r="CHV7" s="191"/>
      <c r="CHW7" s="191"/>
      <c r="CHX7" s="191"/>
      <c r="CHZ7" s="191"/>
      <c r="CIA7" s="191"/>
      <c r="CIB7" s="191"/>
      <c r="CID7" s="191"/>
      <c r="CIE7" s="191"/>
      <c r="CIF7" s="191"/>
      <c r="CIH7" s="191"/>
      <c r="CII7" s="191"/>
      <c r="CIJ7" s="191"/>
      <c r="CIL7" s="191"/>
      <c r="CIM7" s="191"/>
      <c r="CIN7" s="191"/>
      <c r="CIP7" s="191"/>
      <c r="CIQ7" s="191"/>
      <c r="CIR7" s="191"/>
      <c r="CIT7" s="191"/>
      <c r="CIU7" s="191"/>
      <c r="CIV7" s="191"/>
      <c r="CIX7" s="191"/>
      <c r="CIY7" s="191"/>
      <c r="CIZ7" s="191"/>
      <c r="CJB7" s="191"/>
      <c r="CJC7" s="191"/>
      <c r="CJD7" s="191"/>
      <c r="CJF7" s="191"/>
      <c r="CJG7" s="191"/>
      <c r="CJH7" s="191"/>
      <c r="CJJ7" s="191"/>
      <c r="CJK7" s="191"/>
      <c r="CJL7" s="191"/>
      <c r="CJN7" s="191"/>
      <c r="CJO7" s="191"/>
      <c r="CJP7" s="191"/>
      <c r="CJR7" s="191"/>
      <c r="CJS7" s="191"/>
      <c r="CJT7" s="191"/>
      <c r="CJV7" s="191"/>
      <c r="CJW7" s="191"/>
      <c r="CJX7" s="191"/>
      <c r="CJZ7" s="191"/>
      <c r="CKA7" s="191"/>
      <c r="CKB7" s="191"/>
      <c r="CKD7" s="191"/>
      <c r="CKE7" s="191"/>
      <c r="CKF7" s="191"/>
      <c r="CKH7" s="191"/>
      <c r="CKI7" s="191"/>
      <c r="CKJ7" s="191"/>
      <c r="CKL7" s="191"/>
      <c r="CKM7" s="191"/>
      <c r="CKN7" s="191"/>
      <c r="CKP7" s="191"/>
      <c r="CKQ7" s="191"/>
      <c r="CKR7" s="191"/>
      <c r="CKT7" s="191"/>
      <c r="CKU7" s="191"/>
      <c r="CKV7" s="191"/>
      <c r="CKX7" s="191"/>
      <c r="CKY7" s="191"/>
      <c r="CKZ7" s="191"/>
      <c r="CLB7" s="191"/>
      <c r="CLC7" s="191"/>
      <c r="CLD7" s="191"/>
      <c r="CLF7" s="191"/>
      <c r="CLG7" s="191"/>
      <c r="CLH7" s="191"/>
      <c r="CLJ7" s="191"/>
      <c r="CLK7" s="191"/>
      <c r="CLL7" s="191"/>
      <c r="CLN7" s="191"/>
      <c r="CLO7" s="191"/>
      <c r="CLP7" s="191"/>
      <c r="CLR7" s="191"/>
      <c r="CLS7" s="191"/>
      <c r="CLT7" s="191"/>
      <c r="CLV7" s="191"/>
      <c r="CLW7" s="191"/>
      <c r="CLX7" s="191"/>
      <c r="CLZ7" s="191"/>
      <c r="CMA7" s="191"/>
      <c r="CMB7" s="191"/>
      <c r="CMD7" s="191"/>
      <c r="CME7" s="191"/>
      <c r="CMF7" s="191"/>
      <c r="CMH7" s="191"/>
      <c r="CMI7" s="191"/>
      <c r="CMJ7" s="191"/>
      <c r="CML7" s="191"/>
      <c r="CMM7" s="191"/>
      <c r="CMN7" s="191"/>
      <c r="CMP7" s="191"/>
      <c r="CMQ7" s="191"/>
      <c r="CMR7" s="191"/>
      <c r="CMT7" s="191"/>
      <c r="CMU7" s="191"/>
      <c r="CMV7" s="191"/>
      <c r="CMX7" s="191"/>
      <c r="CMY7" s="191"/>
      <c r="CMZ7" s="191"/>
      <c r="CNB7" s="191"/>
      <c r="CNC7" s="191"/>
      <c r="CND7" s="191"/>
      <c r="CNF7" s="191"/>
      <c r="CNG7" s="191"/>
      <c r="CNH7" s="191"/>
      <c r="CNJ7" s="191"/>
      <c r="CNK7" s="191"/>
      <c r="CNL7" s="191"/>
      <c r="CNN7" s="191"/>
      <c r="CNO7" s="191"/>
      <c r="CNP7" s="191"/>
      <c r="CNR7" s="191"/>
      <c r="CNS7" s="191"/>
      <c r="CNT7" s="191"/>
      <c r="CNV7" s="191"/>
      <c r="CNW7" s="191"/>
      <c r="CNX7" s="191"/>
      <c r="CNZ7" s="191"/>
      <c r="COA7" s="191"/>
      <c r="COB7" s="191"/>
      <c r="COD7" s="191"/>
      <c r="COE7" s="191"/>
      <c r="COF7" s="191"/>
      <c r="COH7" s="191"/>
      <c r="COI7" s="191"/>
      <c r="COJ7" s="191"/>
      <c r="COL7" s="191"/>
      <c r="COM7" s="191"/>
      <c r="CON7" s="191"/>
      <c r="COP7" s="191"/>
      <c r="COQ7" s="191"/>
      <c r="COR7" s="191"/>
      <c r="COT7" s="191"/>
      <c r="COU7" s="191"/>
      <c r="COV7" s="191"/>
      <c r="COX7" s="191"/>
      <c r="COY7" s="191"/>
      <c r="COZ7" s="191"/>
      <c r="CPB7" s="191"/>
      <c r="CPC7" s="191"/>
      <c r="CPD7" s="191"/>
      <c r="CPF7" s="191"/>
      <c r="CPG7" s="191"/>
      <c r="CPH7" s="191"/>
      <c r="CPJ7" s="191"/>
      <c r="CPK7" s="191"/>
      <c r="CPL7" s="191"/>
      <c r="CPN7" s="191"/>
      <c r="CPO7" s="191"/>
      <c r="CPP7" s="191"/>
      <c r="CPR7" s="191"/>
      <c r="CPS7" s="191"/>
      <c r="CPT7" s="191"/>
      <c r="CPV7" s="191"/>
      <c r="CPW7" s="191"/>
      <c r="CPX7" s="191"/>
      <c r="CPZ7" s="191"/>
      <c r="CQA7" s="191"/>
      <c r="CQB7" s="191"/>
      <c r="CQD7" s="191"/>
      <c r="CQE7" s="191"/>
      <c r="CQF7" s="191"/>
      <c r="CQH7" s="191"/>
      <c r="CQI7" s="191"/>
      <c r="CQJ7" s="191"/>
      <c r="CQL7" s="191"/>
      <c r="CQM7" s="191"/>
      <c r="CQN7" s="191"/>
      <c r="CQP7" s="191"/>
      <c r="CQQ7" s="191"/>
      <c r="CQR7" s="191"/>
      <c r="CQT7" s="191"/>
      <c r="CQU7" s="191"/>
      <c r="CQV7" s="191"/>
      <c r="CQX7" s="191"/>
      <c r="CQY7" s="191"/>
      <c r="CQZ7" s="191"/>
      <c r="CRB7" s="191"/>
      <c r="CRC7" s="191"/>
      <c r="CRD7" s="191"/>
      <c r="CRF7" s="191"/>
      <c r="CRG7" s="191"/>
      <c r="CRH7" s="191"/>
      <c r="CRJ7" s="191"/>
      <c r="CRK7" s="191"/>
      <c r="CRL7" s="191"/>
      <c r="CRN7" s="191"/>
      <c r="CRO7" s="191"/>
      <c r="CRP7" s="191"/>
      <c r="CRR7" s="191"/>
      <c r="CRS7" s="191"/>
      <c r="CRT7" s="191"/>
      <c r="CRV7" s="191"/>
      <c r="CRW7" s="191"/>
      <c r="CRX7" s="191"/>
      <c r="CRZ7" s="191"/>
      <c r="CSA7" s="191"/>
      <c r="CSB7" s="191"/>
      <c r="CSD7" s="191"/>
      <c r="CSE7" s="191"/>
      <c r="CSF7" s="191"/>
      <c r="CSH7" s="191"/>
      <c r="CSI7" s="191"/>
      <c r="CSJ7" s="191"/>
      <c r="CSL7" s="191"/>
      <c r="CSM7" s="191"/>
      <c r="CSN7" s="191"/>
      <c r="CSP7" s="191"/>
      <c r="CSQ7" s="191"/>
      <c r="CSR7" s="191"/>
      <c r="CST7" s="191"/>
      <c r="CSU7" s="191"/>
      <c r="CSV7" s="191"/>
      <c r="CSX7" s="191"/>
      <c r="CSY7" s="191"/>
      <c r="CSZ7" s="191"/>
      <c r="CTB7" s="191"/>
      <c r="CTC7" s="191"/>
      <c r="CTD7" s="191"/>
      <c r="CTF7" s="191"/>
      <c r="CTG7" s="191"/>
      <c r="CTH7" s="191"/>
      <c r="CTJ7" s="191"/>
      <c r="CTK7" s="191"/>
      <c r="CTL7" s="191"/>
      <c r="CTN7" s="191"/>
      <c r="CTO7" s="191"/>
      <c r="CTP7" s="191"/>
      <c r="CTR7" s="191"/>
      <c r="CTS7" s="191"/>
      <c r="CTT7" s="191"/>
      <c r="CTV7" s="191"/>
      <c r="CTW7" s="191"/>
      <c r="CTX7" s="191"/>
      <c r="CTZ7" s="191"/>
      <c r="CUA7" s="191"/>
      <c r="CUB7" s="191"/>
      <c r="CUD7" s="191"/>
      <c r="CUE7" s="191"/>
      <c r="CUF7" s="191"/>
      <c r="CUH7" s="191"/>
      <c r="CUI7" s="191"/>
      <c r="CUJ7" s="191"/>
      <c r="CUL7" s="191"/>
      <c r="CUM7" s="191"/>
      <c r="CUN7" s="191"/>
      <c r="CUP7" s="191"/>
      <c r="CUQ7" s="191"/>
      <c r="CUR7" s="191"/>
      <c r="CUT7" s="191"/>
      <c r="CUU7" s="191"/>
      <c r="CUV7" s="191"/>
      <c r="CUX7" s="191"/>
      <c r="CUY7" s="191"/>
      <c r="CUZ7" s="191"/>
      <c r="CVB7" s="191"/>
      <c r="CVC7" s="191"/>
      <c r="CVD7" s="191"/>
      <c r="CVF7" s="191"/>
      <c r="CVG7" s="191"/>
      <c r="CVH7" s="191"/>
      <c r="CVJ7" s="191"/>
      <c r="CVK7" s="191"/>
      <c r="CVL7" s="191"/>
      <c r="CVN7" s="191"/>
      <c r="CVO7" s="191"/>
      <c r="CVP7" s="191"/>
      <c r="CVR7" s="191"/>
      <c r="CVS7" s="191"/>
      <c r="CVT7" s="191"/>
      <c r="CVV7" s="191"/>
      <c r="CVW7" s="191"/>
      <c r="CVX7" s="191"/>
      <c r="CVZ7" s="191"/>
      <c r="CWA7" s="191"/>
      <c r="CWB7" s="191"/>
      <c r="CWD7" s="191"/>
      <c r="CWE7" s="191"/>
      <c r="CWF7" s="191"/>
      <c r="CWH7" s="191"/>
      <c r="CWI7" s="191"/>
      <c r="CWJ7" s="191"/>
      <c r="CWL7" s="191"/>
      <c r="CWM7" s="191"/>
      <c r="CWN7" s="191"/>
      <c r="CWP7" s="191"/>
      <c r="CWQ7" s="191"/>
      <c r="CWR7" s="191"/>
      <c r="CWT7" s="191"/>
      <c r="CWU7" s="191"/>
      <c r="CWV7" s="191"/>
      <c r="CWX7" s="191"/>
      <c r="CWY7" s="191"/>
      <c r="CWZ7" s="191"/>
      <c r="CXB7" s="191"/>
      <c r="CXC7" s="191"/>
      <c r="CXD7" s="191"/>
      <c r="CXF7" s="191"/>
      <c r="CXG7" s="191"/>
      <c r="CXH7" s="191"/>
      <c r="CXJ7" s="191"/>
      <c r="CXK7" s="191"/>
      <c r="CXL7" s="191"/>
      <c r="CXN7" s="191"/>
      <c r="CXO7" s="191"/>
      <c r="CXP7" s="191"/>
      <c r="CXR7" s="191"/>
      <c r="CXS7" s="191"/>
      <c r="CXT7" s="191"/>
      <c r="CXV7" s="191"/>
      <c r="CXW7" s="191"/>
      <c r="CXX7" s="191"/>
      <c r="CXZ7" s="191"/>
      <c r="CYA7" s="191"/>
      <c r="CYB7" s="191"/>
      <c r="CYD7" s="191"/>
      <c r="CYE7" s="191"/>
      <c r="CYF7" s="191"/>
      <c r="CYH7" s="191"/>
      <c r="CYI7" s="191"/>
      <c r="CYJ7" s="191"/>
      <c r="CYL7" s="191"/>
      <c r="CYM7" s="191"/>
      <c r="CYN7" s="191"/>
      <c r="CYP7" s="191"/>
      <c r="CYQ7" s="191"/>
      <c r="CYR7" s="191"/>
      <c r="CYT7" s="191"/>
      <c r="CYU7" s="191"/>
      <c r="CYV7" s="191"/>
      <c r="CYX7" s="191"/>
      <c r="CYY7" s="191"/>
      <c r="CYZ7" s="191"/>
      <c r="CZB7" s="191"/>
      <c r="CZC7" s="191"/>
      <c r="CZD7" s="191"/>
      <c r="CZF7" s="191"/>
      <c r="CZG7" s="191"/>
      <c r="CZH7" s="191"/>
      <c r="CZJ7" s="191"/>
      <c r="CZK7" s="191"/>
      <c r="CZL7" s="191"/>
      <c r="CZN7" s="191"/>
      <c r="CZO7" s="191"/>
      <c r="CZP7" s="191"/>
      <c r="CZR7" s="191"/>
      <c r="CZS7" s="191"/>
      <c r="CZT7" s="191"/>
      <c r="CZV7" s="191"/>
      <c r="CZW7" s="191"/>
      <c r="CZX7" s="191"/>
      <c r="CZZ7" s="191"/>
      <c r="DAA7" s="191"/>
      <c r="DAB7" s="191"/>
      <c r="DAD7" s="191"/>
      <c r="DAE7" s="191"/>
      <c r="DAF7" s="191"/>
      <c r="DAH7" s="191"/>
      <c r="DAI7" s="191"/>
      <c r="DAJ7" s="191"/>
      <c r="DAL7" s="191"/>
      <c r="DAM7" s="191"/>
      <c r="DAN7" s="191"/>
      <c r="DAP7" s="191"/>
      <c r="DAQ7" s="191"/>
      <c r="DAR7" s="191"/>
      <c r="DAT7" s="191"/>
      <c r="DAU7" s="191"/>
      <c r="DAV7" s="191"/>
      <c r="DAX7" s="191"/>
      <c r="DAY7" s="191"/>
      <c r="DAZ7" s="191"/>
      <c r="DBB7" s="191"/>
      <c r="DBC7" s="191"/>
      <c r="DBD7" s="191"/>
      <c r="DBF7" s="191"/>
      <c r="DBG7" s="191"/>
      <c r="DBH7" s="191"/>
      <c r="DBJ7" s="191"/>
      <c r="DBK7" s="191"/>
      <c r="DBL7" s="191"/>
      <c r="DBN7" s="191"/>
      <c r="DBO7" s="191"/>
      <c r="DBP7" s="191"/>
      <c r="DBR7" s="191"/>
      <c r="DBS7" s="191"/>
      <c r="DBT7" s="191"/>
      <c r="DBV7" s="191"/>
      <c r="DBW7" s="191"/>
      <c r="DBX7" s="191"/>
      <c r="DBZ7" s="191"/>
      <c r="DCA7" s="191"/>
      <c r="DCB7" s="191"/>
      <c r="DCD7" s="191"/>
      <c r="DCE7" s="191"/>
      <c r="DCF7" s="191"/>
      <c r="DCH7" s="191"/>
      <c r="DCI7" s="191"/>
      <c r="DCJ7" s="191"/>
      <c r="DCL7" s="191"/>
      <c r="DCM7" s="191"/>
      <c r="DCN7" s="191"/>
      <c r="DCP7" s="191"/>
      <c r="DCQ7" s="191"/>
      <c r="DCR7" s="191"/>
      <c r="DCT7" s="191"/>
      <c r="DCU7" s="191"/>
      <c r="DCV7" s="191"/>
      <c r="DCX7" s="191"/>
      <c r="DCY7" s="191"/>
      <c r="DCZ7" s="191"/>
      <c r="DDB7" s="191"/>
      <c r="DDC7" s="191"/>
      <c r="DDD7" s="191"/>
      <c r="DDF7" s="191"/>
      <c r="DDG7" s="191"/>
      <c r="DDH7" s="191"/>
      <c r="DDJ7" s="191"/>
      <c r="DDK7" s="191"/>
      <c r="DDL7" s="191"/>
      <c r="DDN7" s="191"/>
      <c r="DDO7" s="191"/>
      <c r="DDP7" s="191"/>
      <c r="DDR7" s="191"/>
      <c r="DDS7" s="191"/>
      <c r="DDT7" s="191"/>
      <c r="DDV7" s="191"/>
      <c r="DDW7" s="191"/>
      <c r="DDX7" s="191"/>
      <c r="DDZ7" s="191"/>
      <c r="DEA7" s="191"/>
      <c r="DEB7" s="191"/>
      <c r="DED7" s="191"/>
      <c r="DEE7" s="191"/>
      <c r="DEF7" s="191"/>
      <c r="DEH7" s="191"/>
      <c r="DEI7" s="191"/>
      <c r="DEJ7" s="191"/>
      <c r="DEL7" s="191"/>
      <c r="DEM7" s="191"/>
      <c r="DEN7" s="191"/>
      <c r="DEP7" s="191"/>
      <c r="DEQ7" s="191"/>
      <c r="DER7" s="191"/>
      <c r="DET7" s="191"/>
      <c r="DEU7" s="191"/>
      <c r="DEV7" s="191"/>
      <c r="DEX7" s="191"/>
      <c r="DEY7" s="191"/>
      <c r="DEZ7" s="191"/>
      <c r="DFB7" s="191"/>
      <c r="DFC7" s="191"/>
      <c r="DFD7" s="191"/>
      <c r="DFF7" s="191"/>
      <c r="DFG7" s="191"/>
      <c r="DFH7" s="191"/>
      <c r="DFJ7" s="191"/>
      <c r="DFK7" s="191"/>
      <c r="DFL7" s="191"/>
      <c r="DFN7" s="191"/>
      <c r="DFO7" s="191"/>
      <c r="DFP7" s="191"/>
      <c r="DFR7" s="191"/>
      <c r="DFS7" s="191"/>
      <c r="DFT7" s="191"/>
      <c r="DFV7" s="191"/>
      <c r="DFW7" s="191"/>
      <c r="DFX7" s="191"/>
      <c r="DFZ7" s="191"/>
      <c r="DGA7" s="191"/>
      <c r="DGB7" s="191"/>
      <c r="DGD7" s="191"/>
      <c r="DGE7" s="191"/>
      <c r="DGF7" s="191"/>
      <c r="DGH7" s="191"/>
      <c r="DGI7" s="191"/>
      <c r="DGJ7" s="191"/>
      <c r="DGL7" s="191"/>
      <c r="DGM7" s="191"/>
      <c r="DGN7" s="191"/>
      <c r="DGP7" s="191"/>
      <c r="DGQ7" s="191"/>
      <c r="DGR7" s="191"/>
      <c r="DGT7" s="191"/>
      <c r="DGU7" s="191"/>
      <c r="DGV7" s="191"/>
      <c r="DGX7" s="191"/>
      <c r="DGY7" s="191"/>
      <c r="DGZ7" s="191"/>
      <c r="DHB7" s="191"/>
      <c r="DHC7" s="191"/>
      <c r="DHD7" s="191"/>
      <c r="DHF7" s="191"/>
      <c r="DHG7" s="191"/>
      <c r="DHH7" s="191"/>
      <c r="DHJ7" s="191"/>
      <c r="DHK7" s="191"/>
      <c r="DHL7" s="191"/>
      <c r="DHN7" s="191"/>
      <c r="DHO7" s="191"/>
      <c r="DHP7" s="191"/>
      <c r="DHR7" s="191"/>
      <c r="DHS7" s="191"/>
      <c r="DHT7" s="191"/>
      <c r="DHV7" s="191"/>
      <c r="DHW7" s="191"/>
      <c r="DHX7" s="191"/>
      <c r="DHZ7" s="191"/>
      <c r="DIA7" s="191"/>
      <c r="DIB7" s="191"/>
      <c r="DID7" s="191"/>
      <c r="DIE7" s="191"/>
      <c r="DIF7" s="191"/>
      <c r="DIH7" s="191"/>
      <c r="DII7" s="191"/>
      <c r="DIJ7" s="191"/>
      <c r="DIL7" s="191"/>
      <c r="DIM7" s="191"/>
      <c r="DIN7" s="191"/>
      <c r="DIP7" s="191"/>
      <c r="DIQ7" s="191"/>
      <c r="DIR7" s="191"/>
      <c r="DIT7" s="191"/>
      <c r="DIU7" s="191"/>
      <c r="DIV7" s="191"/>
      <c r="DIX7" s="191"/>
      <c r="DIY7" s="191"/>
      <c r="DIZ7" s="191"/>
      <c r="DJB7" s="191"/>
      <c r="DJC7" s="191"/>
      <c r="DJD7" s="191"/>
      <c r="DJF7" s="191"/>
      <c r="DJG7" s="191"/>
      <c r="DJH7" s="191"/>
      <c r="DJJ7" s="191"/>
      <c r="DJK7" s="191"/>
      <c r="DJL7" s="191"/>
      <c r="DJN7" s="191"/>
      <c r="DJO7" s="191"/>
      <c r="DJP7" s="191"/>
      <c r="DJR7" s="191"/>
      <c r="DJS7" s="191"/>
      <c r="DJT7" s="191"/>
      <c r="DJV7" s="191"/>
      <c r="DJW7" s="191"/>
      <c r="DJX7" s="191"/>
      <c r="DJZ7" s="191"/>
      <c r="DKA7" s="191"/>
      <c r="DKB7" s="191"/>
      <c r="DKD7" s="191"/>
      <c r="DKE7" s="191"/>
      <c r="DKF7" s="191"/>
      <c r="DKH7" s="191"/>
      <c r="DKI7" s="191"/>
      <c r="DKJ7" s="191"/>
      <c r="DKL7" s="191"/>
      <c r="DKM7" s="191"/>
      <c r="DKN7" s="191"/>
      <c r="DKP7" s="191"/>
      <c r="DKQ7" s="191"/>
      <c r="DKR7" s="191"/>
      <c r="DKT7" s="191"/>
      <c r="DKU7" s="191"/>
      <c r="DKV7" s="191"/>
      <c r="DKX7" s="191"/>
      <c r="DKY7" s="191"/>
      <c r="DKZ7" s="191"/>
      <c r="DLB7" s="191"/>
      <c r="DLC7" s="191"/>
      <c r="DLD7" s="191"/>
      <c r="DLF7" s="191"/>
      <c r="DLG7" s="191"/>
      <c r="DLH7" s="191"/>
      <c r="DLJ7" s="191"/>
      <c r="DLK7" s="191"/>
      <c r="DLL7" s="191"/>
      <c r="DLN7" s="191"/>
      <c r="DLO7" s="191"/>
      <c r="DLP7" s="191"/>
      <c r="DLR7" s="191"/>
      <c r="DLS7" s="191"/>
      <c r="DLT7" s="191"/>
      <c r="DLV7" s="191"/>
      <c r="DLW7" s="191"/>
      <c r="DLX7" s="191"/>
      <c r="DLZ7" s="191"/>
      <c r="DMA7" s="191"/>
      <c r="DMB7" s="191"/>
      <c r="DMD7" s="191"/>
      <c r="DME7" s="191"/>
      <c r="DMF7" s="191"/>
      <c r="DMH7" s="191"/>
      <c r="DMI7" s="191"/>
      <c r="DMJ7" s="191"/>
      <c r="DML7" s="191"/>
      <c r="DMM7" s="191"/>
      <c r="DMN7" s="191"/>
      <c r="DMP7" s="191"/>
      <c r="DMQ7" s="191"/>
      <c r="DMR7" s="191"/>
      <c r="DMT7" s="191"/>
      <c r="DMU7" s="191"/>
      <c r="DMV7" s="191"/>
      <c r="DMX7" s="191"/>
      <c r="DMY7" s="191"/>
      <c r="DMZ7" s="191"/>
      <c r="DNB7" s="191"/>
      <c r="DNC7" s="191"/>
      <c r="DND7" s="191"/>
      <c r="DNF7" s="191"/>
      <c r="DNG7" s="191"/>
      <c r="DNH7" s="191"/>
      <c r="DNJ7" s="191"/>
      <c r="DNK7" s="191"/>
      <c r="DNL7" s="191"/>
      <c r="DNN7" s="191"/>
      <c r="DNO7" s="191"/>
      <c r="DNP7" s="191"/>
      <c r="DNR7" s="191"/>
      <c r="DNS7" s="191"/>
      <c r="DNT7" s="191"/>
      <c r="DNV7" s="191"/>
      <c r="DNW7" s="191"/>
      <c r="DNX7" s="191"/>
      <c r="DNZ7" s="191"/>
      <c r="DOA7" s="191"/>
      <c r="DOB7" s="191"/>
      <c r="DOD7" s="191"/>
      <c r="DOE7" s="191"/>
      <c r="DOF7" s="191"/>
      <c r="DOH7" s="191"/>
      <c r="DOI7" s="191"/>
      <c r="DOJ7" s="191"/>
      <c r="DOL7" s="191"/>
      <c r="DOM7" s="191"/>
      <c r="DON7" s="191"/>
      <c r="DOP7" s="191"/>
      <c r="DOQ7" s="191"/>
      <c r="DOR7" s="191"/>
      <c r="DOT7" s="191"/>
      <c r="DOU7" s="191"/>
      <c r="DOV7" s="191"/>
      <c r="DOX7" s="191"/>
      <c r="DOY7" s="191"/>
      <c r="DOZ7" s="191"/>
      <c r="DPB7" s="191"/>
      <c r="DPC7" s="191"/>
      <c r="DPD7" s="191"/>
      <c r="DPF7" s="191"/>
      <c r="DPG7" s="191"/>
      <c r="DPH7" s="191"/>
      <c r="DPJ7" s="191"/>
      <c r="DPK7" s="191"/>
      <c r="DPL7" s="191"/>
      <c r="DPN7" s="191"/>
      <c r="DPO7" s="191"/>
      <c r="DPP7" s="191"/>
      <c r="DPR7" s="191"/>
      <c r="DPS7" s="191"/>
      <c r="DPT7" s="191"/>
      <c r="DPV7" s="191"/>
      <c r="DPW7" s="191"/>
      <c r="DPX7" s="191"/>
      <c r="DPZ7" s="191"/>
      <c r="DQA7" s="191"/>
      <c r="DQB7" s="191"/>
      <c r="DQD7" s="191"/>
      <c r="DQE7" s="191"/>
      <c r="DQF7" s="191"/>
      <c r="DQH7" s="191"/>
      <c r="DQI7" s="191"/>
      <c r="DQJ7" s="191"/>
      <c r="DQL7" s="191"/>
      <c r="DQM7" s="191"/>
      <c r="DQN7" s="191"/>
      <c r="DQP7" s="191"/>
      <c r="DQQ7" s="191"/>
      <c r="DQR7" s="191"/>
      <c r="DQT7" s="191"/>
      <c r="DQU7" s="191"/>
      <c r="DQV7" s="191"/>
      <c r="DQX7" s="191"/>
      <c r="DQY7" s="191"/>
      <c r="DQZ7" s="191"/>
      <c r="DRB7" s="191"/>
      <c r="DRC7" s="191"/>
      <c r="DRD7" s="191"/>
      <c r="DRF7" s="191"/>
      <c r="DRG7" s="191"/>
      <c r="DRH7" s="191"/>
      <c r="DRJ7" s="191"/>
      <c r="DRK7" s="191"/>
      <c r="DRL7" s="191"/>
      <c r="DRN7" s="191"/>
      <c r="DRO7" s="191"/>
      <c r="DRP7" s="191"/>
      <c r="DRR7" s="191"/>
      <c r="DRS7" s="191"/>
      <c r="DRT7" s="191"/>
      <c r="DRV7" s="191"/>
      <c r="DRW7" s="191"/>
      <c r="DRX7" s="191"/>
      <c r="DRZ7" s="191"/>
      <c r="DSA7" s="191"/>
      <c r="DSB7" s="191"/>
      <c r="DSD7" s="191"/>
      <c r="DSE7" s="191"/>
      <c r="DSF7" s="191"/>
      <c r="DSH7" s="191"/>
      <c r="DSI7" s="191"/>
      <c r="DSJ7" s="191"/>
      <c r="DSL7" s="191"/>
      <c r="DSM7" s="191"/>
      <c r="DSN7" s="191"/>
      <c r="DSP7" s="191"/>
      <c r="DSQ7" s="191"/>
      <c r="DSR7" s="191"/>
      <c r="DST7" s="191"/>
      <c r="DSU7" s="191"/>
      <c r="DSV7" s="191"/>
      <c r="DSX7" s="191"/>
      <c r="DSY7" s="191"/>
      <c r="DSZ7" s="191"/>
      <c r="DTB7" s="191"/>
      <c r="DTC7" s="191"/>
      <c r="DTD7" s="191"/>
      <c r="DTF7" s="191"/>
      <c r="DTG7" s="191"/>
      <c r="DTH7" s="191"/>
      <c r="DTJ7" s="191"/>
      <c r="DTK7" s="191"/>
      <c r="DTL7" s="191"/>
      <c r="DTN7" s="191"/>
      <c r="DTO7" s="191"/>
      <c r="DTP7" s="191"/>
      <c r="DTR7" s="191"/>
      <c r="DTS7" s="191"/>
      <c r="DTT7" s="191"/>
      <c r="DTV7" s="191"/>
      <c r="DTW7" s="191"/>
      <c r="DTX7" s="191"/>
      <c r="DTZ7" s="191"/>
      <c r="DUA7" s="191"/>
      <c r="DUB7" s="191"/>
      <c r="DUD7" s="191"/>
      <c r="DUE7" s="191"/>
      <c r="DUF7" s="191"/>
      <c r="DUH7" s="191"/>
      <c r="DUI7" s="191"/>
      <c r="DUJ7" s="191"/>
      <c r="DUL7" s="191"/>
      <c r="DUM7" s="191"/>
      <c r="DUN7" s="191"/>
      <c r="DUP7" s="191"/>
      <c r="DUQ7" s="191"/>
      <c r="DUR7" s="191"/>
      <c r="DUT7" s="191"/>
      <c r="DUU7" s="191"/>
      <c r="DUV7" s="191"/>
      <c r="DUX7" s="191"/>
      <c r="DUY7" s="191"/>
      <c r="DUZ7" s="191"/>
      <c r="DVB7" s="191"/>
      <c r="DVC7" s="191"/>
      <c r="DVD7" s="191"/>
      <c r="DVF7" s="191"/>
      <c r="DVG7" s="191"/>
      <c r="DVH7" s="191"/>
      <c r="DVJ7" s="191"/>
      <c r="DVK7" s="191"/>
      <c r="DVL7" s="191"/>
      <c r="DVN7" s="191"/>
      <c r="DVO7" s="191"/>
      <c r="DVP7" s="191"/>
      <c r="DVR7" s="191"/>
      <c r="DVS7" s="191"/>
      <c r="DVT7" s="191"/>
      <c r="DVV7" s="191"/>
      <c r="DVW7" s="191"/>
      <c r="DVX7" s="191"/>
      <c r="DVZ7" s="191"/>
      <c r="DWA7" s="191"/>
      <c r="DWB7" s="191"/>
      <c r="DWD7" s="191"/>
      <c r="DWE7" s="191"/>
      <c r="DWF7" s="191"/>
      <c r="DWH7" s="191"/>
      <c r="DWI7" s="191"/>
      <c r="DWJ7" s="191"/>
      <c r="DWL7" s="191"/>
      <c r="DWM7" s="191"/>
      <c r="DWN7" s="191"/>
      <c r="DWP7" s="191"/>
      <c r="DWQ7" s="191"/>
      <c r="DWR7" s="191"/>
      <c r="DWT7" s="191"/>
      <c r="DWU7" s="191"/>
      <c r="DWV7" s="191"/>
      <c r="DWX7" s="191"/>
      <c r="DWY7" s="191"/>
      <c r="DWZ7" s="191"/>
      <c r="DXB7" s="191"/>
      <c r="DXC7" s="191"/>
      <c r="DXD7" s="191"/>
      <c r="DXF7" s="191"/>
      <c r="DXG7" s="191"/>
      <c r="DXH7" s="191"/>
      <c r="DXJ7" s="191"/>
      <c r="DXK7" s="191"/>
      <c r="DXL7" s="191"/>
      <c r="DXN7" s="191"/>
      <c r="DXO7" s="191"/>
      <c r="DXP7" s="191"/>
      <c r="DXR7" s="191"/>
      <c r="DXS7" s="191"/>
      <c r="DXT7" s="191"/>
      <c r="DXV7" s="191"/>
      <c r="DXW7" s="191"/>
      <c r="DXX7" s="191"/>
      <c r="DXZ7" s="191"/>
      <c r="DYA7" s="191"/>
      <c r="DYB7" s="191"/>
      <c r="DYD7" s="191"/>
      <c r="DYE7" s="191"/>
      <c r="DYF7" s="191"/>
      <c r="DYH7" s="191"/>
      <c r="DYI7" s="191"/>
      <c r="DYJ7" s="191"/>
      <c r="DYL7" s="191"/>
      <c r="DYM7" s="191"/>
      <c r="DYN7" s="191"/>
      <c r="DYP7" s="191"/>
      <c r="DYQ7" s="191"/>
      <c r="DYR7" s="191"/>
      <c r="DYT7" s="191"/>
      <c r="DYU7" s="191"/>
      <c r="DYV7" s="191"/>
      <c r="DYX7" s="191"/>
      <c r="DYY7" s="191"/>
      <c r="DYZ7" s="191"/>
      <c r="DZB7" s="191"/>
      <c r="DZC7" s="191"/>
      <c r="DZD7" s="191"/>
      <c r="DZF7" s="191"/>
      <c r="DZG7" s="191"/>
      <c r="DZH7" s="191"/>
      <c r="DZJ7" s="191"/>
      <c r="DZK7" s="191"/>
      <c r="DZL7" s="191"/>
      <c r="DZN7" s="191"/>
      <c r="DZO7" s="191"/>
      <c r="DZP7" s="191"/>
      <c r="DZR7" s="191"/>
      <c r="DZS7" s="191"/>
      <c r="DZT7" s="191"/>
      <c r="DZV7" s="191"/>
      <c r="DZW7" s="191"/>
      <c r="DZX7" s="191"/>
      <c r="DZZ7" s="191"/>
      <c r="EAA7" s="191"/>
      <c r="EAB7" s="191"/>
      <c r="EAD7" s="191"/>
      <c r="EAE7" s="191"/>
      <c r="EAF7" s="191"/>
      <c r="EAH7" s="191"/>
      <c r="EAI7" s="191"/>
      <c r="EAJ7" s="191"/>
      <c r="EAL7" s="191"/>
      <c r="EAM7" s="191"/>
      <c r="EAN7" s="191"/>
      <c r="EAP7" s="191"/>
      <c r="EAQ7" s="191"/>
      <c r="EAR7" s="191"/>
      <c r="EAT7" s="191"/>
      <c r="EAU7" s="191"/>
      <c r="EAV7" s="191"/>
      <c r="EAX7" s="191"/>
      <c r="EAY7" s="191"/>
      <c r="EAZ7" s="191"/>
      <c r="EBB7" s="191"/>
      <c r="EBC7" s="191"/>
      <c r="EBD7" s="191"/>
      <c r="EBF7" s="191"/>
      <c r="EBG7" s="191"/>
      <c r="EBH7" s="191"/>
      <c r="EBJ7" s="191"/>
      <c r="EBK7" s="191"/>
      <c r="EBL7" s="191"/>
      <c r="EBN7" s="191"/>
      <c r="EBO7" s="191"/>
      <c r="EBP7" s="191"/>
      <c r="EBR7" s="191"/>
      <c r="EBS7" s="191"/>
      <c r="EBT7" s="191"/>
      <c r="EBV7" s="191"/>
      <c r="EBW7" s="191"/>
      <c r="EBX7" s="191"/>
      <c r="EBZ7" s="191"/>
      <c r="ECA7" s="191"/>
      <c r="ECB7" s="191"/>
      <c r="ECD7" s="191"/>
      <c r="ECE7" s="191"/>
      <c r="ECF7" s="191"/>
      <c r="ECH7" s="191"/>
      <c r="ECI7" s="191"/>
      <c r="ECJ7" s="191"/>
      <c r="ECL7" s="191"/>
      <c r="ECM7" s="191"/>
      <c r="ECN7" s="191"/>
      <c r="ECP7" s="191"/>
      <c r="ECQ7" s="191"/>
      <c r="ECR7" s="191"/>
      <c r="ECT7" s="191"/>
      <c r="ECU7" s="191"/>
      <c r="ECV7" s="191"/>
      <c r="ECX7" s="191"/>
      <c r="ECY7" s="191"/>
      <c r="ECZ7" s="191"/>
      <c r="EDB7" s="191"/>
      <c r="EDC7" s="191"/>
      <c r="EDD7" s="191"/>
      <c r="EDF7" s="191"/>
      <c r="EDG7" s="191"/>
      <c r="EDH7" s="191"/>
      <c r="EDJ7" s="191"/>
      <c r="EDK7" s="191"/>
      <c r="EDL7" s="191"/>
      <c r="EDN7" s="191"/>
      <c r="EDO7" s="191"/>
      <c r="EDP7" s="191"/>
      <c r="EDR7" s="191"/>
      <c r="EDS7" s="191"/>
      <c r="EDT7" s="191"/>
      <c r="EDV7" s="191"/>
      <c r="EDW7" s="191"/>
      <c r="EDX7" s="191"/>
      <c r="EDZ7" s="191"/>
      <c r="EEA7" s="191"/>
      <c r="EEB7" s="191"/>
      <c r="EED7" s="191"/>
      <c r="EEE7" s="191"/>
      <c r="EEF7" s="191"/>
      <c r="EEH7" s="191"/>
      <c r="EEI7" s="191"/>
      <c r="EEJ7" s="191"/>
      <c r="EEL7" s="191"/>
      <c r="EEM7" s="191"/>
      <c r="EEN7" s="191"/>
      <c r="EEP7" s="191"/>
      <c r="EEQ7" s="191"/>
      <c r="EER7" s="191"/>
      <c r="EET7" s="191"/>
      <c r="EEU7" s="191"/>
      <c r="EEV7" s="191"/>
      <c r="EEX7" s="191"/>
      <c r="EEY7" s="191"/>
      <c r="EEZ7" s="191"/>
      <c r="EFB7" s="191"/>
      <c r="EFC7" s="191"/>
      <c r="EFD7" s="191"/>
      <c r="EFF7" s="191"/>
      <c r="EFG7" s="191"/>
      <c r="EFH7" s="191"/>
      <c r="EFJ7" s="191"/>
      <c r="EFK7" s="191"/>
      <c r="EFL7" s="191"/>
      <c r="EFN7" s="191"/>
      <c r="EFO7" s="191"/>
      <c r="EFP7" s="191"/>
      <c r="EFR7" s="191"/>
      <c r="EFS7" s="191"/>
      <c r="EFT7" s="191"/>
      <c r="EFV7" s="191"/>
      <c r="EFW7" s="191"/>
      <c r="EFX7" s="191"/>
      <c r="EFZ7" s="191"/>
      <c r="EGA7" s="191"/>
      <c r="EGB7" s="191"/>
      <c r="EGD7" s="191"/>
      <c r="EGE7" s="191"/>
      <c r="EGF7" s="191"/>
      <c r="EGH7" s="191"/>
      <c r="EGI7" s="191"/>
      <c r="EGJ7" s="191"/>
      <c r="EGL7" s="191"/>
      <c r="EGM7" s="191"/>
      <c r="EGN7" s="191"/>
      <c r="EGP7" s="191"/>
      <c r="EGQ7" s="191"/>
      <c r="EGR7" s="191"/>
      <c r="EGT7" s="191"/>
      <c r="EGU7" s="191"/>
      <c r="EGV7" s="191"/>
      <c r="EGX7" s="191"/>
      <c r="EGY7" s="191"/>
      <c r="EGZ7" s="191"/>
      <c r="EHB7" s="191"/>
      <c r="EHC7" s="191"/>
      <c r="EHD7" s="191"/>
      <c r="EHF7" s="191"/>
      <c r="EHG7" s="191"/>
      <c r="EHH7" s="191"/>
      <c r="EHJ7" s="191"/>
      <c r="EHK7" s="191"/>
      <c r="EHL7" s="191"/>
      <c r="EHN7" s="191"/>
      <c r="EHO7" s="191"/>
      <c r="EHP7" s="191"/>
      <c r="EHR7" s="191"/>
      <c r="EHS7" s="191"/>
      <c r="EHT7" s="191"/>
      <c r="EHV7" s="191"/>
      <c r="EHW7" s="191"/>
      <c r="EHX7" s="191"/>
      <c r="EHZ7" s="191"/>
      <c r="EIA7" s="191"/>
      <c r="EIB7" s="191"/>
      <c r="EID7" s="191"/>
      <c r="EIE7" s="191"/>
      <c r="EIF7" s="191"/>
      <c r="EIH7" s="191"/>
      <c r="EII7" s="191"/>
      <c r="EIJ7" s="191"/>
      <c r="EIL7" s="191"/>
      <c r="EIM7" s="191"/>
      <c r="EIN7" s="191"/>
      <c r="EIP7" s="191"/>
      <c r="EIQ7" s="191"/>
      <c r="EIR7" s="191"/>
      <c r="EIT7" s="191"/>
      <c r="EIU7" s="191"/>
      <c r="EIV7" s="191"/>
      <c r="EIX7" s="191"/>
      <c r="EIY7" s="191"/>
      <c r="EIZ7" s="191"/>
      <c r="EJB7" s="191"/>
      <c r="EJC7" s="191"/>
      <c r="EJD7" s="191"/>
      <c r="EJF7" s="191"/>
      <c r="EJG7" s="191"/>
      <c r="EJH7" s="191"/>
      <c r="EJJ7" s="191"/>
      <c r="EJK7" s="191"/>
      <c r="EJL7" s="191"/>
      <c r="EJN7" s="191"/>
      <c r="EJO7" s="191"/>
      <c r="EJP7" s="191"/>
      <c r="EJR7" s="191"/>
      <c r="EJS7" s="191"/>
      <c r="EJT7" s="191"/>
      <c r="EJV7" s="191"/>
      <c r="EJW7" s="191"/>
      <c r="EJX7" s="191"/>
      <c r="EJZ7" s="191"/>
      <c r="EKA7" s="191"/>
      <c r="EKB7" s="191"/>
      <c r="EKD7" s="191"/>
      <c r="EKE7" s="191"/>
      <c r="EKF7" s="191"/>
      <c r="EKH7" s="191"/>
      <c r="EKI7" s="191"/>
      <c r="EKJ7" s="191"/>
      <c r="EKL7" s="191"/>
      <c r="EKM7" s="191"/>
      <c r="EKN7" s="191"/>
      <c r="EKP7" s="191"/>
      <c r="EKQ7" s="191"/>
      <c r="EKR7" s="191"/>
      <c r="EKT7" s="191"/>
      <c r="EKU7" s="191"/>
      <c r="EKV7" s="191"/>
      <c r="EKX7" s="191"/>
      <c r="EKY7" s="191"/>
      <c r="EKZ7" s="191"/>
      <c r="ELB7" s="191"/>
      <c r="ELC7" s="191"/>
      <c r="ELD7" s="191"/>
      <c r="ELF7" s="191"/>
      <c r="ELG7" s="191"/>
      <c r="ELH7" s="191"/>
      <c r="ELJ7" s="191"/>
      <c r="ELK7" s="191"/>
      <c r="ELL7" s="191"/>
      <c r="ELN7" s="191"/>
      <c r="ELO7" s="191"/>
      <c r="ELP7" s="191"/>
      <c r="ELR7" s="191"/>
      <c r="ELS7" s="191"/>
      <c r="ELT7" s="191"/>
      <c r="ELV7" s="191"/>
      <c r="ELW7" s="191"/>
      <c r="ELX7" s="191"/>
      <c r="ELZ7" s="191"/>
      <c r="EMA7" s="191"/>
      <c r="EMB7" s="191"/>
      <c r="EMD7" s="191"/>
      <c r="EME7" s="191"/>
      <c r="EMF7" s="191"/>
      <c r="EMH7" s="191"/>
      <c r="EMI7" s="191"/>
      <c r="EMJ7" s="191"/>
      <c r="EML7" s="191"/>
      <c r="EMM7" s="191"/>
      <c r="EMN7" s="191"/>
      <c r="EMP7" s="191"/>
      <c r="EMQ7" s="191"/>
      <c r="EMR7" s="191"/>
      <c r="EMT7" s="191"/>
      <c r="EMU7" s="191"/>
      <c r="EMV7" s="191"/>
      <c r="EMX7" s="191"/>
      <c r="EMY7" s="191"/>
      <c r="EMZ7" s="191"/>
      <c r="ENB7" s="191"/>
      <c r="ENC7" s="191"/>
      <c r="END7" s="191"/>
      <c r="ENF7" s="191"/>
      <c r="ENG7" s="191"/>
      <c r="ENH7" s="191"/>
      <c r="ENJ7" s="191"/>
      <c r="ENK7" s="191"/>
      <c r="ENL7" s="191"/>
      <c r="ENN7" s="191"/>
      <c r="ENO7" s="191"/>
      <c r="ENP7" s="191"/>
      <c r="ENR7" s="191"/>
      <c r="ENS7" s="191"/>
      <c r="ENT7" s="191"/>
      <c r="ENV7" s="191"/>
      <c r="ENW7" s="191"/>
      <c r="ENX7" s="191"/>
      <c r="ENZ7" s="191"/>
      <c r="EOA7" s="191"/>
      <c r="EOB7" s="191"/>
      <c r="EOD7" s="191"/>
      <c r="EOE7" s="191"/>
      <c r="EOF7" s="191"/>
      <c r="EOH7" s="191"/>
      <c r="EOI7" s="191"/>
      <c r="EOJ7" s="191"/>
      <c r="EOL7" s="191"/>
      <c r="EOM7" s="191"/>
      <c r="EON7" s="191"/>
      <c r="EOP7" s="191"/>
      <c r="EOQ7" s="191"/>
      <c r="EOR7" s="191"/>
      <c r="EOT7" s="191"/>
      <c r="EOU7" s="191"/>
      <c r="EOV7" s="191"/>
      <c r="EOX7" s="191"/>
      <c r="EOY7" s="191"/>
      <c r="EOZ7" s="191"/>
      <c r="EPB7" s="191"/>
      <c r="EPC7" s="191"/>
      <c r="EPD7" s="191"/>
      <c r="EPF7" s="191"/>
      <c r="EPG7" s="191"/>
      <c r="EPH7" s="191"/>
      <c r="EPJ7" s="191"/>
      <c r="EPK7" s="191"/>
      <c r="EPL7" s="191"/>
      <c r="EPN7" s="191"/>
      <c r="EPO7" s="191"/>
      <c r="EPP7" s="191"/>
      <c r="EPR7" s="191"/>
      <c r="EPS7" s="191"/>
      <c r="EPT7" s="191"/>
      <c r="EPV7" s="191"/>
      <c r="EPW7" s="191"/>
      <c r="EPX7" s="191"/>
      <c r="EPZ7" s="191"/>
      <c r="EQA7" s="191"/>
      <c r="EQB7" s="191"/>
      <c r="EQD7" s="191"/>
      <c r="EQE7" s="191"/>
      <c r="EQF7" s="191"/>
      <c r="EQH7" s="191"/>
      <c r="EQI7" s="191"/>
      <c r="EQJ7" s="191"/>
      <c r="EQL7" s="191"/>
      <c r="EQM7" s="191"/>
      <c r="EQN7" s="191"/>
      <c r="EQP7" s="191"/>
      <c r="EQQ7" s="191"/>
      <c r="EQR7" s="191"/>
      <c r="EQT7" s="191"/>
      <c r="EQU7" s="191"/>
      <c r="EQV7" s="191"/>
      <c r="EQX7" s="191"/>
      <c r="EQY7" s="191"/>
      <c r="EQZ7" s="191"/>
      <c r="ERB7" s="191"/>
      <c r="ERC7" s="191"/>
      <c r="ERD7" s="191"/>
      <c r="ERF7" s="191"/>
      <c r="ERG7" s="191"/>
      <c r="ERH7" s="191"/>
      <c r="ERJ7" s="191"/>
      <c r="ERK7" s="191"/>
      <c r="ERL7" s="191"/>
      <c r="ERN7" s="191"/>
      <c r="ERO7" s="191"/>
      <c r="ERP7" s="191"/>
      <c r="ERR7" s="191"/>
      <c r="ERS7" s="191"/>
      <c r="ERT7" s="191"/>
      <c r="ERV7" s="191"/>
      <c r="ERW7" s="191"/>
      <c r="ERX7" s="191"/>
      <c r="ERZ7" s="191"/>
      <c r="ESA7" s="191"/>
      <c r="ESB7" s="191"/>
      <c r="ESD7" s="191"/>
      <c r="ESE7" s="191"/>
      <c r="ESF7" s="191"/>
      <c r="ESH7" s="191"/>
      <c r="ESI7" s="191"/>
      <c r="ESJ7" s="191"/>
      <c r="ESL7" s="191"/>
      <c r="ESM7" s="191"/>
      <c r="ESN7" s="191"/>
      <c r="ESP7" s="191"/>
      <c r="ESQ7" s="191"/>
      <c r="ESR7" s="191"/>
      <c r="EST7" s="191"/>
      <c r="ESU7" s="191"/>
      <c r="ESV7" s="191"/>
      <c r="ESX7" s="191"/>
      <c r="ESY7" s="191"/>
      <c r="ESZ7" s="191"/>
      <c r="ETB7" s="191"/>
      <c r="ETC7" s="191"/>
      <c r="ETD7" s="191"/>
      <c r="ETF7" s="191"/>
      <c r="ETG7" s="191"/>
      <c r="ETH7" s="191"/>
      <c r="ETJ7" s="191"/>
      <c r="ETK7" s="191"/>
      <c r="ETL7" s="191"/>
      <c r="ETN7" s="191"/>
      <c r="ETO7" s="191"/>
      <c r="ETP7" s="191"/>
      <c r="ETR7" s="191"/>
      <c r="ETS7" s="191"/>
      <c r="ETT7" s="191"/>
      <c r="ETV7" s="191"/>
      <c r="ETW7" s="191"/>
      <c r="ETX7" s="191"/>
      <c r="ETZ7" s="191"/>
      <c r="EUA7" s="191"/>
      <c r="EUB7" s="191"/>
      <c r="EUD7" s="191"/>
      <c r="EUE7" s="191"/>
      <c r="EUF7" s="191"/>
      <c r="EUH7" s="191"/>
      <c r="EUI7" s="191"/>
      <c r="EUJ7" s="191"/>
      <c r="EUL7" s="191"/>
      <c r="EUM7" s="191"/>
      <c r="EUN7" s="191"/>
      <c r="EUP7" s="191"/>
      <c r="EUQ7" s="191"/>
      <c r="EUR7" s="191"/>
      <c r="EUT7" s="191"/>
      <c r="EUU7" s="191"/>
      <c r="EUV7" s="191"/>
      <c r="EUX7" s="191"/>
      <c r="EUY7" s="191"/>
      <c r="EUZ7" s="191"/>
      <c r="EVB7" s="191"/>
      <c r="EVC7" s="191"/>
      <c r="EVD7" s="191"/>
      <c r="EVF7" s="191"/>
      <c r="EVG7" s="191"/>
      <c r="EVH7" s="191"/>
      <c r="EVJ7" s="191"/>
      <c r="EVK7" s="191"/>
      <c r="EVL7" s="191"/>
      <c r="EVN7" s="191"/>
      <c r="EVO7" s="191"/>
      <c r="EVP7" s="191"/>
      <c r="EVR7" s="191"/>
      <c r="EVS7" s="191"/>
      <c r="EVT7" s="191"/>
      <c r="EVV7" s="191"/>
      <c r="EVW7" s="191"/>
      <c r="EVX7" s="191"/>
      <c r="EVZ7" s="191"/>
      <c r="EWA7" s="191"/>
      <c r="EWB7" s="191"/>
      <c r="EWD7" s="191"/>
      <c r="EWE7" s="191"/>
      <c r="EWF7" s="191"/>
      <c r="EWH7" s="191"/>
      <c r="EWI7" s="191"/>
      <c r="EWJ7" s="191"/>
      <c r="EWL7" s="191"/>
      <c r="EWM7" s="191"/>
      <c r="EWN7" s="191"/>
      <c r="EWP7" s="191"/>
      <c r="EWQ7" s="191"/>
      <c r="EWR7" s="191"/>
      <c r="EWT7" s="191"/>
      <c r="EWU7" s="191"/>
      <c r="EWV7" s="191"/>
      <c r="EWX7" s="191"/>
      <c r="EWY7" s="191"/>
      <c r="EWZ7" s="191"/>
      <c r="EXB7" s="191"/>
      <c r="EXC7" s="191"/>
      <c r="EXD7" s="191"/>
      <c r="EXF7" s="191"/>
      <c r="EXG7" s="191"/>
      <c r="EXH7" s="191"/>
      <c r="EXJ7" s="191"/>
      <c r="EXK7" s="191"/>
      <c r="EXL7" s="191"/>
      <c r="EXN7" s="191"/>
      <c r="EXO7" s="191"/>
      <c r="EXP7" s="191"/>
      <c r="EXR7" s="191"/>
      <c r="EXS7" s="191"/>
      <c r="EXT7" s="191"/>
      <c r="EXV7" s="191"/>
      <c r="EXW7" s="191"/>
      <c r="EXX7" s="191"/>
      <c r="EXZ7" s="191"/>
      <c r="EYA7" s="191"/>
      <c r="EYB7" s="191"/>
      <c r="EYD7" s="191"/>
      <c r="EYE7" s="191"/>
      <c r="EYF7" s="191"/>
      <c r="EYH7" s="191"/>
      <c r="EYI7" s="191"/>
      <c r="EYJ7" s="191"/>
      <c r="EYL7" s="191"/>
      <c r="EYM7" s="191"/>
      <c r="EYN7" s="191"/>
      <c r="EYP7" s="191"/>
      <c r="EYQ7" s="191"/>
      <c r="EYR7" s="191"/>
      <c r="EYT7" s="191"/>
      <c r="EYU7" s="191"/>
      <c r="EYV7" s="191"/>
      <c r="EYX7" s="191"/>
      <c r="EYY7" s="191"/>
      <c r="EYZ7" s="191"/>
      <c r="EZB7" s="191"/>
      <c r="EZC7" s="191"/>
      <c r="EZD7" s="191"/>
      <c r="EZF7" s="191"/>
      <c r="EZG7" s="191"/>
      <c r="EZH7" s="191"/>
      <c r="EZJ7" s="191"/>
      <c r="EZK7" s="191"/>
      <c r="EZL7" s="191"/>
      <c r="EZN7" s="191"/>
      <c r="EZO7" s="191"/>
      <c r="EZP7" s="191"/>
      <c r="EZR7" s="191"/>
      <c r="EZS7" s="191"/>
      <c r="EZT7" s="191"/>
      <c r="EZV7" s="191"/>
      <c r="EZW7" s="191"/>
      <c r="EZX7" s="191"/>
      <c r="EZZ7" s="191"/>
      <c r="FAA7" s="191"/>
      <c r="FAB7" s="191"/>
      <c r="FAD7" s="191"/>
      <c r="FAE7" s="191"/>
      <c r="FAF7" s="191"/>
      <c r="FAH7" s="191"/>
      <c r="FAI7" s="191"/>
      <c r="FAJ7" s="191"/>
      <c r="FAL7" s="191"/>
      <c r="FAM7" s="191"/>
      <c r="FAN7" s="191"/>
      <c r="FAP7" s="191"/>
      <c r="FAQ7" s="191"/>
      <c r="FAR7" s="191"/>
      <c r="FAT7" s="191"/>
      <c r="FAU7" s="191"/>
      <c r="FAV7" s="191"/>
      <c r="FAX7" s="191"/>
      <c r="FAY7" s="191"/>
      <c r="FAZ7" s="191"/>
      <c r="FBB7" s="191"/>
      <c r="FBC7" s="191"/>
      <c r="FBD7" s="191"/>
      <c r="FBF7" s="191"/>
      <c r="FBG7" s="191"/>
      <c r="FBH7" s="191"/>
      <c r="FBJ7" s="191"/>
      <c r="FBK7" s="191"/>
      <c r="FBL7" s="191"/>
      <c r="FBN7" s="191"/>
      <c r="FBO7" s="191"/>
      <c r="FBP7" s="191"/>
      <c r="FBR7" s="191"/>
      <c r="FBS7" s="191"/>
      <c r="FBT7" s="191"/>
      <c r="FBV7" s="191"/>
      <c r="FBW7" s="191"/>
      <c r="FBX7" s="191"/>
      <c r="FBZ7" s="191"/>
      <c r="FCA7" s="191"/>
      <c r="FCB7" s="191"/>
      <c r="FCD7" s="191"/>
      <c r="FCE7" s="191"/>
      <c r="FCF7" s="191"/>
      <c r="FCH7" s="191"/>
      <c r="FCI7" s="191"/>
      <c r="FCJ7" s="191"/>
      <c r="FCL7" s="191"/>
      <c r="FCM7" s="191"/>
      <c r="FCN7" s="191"/>
      <c r="FCP7" s="191"/>
      <c r="FCQ7" s="191"/>
      <c r="FCR7" s="191"/>
      <c r="FCT7" s="191"/>
      <c r="FCU7" s="191"/>
      <c r="FCV7" s="191"/>
      <c r="FCX7" s="191"/>
      <c r="FCY7" s="191"/>
      <c r="FCZ7" s="191"/>
      <c r="FDB7" s="191"/>
      <c r="FDC7" s="191"/>
      <c r="FDD7" s="191"/>
      <c r="FDF7" s="191"/>
      <c r="FDG7" s="191"/>
      <c r="FDH7" s="191"/>
      <c r="FDJ7" s="191"/>
      <c r="FDK7" s="191"/>
      <c r="FDL7" s="191"/>
      <c r="FDN7" s="191"/>
      <c r="FDO7" s="191"/>
      <c r="FDP7" s="191"/>
      <c r="FDR7" s="191"/>
      <c r="FDS7" s="191"/>
      <c r="FDT7" s="191"/>
      <c r="FDV7" s="191"/>
      <c r="FDW7" s="191"/>
      <c r="FDX7" s="191"/>
      <c r="FDZ7" s="191"/>
      <c r="FEA7" s="191"/>
      <c r="FEB7" s="191"/>
      <c r="FED7" s="191"/>
      <c r="FEE7" s="191"/>
      <c r="FEF7" s="191"/>
      <c r="FEH7" s="191"/>
      <c r="FEI7" s="191"/>
      <c r="FEJ7" s="191"/>
      <c r="FEL7" s="191"/>
      <c r="FEM7" s="191"/>
      <c r="FEN7" s="191"/>
      <c r="FEP7" s="191"/>
      <c r="FEQ7" s="191"/>
      <c r="FER7" s="191"/>
      <c r="FET7" s="191"/>
      <c r="FEU7" s="191"/>
      <c r="FEV7" s="191"/>
      <c r="FEX7" s="191"/>
      <c r="FEY7" s="191"/>
      <c r="FEZ7" s="191"/>
      <c r="FFB7" s="191"/>
      <c r="FFC7" s="191"/>
      <c r="FFD7" s="191"/>
      <c r="FFF7" s="191"/>
      <c r="FFG7" s="191"/>
      <c r="FFH7" s="191"/>
      <c r="FFJ7" s="191"/>
      <c r="FFK7" s="191"/>
      <c r="FFL7" s="191"/>
      <c r="FFN7" s="191"/>
      <c r="FFO7" s="191"/>
      <c r="FFP7" s="191"/>
      <c r="FFR7" s="191"/>
      <c r="FFS7" s="191"/>
      <c r="FFT7" s="191"/>
      <c r="FFV7" s="191"/>
      <c r="FFW7" s="191"/>
      <c r="FFX7" s="191"/>
      <c r="FFZ7" s="191"/>
      <c r="FGA7" s="191"/>
      <c r="FGB7" s="191"/>
      <c r="FGD7" s="191"/>
      <c r="FGE7" s="191"/>
      <c r="FGF7" s="191"/>
      <c r="FGH7" s="191"/>
      <c r="FGI7" s="191"/>
      <c r="FGJ7" s="191"/>
      <c r="FGL7" s="191"/>
      <c r="FGM7" s="191"/>
      <c r="FGN7" s="191"/>
      <c r="FGP7" s="191"/>
      <c r="FGQ7" s="191"/>
      <c r="FGR7" s="191"/>
      <c r="FGT7" s="191"/>
      <c r="FGU7" s="191"/>
      <c r="FGV7" s="191"/>
      <c r="FGX7" s="191"/>
      <c r="FGY7" s="191"/>
      <c r="FGZ7" s="191"/>
      <c r="FHB7" s="191"/>
      <c r="FHC7" s="191"/>
      <c r="FHD7" s="191"/>
      <c r="FHF7" s="191"/>
      <c r="FHG7" s="191"/>
      <c r="FHH7" s="191"/>
      <c r="FHJ7" s="191"/>
      <c r="FHK7" s="191"/>
      <c r="FHL7" s="191"/>
      <c r="FHN7" s="191"/>
      <c r="FHO7" s="191"/>
      <c r="FHP7" s="191"/>
      <c r="FHR7" s="191"/>
      <c r="FHS7" s="191"/>
      <c r="FHT7" s="191"/>
      <c r="FHV7" s="191"/>
      <c r="FHW7" s="191"/>
      <c r="FHX7" s="191"/>
      <c r="FHZ7" s="191"/>
      <c r="FIA7" s="191"/>
      <c r="FIB7" s="191"/>
      <c r="FID7" s="191"/>
      <c r="FIE7" s="191"/>
      <c r="FIF7" s="191"/>
      <c r="FIH7" s="191"/>
      <c r="FII7" s="191"/>
      <c r="FIJ7" s="191"/>
      <c r="FIL7" s="191"/>
      <c r="FIM7" s="191"/>
      <c r="FIN7" s="191"/>
      <c r="FIP7" s="191"/>
      <c r="FIQ7" s="191"/>
      <c r="FIR7" s="191"/>
      <c r="FIT7" s="191"/>
      <c r="FIU7" s="191"/>
      <c r="FIV7" s="191"/>
      <c r="FIX7" s="191"/>
      <c r="FIY7" s="191"/>
      <c r="FIZ7" s="191"/>
      <c r="FJB7" s="191"/>
      <c r="FJC7" s="191"/>
      <c r="FJD7" s="191"/>
      <c r="FJF7" s="191"/>
      <c r="FJG7" s="191"/>
      <c r="FJH7" s="191"/>
      <c r="FJJ7" s="191"/>
      <c r="FJK7" s="191"/>
      <c r="FJL7" s="191"/>
      <c r="FJN7" s="191"/>
      <c r="FJO7" s="191"/>
      <c r="FJP7" s="191"/>
      <c r="FJR7" s="191"/>
      <c r="FJS7" s="191"/>
      <c r="FJT7" s="191"/>
      <c r="FJV7" s="191"/>
      <c r="FJW7" s="191"/>
      <c r="FJX7" s="191"/>
      <c r="FJZ7" s="191"/>
      <c r="FKA7" s="191"/>
      <c r="FKB7" s="191"/>
      <c r="FKD7" s="191"/>
      <c r="FKE7" s="191"/>
      <c r="FKF7" s="191"/>
      <c r="FKH7" s="191"/>
      <c r="FKI7" s="191"/>
      <c r="FKJ7" s="191"/>
      <c r="FKL7" s="191"/>
      <c r="FKM7" s="191"/>
      <c r="FKN7" s="191"/>
      <c r="FKP7" s="191"/>
      <c r="FKQ7" s="191"/>
      <c r="FKR7" s="191"/>
      <c r="FKT7" s="191"/>
      <c r="FKU7" s="191"/>
      <c r="FKV7" s="191"/>
      <c r="FKX7" s="191"/>
      <c r="FKY7" s="191"/>
      <c r="FKZ7" s="191"/>
      <c r="FLB7" s="191"/>
      <c r="FLC7" s="191"/>
      <c r="FLD7" s="191"/>
      <c r="FLF7" s="191"/>
      <c r="FLG7" s="191"/>
      <c r="FLH7" s="191"/>
      <c r="FLJ7" s="191"/>
      <c r="FLK7" s="191"/>
      <c r="FLL7" s="191"/>
      <c r="FLN7" s="191"/>
      <c r="FLO7" s="191"/>
      <c r="FLP7" s="191"/>
      <c r="FLR7" s="191"/>
      <c r="FLS7" s="191"/>
      <c r="FLT7" s="191"/>
      <c r="FLV7" s="191"/>
      <c r="FLW7" s="191"/>
      <c r="FLX7" s="191"/>
      <c r="FLZ7" s="191"/>
      <c r="FMA7" s="191"/>
      <c r="FMB7" s="191"/>
      <c r="FMD7" s="191"/>
      <c r="FME7" s="191"/>
      <c r="FMF7" s="191"/>
      <c r="FMH7" s="191"/>
      <c r="FMI7" s="191"/>
      <c r="FMJ7" s="191"/>
      <c r="FML7" s="191"/>
      <c r="FMM7" s="191"/>
      <c r="FMN7" s="191"/>
      <c r="FMP7" s="191"/>
      <c r="FMQ7" s="191"/>
      <c r="FMR7" s="191"/>
      <c r="FMT7" s="191"/>
      <c r="FMU7" s="191"/>
      <c r="FMV7" s="191"/>
      <c r="FMX7" s="191"/>
      <c r="FMY7" s="191"/>
      <c r="FMZ7" s="191"/>
      <c r="FNB7" s="191"/>
      <c r="FNC7" s="191"/>
      <c r="FND7" s="191"/>
      <c r="FNF7" s="191"/>
      <c r="FNG7" s="191"/>
      <c r="FNH7" s="191"/>
      <c r="FNJ7" s="191"/>
      <c r="FNK7" s="191"/>
      <c r="FNL7" s="191"/>
      <c r="FNN7" s="191"/>
      <c r="FNO7" s="191"/>
      <c r="FNP7" s="191"/>
      <c r="FNR7" s="191"/>
      <c r="FNS7" s="191"/>
      <c r="FNT7" s="191"/>
      <c r="FNV7" s="191"/>
      <c r="FNW7" s="191"/>
      <c r="FNX7" s="191"/>
      <c r="FNZ7" s="191"/>
      <c r="FOA7" s="191"/>
      <c r="FOB7" s="191"/>
      <c r="FOD7" s="191"/>
      <c r="FOE7" s="191"/>
      <c r="FOF7" s="191"/>
      <c r="FOH7" s="191"/>
      <c r="FOI7" s="191"/>
      <c r="FOJ7" s="191"/>
      <c r="FOL7" s="191"/>
      <c r="FOM7" s="191"/>
      <c r="FON7" s="191"/>
      <c r="FOP7" s="191"/>
      <c r="FOQ7" s="191"/>
      <c r="FOR7" s="191"/>
      <c r="FOT7" s="191"/>
      <c r="FOU7" s="191"/>
      <c r="FOV7" s="191"/>
      <c r="FOX7" s="191"/>
      <c r="FOY7" s="191"/>
      <c r="FOZ7" s="191"/>
      <c r="FPB7" s="191"/>
      <c r="FPC7" s="191"/>
      <c r="FPD7" s="191"/>
      <c r="FPF7" s="191"/>
      <c r="FPG7" s="191"/>
      <c r="FPH7" s="191"/>
      <c r="FPJ7" s="191"/>
      <c r="FPK7" s="191"/>
      <c r="FPL7" s="191"/>
      <c r="FPN7" s="191"/>
      <c r="FPO7" s="191"/>
      <c r="FPP7" s="191"/>
      <c r="FPR7" s="191"/>
      <c r="FPS7" s="191"/>
      <c r="FPT7" s="191"/>
      <c r="FPV7" s="191"/>
      <c r="FPW7" s="191"/>
      <c r="FPX7" s="191"/>
      <c r="FPZ7" s="191"/>
      <c r="FQA7" s="191"/>
      <c r="FQB7" s="191"/>
      <c r="FQD7" s="191"/>
      <c r="FQE7" s="191"/>
      <c r="FQF7" s="191"/>
      <c r="FQH7" s="191"/>
      <c r="FQI7" s="191"/>
      <c r="FQJ7" s="191"/>
      <c r="FQL7" s="191"/>
      <c r="FQM7" s="191"/>
      <c r="FQN7" s="191"/>
      <c r="FQP7" s="191"/>
      <c r="FQQ7" s="191"/>
      <c r="FQR7" s="191"/>
      <c r="FQT7" s="191"/>
      <c r="FQU7" s="191"/>
      <c r="FQV7" s="191"/>
      <c r="FQX7" s="191"/>
      <c r="FQY7" s="191"/>
      <c r="FQZ7" s="191"/>
      <c r="FRB7" s="191"/>
      <c r="FRC7" s="191"/>
      <c r="FRD7" s="191"/>
      <c r="FRF7" s="191"/>
      <c r="FRG7" s="191"/>
      <c r="FRH7" s="191"/>
      <c r="FRJ7" s="191"/>
      <c r="FRK7" s="191"/>
      <c r="FRL7" s="191"/>
      <c r="FRN7" s="191"/>
      <c r="FRO7" s="191"/>
      <c r="FRP7" s="191"/>
      <c r="FRR7" s="191"/>
      <c r="FRS7" s="191"/>
      <c r="FRT7" s="191"/>
      <c r="FRV7" s="191"/>
      <c r="FRW7" s="191"/>
      <c r="FRX7" s="191"/>
      <c r="FRZ7" s="191"/>
      <c r="FSA7" s="191"/>
      <c r="FSB7" s="191"/>
      <c r="FSD7" s="191"/>
      <c r="FSE7" s="191"/>
      <c r="FSF7" s="191"/>
      <c r="FSH7" s="191"/>
      <c r="FSI7" s="191"/>
      <c r="FSJ7" s="191"/>
      <c r="FSL7" s="191"/>
      <c r="FSM7" s="191"/>
      <c r="FSN7" s="191"/>
      <c r="FSP7" s="191"/>
      <c r="FSQ7" s="191"/>
      <c r="FSR7" s="191"/>
      <c r="FST7" s="191"/>
      <c r="FSU7" s="191"/>
      <c r="FSV7" s="191"/>
      <c r="FSX7" s="191"/>
      <c r="FSY7" s="191"/>
      <c r="FSZ7" s="191"/>
      <c r="FTB7" s="191"/>
      <c r="FTC7" s="191"/>
      <c r="FTD7" s="191"/>
      <c r="FTF7" s="191"/>
      <c r="FTG7" s="191"/>
      <c r="FTH7" s="191"/>
      <c r="FTJ7" s="191"/>
      <c r="FTK7" s="191"/>
      <c r="FTL7" s="191"/>
      <c r="FTN7" s="191"/>
      <c r="FTO7" s="191"/>
      <c r="FTP7" s="191"/>
      <c r="FTR7" s="191"/>
      <c r="FTS7" s="191"/>
      <c r="FTT7" s="191"/>
      <c r="FTV7" s="191"/>
      <c r="FTW7" s="191"/>
      <c r="FTX7" s="191"/>
      <c r="FTZ7" s="191"/>
      <c r="FUA7" s="191"/>
      <c r="FUB7" s="191"/>
      <c r="FUD7" s="191"/>
      <c r="FUE7" s="191"/>
      <c r="FUF7" s="191"/>
      <c r="FUH7" s="191"/>
      <c r="FUI7" s="191"/>
      <c r="FUJ7" s="191"/>
      <c r="FUL7" s="191"/>
      <c r="FUM7" s="191"/>
      <c r="FUN7" s="191"/>
      <c r="FUP7" s="191"/>
      <c r="FUQ7" s="191"/>
      <c r="FUR7" s="191"/>
      <c r="FUT7" s="191"/>
      <c r="FUU7" s="191"/>
      <c r="FUV7" s="191"/>
      <c r="FUX7" s="191"/>
      <c r="FUY7" s="191"/>
      <c r="FUZ7" s="191"/>
      <c r="FVB7" s="191"/>
      <c r="FVC7" s="191"/>
      <c r="FVD7" s="191"/>
      <c r="FVF7" s="191"/>
      <c r="FVG7" s="191"/>
      <c r="FVH7" s="191"/>
      <c r="FVJ7" s="191"/>
      <c r="FVK7" s="191"/>
      <c r="FVL7" s="191"/>
      <c r="FVN7" s="191"/>
      <c r="FVO7" s="191"/>
      <c r="FVP7" s="191"/>
      <c r="FVR7" s="191"/>
      <c r="FVS7" s="191"/>
      <c r="FVT7" s="191"/>
      <c r="FVV7" s="191"/>
      <c r="FVW7" s="191"/>
      <c r="FVX7" s="191"/>
      <c r="FVZ7" s="191"/>
      <c r="FWA7" s="191"/>
      <c r="FWB7" s="191"/>
      <c r="FWD7" s="191"/>
      <c r="FWE7" s="191"/>
      <c r="FWF7" s="191"/>
      <c r="FWH7" s="191"/>
      <c r="FWI7" s="191"/>
      <c r="FWJ7" s="191"/>
      <c r="FWL7" s="191"/>
      <c r="FWM7" s="191"/>
      <c r="FWN7" s="191"/>
      <c r="FWP7" s="191"/>
      <c r="FWQ7" s="191"/>
      <c r="FWR7" s="191"/>
      <c r="FWT7" s="191"/>
      <c r="FWU7" s="191"/>
      <c r="FWV7" s="191"/>
      <c r="FWX7" s="191"/>
      <c r="FWY7" s="191"/>
      <c r="FWZ7" s="191"/>
      <c r="FXB7" s="191"/>
      <c r="FXC7" s="191"/>
      <c r="FXD7" s="191"/>
      <c r="FXF7" s="191"/>
      <c r="FXG7" s="191"/>
      <c r="FXH7" s="191"/>
      <c r="FXJ7" s="191"/>
      <c r="FXK7" s="191"/>
      <c r="FXL7" s="191"/>
      <c r="FXN7" s="191"/>
      <c r="FXO7" s="191"/>
      <c r="FXP7" s="191"/>
      <c r="FXR7" s="191"/>
      <c r="FXS7" s="191"/>
      <c r="FXT7" s="191"/>
      <c r="FXV7" s="191"/>
      <c r="FXW7" s="191"/>
      <c r="FXX7" s="191"/>
      <c r="FXZ7" s="191"/>
      <c r="FYA7" s="191"/>
      <c r="FYB7" s="191"/>
      <c r="FYD7" s="191"/>
      <c r="FYE7" s="191"/>
      <c r="FYF7" s="191"/>
      <c r="FYH7" s="191"/>
      <c r="FYI7" s="191"/>
      <c r="FYJ7" s="191"/>
      <c r="FYL7" s="191"/>
      <c r="FYM7" s="191"/>
      <c r="FYN7" s="191"/>
      <c r="FYP7" s="191"/>
      <c r="FYQ7" s="191"/>
      <c r="FYR7" s="191"/>
      <c r="FYT7" s="191"/>
      <c r="FYU7" s="191"/>
      <c r="FYV7" s="191"/>
      <c r="FYX7" s="191"/>
      <c r="FYY7" s="191"/>
      <c r="FYZ7" s="191"/>
      <c r="FZB7" s="191"/>
      <c r="FZC7" s="191"/>
      <c r="FZD7" s="191"/>
      <c r="FZF7" s="191"/>
      <c r="FZG7" s="191"/>
      <c r="FZH7" s="191"/>
      <c r="FZJ7" s="191"/>
      <c r="FZK7" s="191"/>
      <c r="FZL7" s="191"/>
      <c r="FZN7" s="191"/>
      <c r="FZO7" s="191"/>
      <c r="FZP7" s="191"/>
      <c r="FZR7" s="191"/>
      <c r="FZS7" s="191"/>
      <c r="FZT7" s="191"/>
      <c r="FZV7" s="191"/>
      <c r="FZW7" s="191"/>
      <c r="FZX7" s="191"/>
      <c r="FZZ7" s="191"/>
      <c r="GAA7" s="191"/>
      <c r="GAB7" s="191"/>
      <c r="GAD7" s="191"/>
      <c r="GAE7" s="191"/>
      <c r="GAF7" s="191"/>
      <c r="GAH7" s="191"/>
      <c r="GAI7" s="191"/>
      <c r="GAJ7" s="191"/>
      <c r="GAL7" s="191"/>
      <c r="GAM7" s="191"/>
      <c r="GAN7" s="191"/>
      <c r="GAP7" s="191"/>
      <c r="GAQ7" s="191"/>
      <c r="GAR7" s="191"/>
      <c r="GAT7" s="191"/>
      <c r="GAU7" s="191"/>
      <c r="GAV7" s="191"/>
      <c r="GAX7" s="191"/>
      <c r="GAY7" s="191"/>
      <c r="GAZ7" s="191"/>
      <c r="GBB7" s="191"/>
      <c r="GBC7" s="191"/>
      <c r="GBD7" s="191"/>
      <c r="GBF7" s="191"/>
      <c r="GBG7" s="191"/>
      <c r="GBH7" s="191"/>
      <c r="GBJ7" s="191"/>
      <c r="GBK7" s="191"/>
      <c r="GBL7" s="191"/>
      <c r="GBN7" s="191"/>
      <c r="GBO7" s="191"/>
      <c r="GBP7" s="191"/>
      <c r="GBR7" s="191"/>
      <c r="GBS7" s="191"/>
      <c r="GBT7" s="191"/>
      <c r="GBV7" s="191"/>
      <c r="GBW7" s="191"/>
      <c r="GBX7" s="191"/>
      <c r="GBZ7" s="191"/>
      <c r="GCA7" s="191"/>
      <c r="GCB7" s="191"/>
      <c r="GCD7" s="191"/>
      <c r="GCE7" s="191"/>
      <c r="GCF7" s="191"/>
      <c r="GCH7" s="191"/>
      <c r="GCI7" s="191"/>
      <c r="GCJ7" s="191"/>
      <c r="GCL7" s="191"/>
      <c r="GCM7" s="191"/>
      <c r="GCN7" s="191"/>
      <c r="GCP7" s="191"/>
      <c r="GCQ7" s="191"/>
      <c r="GCR7" s="191"/>
      <c r="GCT7" s="191"/>
      <c r="GCU7" s="191"/>
      <c r="GCV7" s="191"/>
      <c r="GCX7" s="191"/>
      <c r="GCY7" s="191"/>
      <c r="GCZ7" s="191"/>
      <c r="GDB7" s="191"/>
      <c r="GDC7" s="191"/>
      <c r="GDD7" s="191"/>
      <c r="GDF7" s="191"/>
      <c r="GDG7" s="191"/>
      <c r="GDH7" s="191"/>
      <c r="GDJ7" s="191"/>
      <c r="GDK7" s="191"/>
      <c r="GDL7" s="191"/>
      <c r="GDN7" s="191"/>
      <c r="GDO7" s="191"/>
      <c r="GDP7" s="191"/>
      <c r="GDR7" s="191"/>
      <c r="GDS7" s="191"/>
      <c r="GDT7" s="191"/>
      <c r="GDV7" s="191"/>
      <c r="GDW7" s="191"/>
      <c r="GDX7" s="191"/>
      <c r="GDZ7" s="191"/>
      <c r="GEA7" s="191"/>
      <c r="GEB7" s="191"/>
      <c r="GED7" s="191"/>
      <c r="GEE7" s="191"/>
      <c r="GEF7" s="191"/>
      <c r="GEH7" s="191"/>
      <c r="GEI7" s="191"/>
      <c r="GEJ7" s="191"/>
      <c r="GEL7" s="191"/>
      <c r="GEM7" s="191"/>
      <c r="GEN7" s="191"/>
      <c r="GEP7" s="191"/>
      <c r="GEQ7" s="191"/>
      <c r="GER7" s="191"/>
      <c r="GET7" s="191"/>
      <c r="GEU7" s="191"/>
      <c r="GEV7" s="191"/>
      <c r="GEX7" s="191"/>
      <c r="GEY7" s="191"/>
      <c r="GEZ7" s="191"/>
      <c r="GFB7" s="191"/>
      <c r="GFC7" s="191"/>
      <c r="GFD7" s="191"/>
      <c r="GFF7" s="191"/>
      <c r="GFG7" s="191"/>
      <c r="GFH7" s="191"/>
      <c r="GFJ7" s="191"/>
      <c r="GFK7" s="191"/>
      <c r="GFL7" s="191"/>
      <c r="GFN7" s="191"/>
      <c r="GFO7" s="191"/>
      <c r="GFP7" s="191"/>
      <c r="GFR7" s="191"/>
      <c r="GFS7" s="191"/>
      <c r="GFT7" s="191"/>
      <c r="GFV7" s="191"/>
      <c r="GFW7" s="191"/>
      <c r="GFX7" s="191"/>
      <c r="GFZ7" s="191"/>
      <c r="GGA7" s="191"/>
      <c r="GGB7" s="191"/>
      <c r="GGD7" s="191"/>
      <c r="GGE7" s="191"/>
      <c r="GGF7" s="191"/>
      <c r="GGH7" s="191"/>
      <c r="GGI7" s="191"/>
      <c r="GGJ7" s="191"/>
      <c r="GGL7" s="191"/>
      <c r="GGM7" s="191"/>
      <c r="GGN7" s="191"/>
      <c r="GGP7" s="191"/>
      <c r="GGQ7" s="191"/>
      <c r="GGR7" s="191"/>
      <c r="GGT7" s="191"/>
      <c r="GGU7" s="191"/>
      <c r="GGV7" s="191"/>
      <c r="GGX7" s="191"/>
      <c r="GGY7" s="191"/>
      <c r="GGZ7" s="191"/>
      <c r="GHB7" s="191"/>
      <c r="GHC7" s="191"/>
      <c r="GHD7" s="191"/>
      <c r="GHF7" s="191"/>
      <c r="GHG7" s="191"/>
      <c r="GHH7" s="191"/>
      <c r="GHJ7" s="191"/>
      <c r="GHK7" s="191"/>
      <c r="GHL7" s="191"/>
      <c r="GHN7" s="191"/>
      <c r="GHO7" s="191"/>
      <c r="GHP7" s="191"/>
      <c r="GHR7" s="191"/>
      <c r="GHS7" s="191"/>
      <c r="GHT7" s="191"/>
      <c r="GHV7" s="191"/>
      <c r="GHW7" s="191"/>
      <c r="GHX7" s="191"/>
      <c r="GHZ7" s="191"/>
      <c r="GIA7" s="191"/>
      <c r="GIB7" s="191"/>
      <c r="GID7" s="191"/>
      <c r="GIE7" s="191"/>
      <c r="GIF7" s="191"/>
      <c r="GIH7" s="191"/>
      <c r="GII7" s="191"/>
      <c r="GIJ7" s="191"/>
      <c r="GIL7" s="191"/>
      <c r="GIM7" s="191"/>
      <c r="GIN7" s="191"/>
      <c r="GIP7" s="191"/>
      <c r="GIQ7" s="191"/>
      <c r="GIR7" s="191"/>
      <c r="GIT7" s="191"/>
      <c r="GIU7" s="191"/>
      <c r="GIV7" s="191"/>
      <c r="GIX7" s="191"/>
      <c r="GIY7" s="191"/>
      <c r="GIZ7" s="191"/>
      <c r="GJB7" s="191"/>
      <c r="GJC7" s="191"/>
      <c r="GJD7" s="191"/>
      <c r="GJF7" s="191"/>
      <c r="GJG7" s="191"/>
      <c r="GJH7" s="191"/>
      <c r="GJJ7" s="191"/>
      <c r="GJK7" s="191"/>
      <c r="GJL7" s="191"/>
      <c r="GJN7" s="191"/>
      <c r="GJO7" s="191"/>
      <c r="GJP7" s="191"/>
      <c r="GJR7" s="191"/>
      <c r="GJS7" s="191"/>
      <c r="GJT7" s="191"/>
      <c r="GJV7" s="191"/>
      <c r="GJW7" s="191"/>
      <c r="GJX7" s="191"/>
      <c r="GJZ7" s="191"/>
      <c r="GKA7" s="191"/>
      <c r="GKB7" s="191"/>
      <c r="GKD7" s="191"/>
      <c r="GKE7" s="191"/>
      <c r="GKF7" s="191"/>
      <c r="GKH7" s="191"/>
      <c r="GKI7" s="191"/>
      <c r="GKJ7" s="191"/>
      <c r="GKL7" s="191"/>
      <c r="GKM7" s="191"/>
      <c r="GKN7" s="191"/>
      <c r="GKP7" s="191"/>
      <c r="GKQ7" s="191"/>
      <c r="GKR7" s="191"/>
      <c r="GKT7" s="191"/>
      <c r="GKU7" s="191"/>
      <c r="GKV7" s="191"/>
      <c r="GKX7" s="191"/>
      <c r="GKY7" s="191"/>
      <c r="GKZ7" s="191"/>
      <c r="GLB7" s="191"/>
      <c r="GLC7" s="191"/>
      <c r="GLD7" s="191"/>
      <c r="GLF7" s="191"/>
      <c r="GLG7" s="191"/>
      <c r="GLH7" s="191"/>
      <c r="GLJ7" s="191"/>
      <c r="GLK7" s="191"/>
      <c r="GLL7" s="191"/>
      <c r="GLN7" s="191"/>
      <c r="GLO7" s="191"/>
      <c r="GLP7" s="191"/>
      <c r="GLR7" s="191"/>
      <c r="GLS7" s="191"/>
      <c r="GLT7" s="191"/>
      <c r="GLV7" s="191"/>
      <c r="GLW7" s="191"/>
      <c r="GLX7" s="191"/>
      <c r="GLZ7" s="191"/>
      <c r="GMA7" s="191"/>
      <c r="GMB7" s="191"/>
      <c r="GMD7" s="191"/>
      <c r="GME7" s="191"/>
      <c r="GMF7" s="191"/>
      <c r="GMH7" s="191"/>
      <c r="GMI7" s="191"/>
      <c r="GMJ7" s="191"/>
      <c r="GML7" s="191"/>
      <c r="GMM7" s="191"/>
      <c r="GMN7" s="191"/>
      <c r="GMP7" s="191"/>
      <c r="GMQ7" s="191"/>
      <c r="GMR7" s="191"/>
      <c r="GMT7" s="191"/>
      <c r="GMU7" s="191"/>
      <c r="GMV7" s="191"/>
      <c r="GMX7" s="191"/>
      <c r="GMY7" s="191"/>
      <c r="GMZ7" s="191"/>
      <c r="GNB7" s="191"/>
      <c r="GNC7" s="191"/>
      <c r="GND7" s="191"/>
      <c r="GNF7" s="191"/>
      <c r="GNG7" s="191"/>
      <c r="GNH7" s="191"/>
      <c r="GNJ7" s="191"/>
      <c r="GNK7" s="191"/>
      <c r="GNL7" s="191"/>
      <c r="GNN7" s="191"/>
      <c r="GNO7" s="191"/>
      <c r="GNP7" s="191"/>
      <c r="GNR7" s="191"/>
      <c r="GNS7" s="191"/>
      <c r="GNT7" s="191"/>
      <c r="GNV7" s="191"/>
      <c r="GNW7" s="191"/>
      <c r="GNX7" s="191"/>
      <c r="GNZ7" s="191"/>
      <c r="GOA7" s="191"/>
      <c r="GOB7" s="191"/>
      <c r="GOD7" s="191"/>
      <c r="GOE7" s="191"/>
      <c r="GOF7" s="191"/>
      <c r="GOH7" s="191"/>
      <c r="GOI7" s="191"/>
      <c r="GOJ7" s="191"/>
      <c r="GOL7" s="191"/>
      <c r="GOM7" s="191"/>
      <c r="GON7" s="191"/>
      <c r="GOP7" s="191"/>
      <c r="GOQ7" s="191"/>
      <c r="GOR7" s="191"/>
      <c r="GOT7" s="191"/>
      <c r="GOU7" s="191"/>
      <c r="GOV7" s="191"/>
      <c r="GOX7" s="191"/>
      <c r="GOY7" s="191"/>
      <c r="GOZ7" s="191"/>
      <c r="GPB7" s="191"/>
      <c r="GPC7" s="191"/>
      <c r="GPD7" s="191"/>
      <c r="GPF7" s="191"/>
      <c r="GPG7" s="191"/>
      <c r="GPH7" s="191"/>
      <c r="GPJ7" s="191"/>
      <c r="GPK7" s="191"/>
      <c r="GPL7" s="191"/>
      <c r="GPN7" s="191"/>
      <c r="GPO7" s="191"/>
      <c r="GPP7" s="191"/>
      <c r="GPR7" s="191"/>
      <c r="GPS7" s="191"/>
      <c r="GPT7" s="191"/>
      <c r="GPV7" s="191"/>
      <c r="GPW7" s="191"/>
      <c r="GPX7" s="191"/>
      <c r="GPZ7" s="191"/>
      <c r="GQA7" s="191"/>
      <c r="GQB7" s="191"/>
      <c r="GQD7" s="191"/>
      <c r="GQE7" s="191"/>
      <c r="GQF7" s="191"/>
      <c r="GQH7" s="191"/>
      <c r="GQI7" s="191"/>
      <c r="GQJ7" s="191"/>
      <c r="GQL7" s="191"/>
      <c r="GQM7" s="191"/>
      <c r="GQN7" s="191"/>
      <c r="GQP7" s="191"/>
      <c r="GQQ7" s="191"/>
      <c r="GQR7" s="191"/>
      <c r="GQT7" s="191"/>
      <c r="GQU7" s="191"/>
      <c r="GQV7" s="191"/>
      <c r="GQX7" s="191"/>
      <c r="GQY7" s="191"/>
      <c r="GQZ7" s="191"/>
      <c r="GRB7" s="191"/>
      <c r="GRC7" s="191"/>
      <c r="GRD7" s="191"/>
      <c r="GRF7" s="191"/>
      <c r="GRG7" s="191"/>
      <c r="GRH7" s="191"/>
      <c r="GRJ7" s="191"/>
      <c r="GRK7" s="191"/>
      <c r="GRL7" s="191"/>
      <c r="GRN7" s="191"/>
      <c r="GRO7" s="191"/>
      <c r="GRP7" s="191"/>
      <c r="GRR7" s="191"/>
      <c r="GRS7" s="191"/>
      <c r="GRT7" s="191"/>
      <c r="GRV7" s="191"/>
      <c r="GRW7" s="191"/>
      <c r="GRX7" s="191"/>
      <c r="GRZ7" s="191"/>
      <c r="GSA7" s="191"/>
      <c r="GSB7" s="191"/>
      <c r="GSD7" s="191"/>
      <c r="GSE7" s="191"/>
      <c r="GSF7" s="191"/>
      <c r="GSH7" s="191"/>
      <c r="GSI7" s="191"/>
      <c r="GSJ7" s="191"/>
      <c r="GSL7" s="191"/>
      <c r="GSM7" s="191"/>
      <c r="GSN7" s="191"/>
      <c r="GSP7" s="191"/>
      <c r="GSQ7" s="191"/>
      <c r="GSR7" s="191"/>
      <c r="GST7" s="191"/>
      <c r="GSU7" s="191"/>
      <c r="GSV7" s="191"/>
      <c r="GSX7" s="191"/>
      <c r="GSY7" s="191"/>
      <c r="GSZ7" s="191"/>
      <c r="GTB7" s="191"/>
      <c r="GTC7" s="191"/>
      <c r="GTD7" s="191"/>
      <c r="GTF7" s="191"/>
      <c r="GTG7" s="191"/>
      <c r="GTH7" s="191"/>
      <c r="GTJ7" s="191"/>
      <c r="GTK7" s="191"/>
      <c r="GTL7" s="191"/>
      <c r="GTN7" s="191"/>
      <c r="GTO7" s="191"/>
      <c r="GTP7" s="191"/>
      <c r="GTR7" s="191"/>
      <c r="GTS7" s="191"/>
      <c r="GTT7" s="191"/>
      <c r="GTV7" s="191"/>
      <c r="GTW7" s="191"/>
      <c r="GTX7" s="191"/>
      <c r="GTZ7" s="191"/>
      <c r="GUA7" s="191"/>
      <c r="GUB7" s="191"/>
      <c r="GUD7" s="191"/>
      <c r="GUE7" s="191"/>
      <c r="GUF7" s="191"/>
      <c r="GUH7" s="191"/>
      <c r="GUI7" s="191"/>
      <c r="GUJ7" s="191"/>
      <c r="GUL7" s="191"/>
      <c r="GUM7" s="191"/>
      <c r="GUN7" s="191"/>
      <c r="GUP7" s="191"/>
      <c r="GUQ7" s="191"/>
      <c r="GUR7" s="191"/>
      <c r="GUT7" s="191"/>
      <c r="GUU7" s="191"/>
      <c r="GUV7" s="191"/>
      <c r="GUX7" s="191"/>
      <c r="GUY7" s="191"/>
      <c r="GUZ7" s="191"/>
      <c r="GVB7" s="191"/>
      <c r="GVC7" s="191"/>
      <c r="GVD7" s="191"/>
      <c r="GVF7" s="191"/>
      <c r="GVG7" s="191"/>
      <c r="GVH7" s="191"/>
      <c r="GVJ7" s="191"/>
      <c r="GVK7" s="191"/>
      <c r="GVL7" s="191"/>
      <c r="GVN7" s="191"/>
      <c r="GVO7" s="191"/>
      <c r="GVP7" s="191"/>
      <c r="GVR7" s="191"/>
      <c r="GVS7" s="191"/>
      <c r="GVT7" s="191"/>
      <c r="GVV7" s="191"/>
      <c r="GVW7" s="191"/>
      <c r="GVX7" s="191"/>
      <c r="GVZ7" s="191"/>
      <c r="GWA7" s="191"/>
      <c r="GWB7" s="191"/>
      <c r="GWD7" s="191"/>
      <c r="GWE7" s="191"/>
      <c r="GWF7" s="191"/>
      <c r="GWH7" s="191"/>
      <c r="GWI7" s="191"/>
      <c r="GWJ7" s="191"/>
      <c r="GWL7" s="191"/>
      <c r="GWM7" s="191"/>
      <c r="GWN7" s="191"/>
      <c r="GWP7" s="191"/>
      <c r="GWQ7" s="191"/>
      <c r="GWR7" s="191"/>
      <c r="GWT7" s="191"/>
      <c r="GWU7" s="191"/>
      <c r="GWV7" s="191"/>
      <c r="GWX7" s="191"/>
      <c r="GWY7" s="191"/>
      <c r="GWZ7" s="191"/>
      <c r="GXB7" s="191"/>
      <c r="GXC7" s="191"/>
      <c r="GXD7" s="191"/>
      <c r="GXF7" s="191"/>
      <c r="GXG7" s="191"/>
      <c r="GXH7" s="191"/>
      <c r="GXJ7" s="191"/>
      <c r="GXK7" s="191"/>
      <c r="GXL7" s="191"/>
      <c r="GXN7" s="191"/>
      <c r="GXO7" s="191"/>
      <c r="GXP7" s="191"/>
      <c r="GXR7" s="191"/>
      <c r="GXS7" s="191"/>
      <c r="GXT7" s="191"/>
      <c r="GXV7" s="191"/>
      <c r="GXW7" s="191"/>
      <c r="GXX7" s="191"/>
      <c r="GXZ7" s="191"/>
      <c r="GYA7" s="191"/>
      <c r="GYB7" s="191"/>
      <c r="GYD7" s="191"/>
      <c r="GYE7" s="191"/>
      <c r="GYF7" s="191"/>
      <c r="GYH7" s="191"/>
      <c r="GYI7" s="191"/>
      <c r="GYJ7" s="191"/>
      <c r="GYL7" s="191"/>
      <c r="GYM7" s="191"/>
      <c r="GYN7" s="191"/>
      <c r="GYP7" s="191"/>
      <c r="GYQ7" s="191"/>
      <c r="GYR7" s="191"/>
      <c r="GYT7" s="191"/>
      <c r="GYU7" s="191"/>
      <c r="GYV7" s="191"/>
      <c r="GYX7" s="191"/>
      <c r="GYY7" s="191"/>
      <c r="GYZ7" s="191"/>
      <c r="GZB7" s="191"/>
      <c r="GZC7" s="191"/>
      <c r="GZD7" s="191"/>
      <c r="GZF7" s="191"/>
      <c r="GZG7" s="191"/>
      <c r="GZH7" s="191"/>
      <c r="GZJ7" s="191"/>
      <c r="GZK7" s="191"/>
      <c r="GZL7" s="191"/>
      <c r="GZN7" s="191"/>
      <c r="GZO7" s="191"/>
      <c r="GZP7" s="191"/>
      <c r="GZR7" s="191"/>
      <c r="GZS7" s="191"/>
      <c r="GZT7" s="191"/>
      <c r="GZV7" s="191"/>
      <c r="GZW7" s="191"/>
      <c r="GZX7" s="191"/>
      <c r="GZZ7" s="191"/>
      <c r="HAA7" s="191"/>
      <c r="HAB7" s="191"/>
      <c r="HAD7" s="191"/>
      <c r="HAE7" s="191"/>
      <c r="HAF7" s="191"/>
      <c r="HAH7" s="191"/>
      <c r="HAI7" s="191"/>
      <c r="HAJ7" s="191"/>
      <c r="HAL7" s="191"/>
      <c r="HAM7" s="191"/>
      <c r="HAN7" s="191"/>
      <c r="HAP7" s="191"/>
      <c r="HAQ7" s="191"/>
      <c r="HAR7" s="191"/>
      <c r="HAT7" s="191"/>
      <c r="HAU7" s="191"/>
      <c r="HAV7" s="191"/>
      <c r="HAX7" s="191"/>
      <c r="HAY7" s="191"/>
      <c r="HAZ7" s="191"/>
      <c r="HBB7" s="191"/>
      <c r="HBC7" s="191"/>
      <c r="HBD7" s="191"/>
      <c r="HBF7" s="191"/>
      <c r="HBG7" s="191"/>
      <c r="HBH7" s="191"/>
      <c r="HBJ7" s="191"/>
      <c r="HBK7" s="191"/>
      <c r="HBL7" s="191"/>
      <c r="HBN7" s="191"/>
      <c r="HBO7" s="191"/>
      <c r="HBP7" s="191"/>
      <c r="HBR7" s="191"/>
      <c r="HBS7" s="191"/>
      <c r="HBT7" s="191"/>
      <c r="HBV7" s="191"/>
      <c r="HBW7" s="191"/>
      <c r="HBX7" s="191"/>
      <c r="HBZ7" s="191"/>
      <c r="HCA7" s="191"/>
      <c r="HCB7" s="191"/>
      <c r="HCD7" s="191"/>
      <c r="HCE7" s="191"/>
      <c r="HCF7" s="191"/>
      <c r="HCH7" s="191"/>
      <c r="HCI7" s="191"/>
      <c r="HCJ7" s="191"/>
      <c r="HCL7" s="191"/>
      <c r="HCM7" s="191"/>
      <c r="HCN7" s="191"/>
      <c r="HCP7" s="191"/>
      <c r="HCQ7" s="191"/>
      <c r="HCR7" s="191"/>
      <c r="HCT7" s="191"/>
      <c r="HCU7" s="191"/>
      <c r="HCV7" s="191"/>
      <c r="HCX7" s="191"/>
      <c r="HCY7" s="191"/>
      <c r="HCZ7" s="191"/>
      <c r="HDB7" s="191"/>
      <c r="HDC7" s="191"/>
      <c r="HDD7" s="191"/>
      <c r="HDF7" s="191"/>
      <c r="HDG7" s="191"/>
      <c r="HDH7" s="191"/>
      <c r="HDJ7" s="191"/>
      <c r="HDK7" s="191"/>
      <c r="HDL7" s="191"/>
      <c r="HDN7" s="191"/>
      <c r="HDO7" s="191"/>
      <c r="HDP7" s="191"/>
      <c r="HDR7" s="191"/>
      <c r="HDS7" s="191"/>
      <c r="HDT7" s="191"/>
      <c r="HDV7" s="191"/>
      <c r="HDW7" s="191"/>
      <c r="HDX7" s="191"/>
      <c r="HDZ7" s="191"/>
      <c r="HEA7" s="191"/>
      <c r="HEB7" s="191"/>
      <c r="HED7" s="191"/>
      <c r="HEE7" s="191"/>
      <c r="HEF7" s="191"/>
      <c r="HEH7" s="191"/>
      <c r="HEI7" s="191"/>
      <c r="HEJ7" s="191"/>
      <c r="HEL7" s="191"/>
      <c r="HEM7" s="191"/>
      <c r="HEN7" s="191"/>
      <c r="HEP7" s="191"/>
      <c r="HEQ7" s="191"/>
      <c r="HER7" s="191"/>
      <c r="HET7" s="191"/>
      <c r="HEU7" s="191"/>
      <c r="HEV7" s="191"/>
      <c r="HEX7" s="191"/>
      <c r="HEY7" s="191"/>
      <c r="HEZ7" s="191"/>
      <c r="HFB7" s="191"/>
      <c r="HFC7" s="191"/>
      <c r="HFD7" s="191"/>
      <c r="HFF7" s="191"/>
      <c r="HFG7" s="191"/>
      <c r="HFH7" s="191"/>
      <c r="HFJ7" s="191"/>
      <c r="HFK7" s="191"/>
      <c r="HFL7" s="191"/>
      <c r="HFN7" s="191"/>
      <c r="HFO7" s="191"/>
      <c r="HFP7" s="191"/>
      <c r="HFR7" s="191"/>
      <c r="HFS7" s="191"/>
      <c r="HFT7" s="191"/>
      <c r="HFV7" s="191"/>
      <c r="HFW7" s="191"/>
      <c r="HFX7" s="191"/>
      <c r="HFZ7" s="191"/>
      <c r="HGA7" s="191"/>
      <c r="HGB7" s="191"/>
      <c r="HGD7" s="191"/>
      <c r="HGE7" s="191"/>
      <c r="HGF7" s="191"/>
      <c r="HGH7" s="191"/>
      <c r="HGI7" s="191"/>
      <c r="HGJ7" s="191"/>
      <c r="HGL7" s="191"/>
      <c r="HGM7" s="191"/>
      <c r="HGN7" s="191"/>
      <c r="HGP7" s="191"/>
      <c r="HGQ7" s="191"/>
      <c r="HGR7" s="191"/>
      <c r="HGT7" s="191"/>
      <c r="HGU7" s="191"/>
      <c r="HGV7" s="191"/>
      <c r="HGX7" s="191"/>
      <c r="HGY7" s="191"/>
      <c r="HGZ7" s="191"/>
      <c r="HHB7" s="191"/>
      <c r="HHC7" s="191"/>
      <c r="HHD7" s="191"/>
      <c r="HHF7" s="191"/>
      <c r="HHG7" s="191"/>
      <c r="HHH7" s="191"/>
      <c r="HHJ7" s="191"/>
      <c r="HHK7" s="191"/>
      <c r="HHL7" s="191"/>
      <c r="HHN7" s="191"/>
      <c r="HHO7" s="191"/>
      <c r="HHP7" s="191"/>
      <c r="HHR7" s="191"/>
      <c r="HHS7" s="191"/>
      <c r="HHT7" s="191"/>
      <c r="HHV7" s="191"/>
      <c r="HHW7" s="191"/>
      <c r="HHX7" s="191"/>
      <c r="HHZ7" s="191"/>
      <c r="HIA7" s="191"/>
      <c r="HIB7" s="191"/>
      <c r="HID7" s="191"/>
      <c r="HIE7" s="191"/>
      <c r="HIF7" s="191"/>
      <c r="HIH7" s="191"/>
      <c r="HII7" s="191"/>
      <c r="HIJ7" s="191"/>
      <c r="HIL7" s="191"/>
      <c r="HIM7" s="191"/>
      <c r="HIN7" s="191"/>
      <c r="HIP7" s="191"/>
      <c r="HIQ7" s="191"/>
      <c r="HIR7" s="191"/>
      <c r="HIT7" s="191"/>
      <c r="HIU7" s="191"/>
      <c r="HIV7" s="191"/>
      <c r="HIX7" s="191"/>
      <c r="HIY7" s="191"/>
      <c r="HIZ7" s="191"/>
      <c r="HJB7" s="191"/>
      <c r="HJC7" s="191"/>
      <c r="HJD7" s="191"/>
      <c r="HJF7" s="191"/>
      <c r="HJG7" s="191"/>
      <c r="HJH7" s="191"/>
      <c r="HJJ7" s="191"/>
      <c r="HJK7" s="191"/>
      <c r="HJL7" s="191"/>
      <c r="HJN7" s="191"/>
      <c r="HJO7" s="191"/>
      <c r="HJP7" s="191"/>
      <c r="HJR7" s="191"/>
      <c r="HJS7" s="191"/>
      <c r="HJT7" s="191"/>
      <c r="HJV7" s="191"/>
      <c r="HJW7" s="191"/>
      <c r="HJX7" s="191"/>
      <c r="HJZ7" s="191"/>
      <c r="HKA7" s="191"/>
      <c r="HKB7" s="191"/>
      <c r="HKD7" s="191"/>
      <c r="HKE7" s="191"/>
      <c r="HKF7" s="191"/>
      <c r="HKH7" s="191"/>
      <c r="HKI7" s="191"/>
      <c r="HKJ7" s="191"/>
      <c r="HKL7" s="191"/>
      <c r="HKM7" s="191"/>
      <c r="HKN7" s="191"/>
      <c r="HKP7" s="191"/>
      <c r="HKQ7" s="191"/>
      <c r="HKR7" s="191"/>
      <c r="HKT7" s="191"/>
      <c r="HKU7" s="191"/>
      <c r="HKV7" s="191"/>
      <c r="HKX7" s="191"/>
      <c r="HKY7" s="191"/>
      <c r="HKZ7" s="191"/>
      <c r="HLB7" s="191"/>
      <c r="HLC7" s="191"/>
      <c r="HLD7" s="191"/>
      <c r="HLF7" s="191"/>
      <c r="HLG7" s="191"/>
      <c r="HLH7" s="191"/>
      <c r="HLJ7" s="191"/>
      <c r="HLK7" s="191"/>
      <c r="HLL7" s="191"/>
      <c r="HLN7" s="191"/>
      <c r="HLO7" s="191"/>
      <c r="HLP7" s="191"/>
      <c r="HLR7" s="191"/>
      <c r="HLS7" s="191"/>
      <c r="HLT7" s="191"/>
      <c r="HLV7" s="191"/>
      <c r="HLW7" s="191"/>
      <c r="HLX7" s="191"/>
      <c r="HLZ7" s="191"/>
      <c r="HMA7" s="191"/>
      <c r="HMB7" s="191"/>
      <c r="HMD7" s="191"/>
      <c r="HME7" s="191"/>
      <c r="HMF7" s="191"/>
      <c r="HMH7" s="191"/>
      <c r="HMI7" s="191"/>
      <c r="HMJ7" s="191"/>
      <c r="HML7" s="191"/>
      <c r="HMM7" s="191"/>
      <c r="HMN7" s="191"/>
      <c r="HMP7" s="191"/>
      <c r="HMQ7" s="191"/>
      <c r="HMR7" s="191"/>
      <c r="HMT7" s="191"/>
      <c r="HMU7" s="191"/>
      <c r="HMV7" s="191"/>
      <c r="HMX7" s="191"/>
      <c r="HMY7" s="191"/>
      <c r="HMZ7" s="191"/>
      <c r="HNB7" s="191"/>
      <c r="HNC7" s="191"/>
      <c r="HND7" s="191"/>
      <c r="HNF7" s="191"/>
      <c r="HNG7" s="191"/>
      <c r="HNH7" s="191"/>
      <c r="HNJ7" s="191"/>
      <c r="HNK7" s="191"/>
      <c r="HNL7" s="191"/>
      <c r="HNN7" s="191"/>
      <c r="HNO7" s="191"/>
      <c r="HNP7" s="191"/>
      <c r="HNR7" s="191"/>
      <c r="HNS7" s="191"/>
      <c r="HNT7" s="191"/>
      <c r="HNV7" s="191"/>
      <c r="HNW7" s="191"/>
      <c r="HNX7" s="191"/>
      <c r="HNZ7" s="191"/>
      <c r="HOA7" s="191"/>
      <c r="HOB7" s="191"/>
      <c r="HOD7" s="191"/>
      <c r="HOE7" s="191"/>
      <c r="HOF7" s="191"/>
      <c r="HOH7" s="191"/>
      <c r="HOI7" s="191"/>
      <c r="HOJ7" s="191"/>
      <c r="HOL7" s="191"/>
      <c r="HOM7" s="191"/>
      <c r="HON7" s="191"/>
      <c r="HOP7" s="191"/>
      <c r="HOQ7" s="191"/>
      <c r="HOR7" s="191"/>
      <c r="HOT7" s="191"/>
      <c r="HOU7" s="191"/>
      <c r="HOV7" s="191"/>
      <c r="HOX7" s="191"/>
      <c r="HOY7" s="191"/>
      <c r="HOZ7" s="191"/>
      <c r="HPB7" s="191"/>
      <c r="HPC7" s="191"/>
      <c r="HPD7" s="191"/>
      <c r="HPF7" s="191"/>
      <c r="HPG7" s="191"/>
      <c r="HPH7" s="191"/>
      <c r="HPJ7" s="191"/>
      <c r="HPK7" s="191"/>
      <c r="HPL7" s="191"/>
      <c r="HPN7" s="191"/>
      <c r="HPO7" s="191"/>
      <c r="HPP7" s="191"/>
      <c r="HPR7" s="191"/>
      <c r="HPS7" s="191"/>
      <c r="HPT7" s="191"/>
      <c r="HPV7" s="191"/>
      <c r="HPW7" s="191"/>
      <c r="HPX7" s="191"/>
      <c r="HPZ7" s="191"/>
      <c r="HQA7" s="191"/>
      <c r="HQB7" s="191"/>
      <c r="HQD7" s="191"/>
      <c r="HQE7" s="191"/>
      <c r="HQF7" s="191"/>
      <c r="HQH7" s="191"/>
      <c r="HQI7" s="191"/>
      <c r="HQJ7" s="191"/>
      <c r="HQL7" s="191"/>
      <c r="HQM7" s="191"/>
      <c r="HQN7" s="191"/>
      <c r="HQP7" s="191"/>
      <c r="HQQ7" s="191"/>
      <c r="HQR7" s="191"/>
      <c r="HQT7" s="191"/>
      <c r="HQU7" s="191"/>
      <c r="HQV7" s="191"/>
      <c r="HQX7" s="191"/>
      <c r="HQY7" s="191"/>
      <c r="HQZ7" s="191"/>
      <c r="HRB7" s="191"/>
      <c r="HRC7" s="191"/>
      <c r="HRD7" s="191"/>
      <c r="HRF7" s="191"/>
      <c r="HRG7" s="191"/>
      <c r="HRH7" s="191"/>
      <c r="HRJ7" s="191"/>
      <c r="HRK7" s="191"/>
      <c r="HRL7" s="191"/>
      <c r="HRN7" s="191"/>
      <c r="HRO7" s="191"/>
      <c r="HRP7" s="191"/>
      <c r="HRR7" s="191"/>
      <c r="HRS7" s="191"/>
      <c r="HRT7" s="191"/>
      <c r="HRV7" s="191"/>
      <c r="HRW7" s="191"/>
      <c r="HRX7" s="191"/>
      <c r="HRZ7" s="191"/>
      <c r="HSA7" s="191"/>
      <c r="HSB7" s="191"/>
      <c r="HSD7" s="191"/>
      <c r="HSE7" s="191"/>
      <c r="HSF7" s="191"/>
      <c r="HSH7" s="191"/>
      <c r="HSI7" s="191"/>
      <c r="HSJ7" s="191"/>
      <c r="HSL7" s="191"/>
      <c r="HSM7" s="191"/>
      <c r="HSN7" s="191"/>
      <c r="HSP7" s="191"/>
      <c r="HSQ7" s="191"/>
      <c r="HSR7" s="191"/>
      <c r="HST7" s="191"/>
      <c r="HSU7" s="191"/>
      <c r="HSV7" s="191"/>
      <c r="HSX7" s="191"/>
      <c r="HSY7" s="191"/>
      <c r="HSZ7" s="191"/>
      <c r="HTB7" s="191"/>
      <c r="HTC7" s="191"/>
      <c r="HTD7" s="191"/>
      <c r="HTF7" s="191"/>
      <c r="HTG7" s="191"/>
      <c r="HTH7" s="191"/>
      <c r="HTJ7" s="191"/>
      <c r="HTK7" s="191"/>
      <c r="HTL7" s="191"/>
      <c r="HTN7" s="191"/>
      <c r="HTO7" s="191"/>
      <c r="HTP7" s="191"/>
      <c r="HTR7" s="191"/>
      <c r="HTS7" s="191"/>
      <c r="HTT7" s="191"/>
      <c r="HTV7" s="191"/>
      <c r="HTW7" s="191"/>
      <c r="HTX7" s="191"/>
      <c r="HTZ7" s="191"/>
      <c r="HUA7" s="191"/>
      <c r="HUB7" s="191"/>
      <c r="HUD7" s="191"/>
      <c r="HUE7" s="191"/>
      <c r="HUF7" s="191"/>
      <c r="HUH7" s="191"/>
      <c r="HUI7" s="191"/>
      <c r="HUJ7" s="191"/>
      <c r="HUL7" s="191"/>
      <c r="HUM7" s="191"/>
      <c r="HUN7" s="191"/>
      <c r="HUP7" s="191"/>
      <c r="HUQ7" s="191"/>
      <c r="HUR7" s="191"/>
      <c r="HUT7" s="191"/>
      <c r="HUU7" s="191"/>
      <c r="HUV7" s="191"/>
      <c r="HUX7" s="191"/>
      <c r="HUY7" s="191"/>
      <c r="HUZ7" s="191"/>
      <c r="HVB7" s="191"/>
      <c r="HVC7" s="191"/>
      <c r="HVD7" s="191"/>
      <c r="HVF7" s="191"/>
      <c r="HVG7" s="191"/>
      <c r="HVH7" s="191"/>
      <c r="HVJ7" s="191"/>
      <c r="HVK7" s="191"/>
      <c r="HVL7" s="191"/>
      <c r="HVN7" s="191"/>
      <c r="HVO7" s="191"/>
      <c r="HVP7" s="191"/>
      <c r="HVR7" s="191"/>
      <c r="HVS7" s="191"/>
      <c r="HVT7" s="191"/>
      <c r="HVV7" s="191"/>
      <c r="HVW7" s="191"/>
      <c r="HVX7" s="191"/>
      <c r="HVZ7" s="191"/>
      <c r="HWA7" s="191"/>
      <c r="HWB7" s="191"/>
      <c r="HWD7" s="191"/>
      <c r="HWE7" s="191"/>
      <c r="HWF7" s="191"/>
      <c r="HWH7" s="191"/>
      <c r="HWI7" s="191"/>
      <c r="HWJ7" s="191"/>
      <c r="HWL7" s="191"/>
      <c r="HWM7" s="191"/>
      <c r="HWN7" s="191"/>
      <c r="HWP7" s="191"/>
      <c r="HWQ7" s="191"/>
      <c r="HWR7" s="191"/>
      <c r="HWT7" s="191"/>
      <c r="HWU7" s="191"/>
      <c r="HWV7" s="191"/>
      <c r="HWX7" s="191"/>
      <c r="HWY7" s="191"/>
      <c r="HWZ7" s="191"/>
      <c r="HXB7" s="191"/>
      <c r="HXC7" s="191"/>
      <c r="HXD7" s="191"/>
      <c r="HXF7" s="191"/>
      <c r="HXG7" s="191"/>
      <c r="HXH7" s="191"/>
      <c r="HXJ7" s="191"/>
      <c r="HXK7" s="191"/>
      <c r="HXL7" s="191"/>
      <c r="HXN7" s="191"/>
      <c r="HXO7" s="191"/>
      <c r="HXP7" s="191"/>
      <c r="HXR7" s="191"/>
      <c r="HXS7" s="191"/>
      <c r="HXT7" s="191"/>
      <c r="HXV7" s="191"/>
      <c r="HXW7" s="191"/>
      <c r="HXX7" s="191"/>
      <c r="HXZ7" s="191"/>
      <c r="HYA7" s="191"/>
      <c r="HYB7" s="191"/>
      <c r="HYD7" s="191"/>
      <c r="HYE7" s="191"/>
      <c r="HYF7" s="191"/>
      <c r="HYH7" s="191"/>
      <c r="HYI7" s="191"/>
      <c r="HYJ7" s="191"/>
      <c r="HYL7" s="191"/>
      <c r="HYM7" s="191"/>
      <c r="HYN7" s="191"/>
      <c r="HYP7" s="191"/>
      <c r="HYQ7" s="191"/>
      <c r="HYR7" s="191"/>
      <c r="HYT7" s="191"/>
      <c r="HYU7" s="191"/>
      <c r="HYV7" s="191"/>
      <c r="HYX7" s="191"/>
      <c r="HYY7" s="191"/>
      <c r="HYZ7" s="191"/>
      <c r="HZB7" s="191"/>
      <c r="HZC7" s="191"/>
      <c r="HZD7" s="191"/>
      <c r="HZF7" s="191"/>
      <c r="HZG7" s="191"/>
      <c r="HZH7" s="191"/>
      <c r="HZJ7" s="191"/>
      <c r="HZK7" s="191"/>
      <c r="HZL7" s="191"/>
      <c r="HZN7" s="191"/>
      <c r="HZO7" s="191"/>
      <c r="HZP7" s="191"/>
      <c r="HZR7" s="191"/>
      <c r="HZS7" s="191"/>
      <c r="HZT7" s="191"/>
      <c r="HZV7" s="191"/>
      <c r="HZW7" s="191"/>
      <c r="HZX7" s="191"/>
      <c r="HZZ7" s="191"/>
      <c r="IAA7" s="191"/>
      <c r="IAB7" s="191"/>
      <c r="IAD7" s="191"/>
      <c r="IAE7" s="191"/>
      <c r="IAF7" s="191"/>
      <c r="IAH7" s="191"/>
      <c r="IAI7" s="191"/>
      <c r="IAJ7" s="191"/>
      <c r="IAL7" s="191"/>
      <c r="IAM7" s="191"/>
      <c r="IAN7" s="191"/>
      <c r="IAP7" s="191"/>
      <c r="IAQ7" s="191"/>
      <c r="IAR7" s="191"/>
      <c r="IAT7" s="191"/>
      <c r="IAU7" s="191"/>
      <c r="IAV7" s="191"/>
      <c r="IAX7" s="191"/>
      <c r="IAY7" s="191"/>
      <c r="IAZ7" s="191"/>
      <c r="IBB7" s="191"/>
      <c r="IBC7" s="191"/>
      <c r="IBD7" s="191"/>
      <c r="IBF7" s="191"/>
      <c r="IBG7" s="191"/>
      <c r="IBH7" s="191"/>
      <c r="IBJ7" s="191"/>
      <c r="IBK7" s="191"/>
      <c r="IBL7" s="191"/>
      <c r="IBN7" s="191"/>
      <c r="IBO7" s="191"/>
      <c r="IBP7" s="191"/>
      <c r="IBR7" s="191"/>
      <c r="IBS7" s="191"/>
      <c r="IBT7" s="191"/>
      <c r="IBV7" s="191"/>
      <c r="IBW7" s="191"/>
      <c r="IBX7" s="191"/>
      <c r="IBZ7" s="191"/>
      <c r="ICA7" s="191"/>
      <c r="ICB7" s="191"/>
      <c r="ICD7" s="191"/>
      <c r="ICE7" s="191"/>
      <c r="ICF7" s="191"/>
      <c r="ICH7" s="191"/>
      <c r="ICI7" s="191"/>
      <c r="ICJ7" s="191"/>
      <c r="ICL7" s="191"/>
      <c r="ICM7" s="191"/>
      <c r="ICN7" s="191"/>
      <c r="ICP7" s="191"/>
      <c r="ICQ7" s="191"/>
      <c r="ICR7" s="191"/>
      <c r="ICT7" s="191"/>
      <c r="ICU7" s="191"/>
      <c r="ICV7" s="191"/>
      <c r="ICX7" s="191"/>
      <c r="ICY7" s="191"/>
      <c r="ICZ7" s="191"/>
      <c r="IDB7" s="191"/>
      <c r="IDC7" s="191"/>
      <c r="IDD7" s="191"/>
      <c r="IDF7" s="191"/>
      <c r="IDG7" s="191"/>
      <c r="IDH7" s="191"/>
      <c r="IDJ7" s="191"/>
      <c r="IDK7" s="191"/>
      <c r="IDL7" s="191"/>
      <c r="IDN7" s="191"/>
      <c r="IDO7" s="191"/>
      <c r="IDP7" s="191"/>
      <c r="IDR7" s="191"/>
      <c r="IDS7" s="191"/>
      <c r="IDT7" s="191"/>
      <c r="IDV7" s="191"/>
      <c r="IDW7" s="191"/>
      <c r="IDX7" s="191"/>
      <c r="IDZ7" s="191"/>
      <c r="IEA7" s="191"/>
      <c r="IEB7" s="191"/>
      <c r="IED7" s="191"/>
      <c r="IEE7" s="191"/>
      <c r="IEF7" s="191"/>
      <c r="IEH7" s="191"/>
      <c r="IEI7" s="191"/>
      <c r="IEJ7" s="191"/>
      <c r="IEL7" s="191"/>
      <c r="IEM7" s="191"/>
      <c r="IEN7" s="191"/>
      <c r="IEP7" s="191"/>
      <c r="IEQ7" s="191"/>
      <c r="IER7" s="191"/>
      <c r="IET7" s="191"/>
      <c r="IEU7" s="191"/>
      <c r="IEV7" s="191"/>
      <c r="IEX7" s="191"/>
      <c r="IEY7" s="191"/>
      <c r="IEZ7" s="191"/>
      <c r="IFB7" s="191"/>
      <c r="IFC7" s="191"/>
      <c r="IFD7" s="191"/>
      <c r="IFF7" s="191"/>
      <c r="IFG7" s="191"/>
      <c r="IFH7" s="191"/>
      <c r="IFJ7" s="191"/>
      <c r="IFK7" s="191"/>
      <c r="IFL7" s="191"/>
      <c r="IFN7" s="191"/>
      <c r="IFO7" s="191"/>
      <c r="IFP7" s="191"/>
      <c r="IFR7" s="191"/>
      <c r="IFS7" s="191"/>
      <c r="IFT7" s="191"/>
      <c r="IFV7" s="191"/>
      <c r="IFW7" s="191"/>
      <c r="IFX7" s="191"/>
      <c r="IFZ7" s="191"/>
      <c r="IGA7" s="191"/>
      <c r="IGB7" s="191"/>
      <c r="IGD7" s="191"/>
      <c r="IGE7" s="191"/>
      <c r="IGF7" s="191"/>
      <c r="IGH7" s="191"/>
      <c r="IGI7" s="191"/>
      <c r="IGJ7" s="191"/>
      <c r="IGL7" s="191"/>
      <c r="IGM7" s="191"/>
      <c r="IGN7" s="191"/>
      <c r="IGP7" s="191"/>
      <c r="IGQ7" s="191"/>
      <c r="IGR7" s="191"/>
      <c r="IGT7" s="191"/>
      <c r="IGU7" s="191"/>
      <c r="IGV7" s="191"/>
      <c r="IGX7" s="191"/>
      <c r="IGY7" s="191"/>
      <c r="IGZ7" s="191"/>
      <c r="IHB7" s="191"/>
      <c r="IHC7" s="191"/>
      <c r="IHD7" s="191"/>
      <c r="IHF7" s="191"/>
      <c r="IHG7" s="191"/>
      <c r="IHH7" s="191"/>
      <c r="IHJ7" s="191"/>
      <c r="IHK7" s="191"/>
      <c r="IHL7" s="191"/>
      <c r="IHN7" s="191"/>
      <c r="IHO7" s="191"/>
      <c r="IHP7" s="191"/>
      <c r="IHR7" s="191"/>
      <c r="IHS7" s="191"/>
      <c r="IHT7" s="191"/>
      <c r="IHV7" s="191"/>
      <c r="IHW7" s="191"/>
      <c r="IHX7" s="191"/>
      <c r="IHZ7" s="191"/>
      <c r="IIA7" s="191"/>
      <c r="IIB7" s="191"/>
      <c r="IID7" s="191"/>
      <c r="IIE7" s="191"/>
      <c r="IIF7" s="191"/>
      <c r="IIH7" s="191"/>
      <c r="III7" s="191"/>
      <c r="IIJ7" s="191"/>
      <c r="IIL7" s="191"/>
      <c r="IIM7" s="191"/>
      <c r="IIN7" s="191"/>
      <c r="IIP7" s="191"/>
      <c r="IIQ7" s="191"/>
      <c r="IIR7" s="191"/>
      <c r="IIT7" s="191"/>
      <c r="IIU7" s="191"/>
      <c r="IIV7" s="191"/>
      <c r="IIX7" s="191"/>
      <c r="IIY7" s="191"/>
      <c r="IIZ7" s="191"/>
      <c r="IJB7" s="191"/>
      <c r="IJC7" s="191"/>
      <c r="IJD7" s="191"/>
      <c r="IJF7" s="191"/>
      <c r="IJG7" s="191"/>
      <c r="IJH7" s="191"/>
      <c r="IJJ7" s="191"/>
      <c r="IJK7" s="191"/>
      <c r="IJL7" s="191"/>
      <c r="IJN7" s="191"/>
      <c r="IJO7" s="191"/>
      <c r="IJP7" s="191"/>
      <c r="IJR7" s="191"/>
      <c r="IJS7" s="191"/>
      <c r="IJT7" s="191"/>
      <c r="IJV7" s="191"/>
      <c r="IJW7" s="191"/>
      <c r="IJX7" s="191"/>
      <c r="IJZ7" s="191"/>
      <c r="IKA7" s="191"/>
      <c r="IKB7" s="191"/>
      <c r="IKD7" s="191"/>
      <c r="IKE7" s="191"/>
      <c r="IKF7" s="191"/>
      <c r="IKH7" s="191"/>
      <c r="IKI7" s="191"/>
      <c r="IKJ7" s="191"/>
      <c r="IKL7" s="191"/>
      <c r="IKM7" s="191"/>
      <c r="IKN7" s="191"/>
      <c r="IKP7" s="191"/>
      <c r="IKQ7" s="191"/>
      <c r="IKR7" s="191"/>
      <c r="IKT7" s="191"/>
      <c r="IKU7" s="191"/>
      <c r="IKV7" s="191"/>
      <c r="IKX7" s="191"/>
      <c r="IKY7" s="191"/>
      <c r="IKZ7" s="191"/>
      <c r="ILB7" s="191"/>
      <c r="ILC7" s="191"/>
      <c r="ILD7" s="191"/>
      <c r="ILF7" s="191"/>
      <c r="ILG7" s="191"/>
      <c r="ILH7" s="191"/>
      <c r="ILJ7" s="191"/>
      <c r="ILK7" s="191"/>
      <c r="ILL7" s="191"/>
      <c r="ILN7" s="191"/>
      <c r="ILO7" s="191"/>
      <c r="ILP7" s="191"/>
      <c r="ILR7" s="191"/>
      <c r="ILS7" s="191"/>
      <c r="ILT7" s="191"/>
      <c r="ILV7" s="191"/>
      <c r="ILW7" s="191"/>
      <c r="ILX7" s="191"/>
      <c r="ILZ7" s="191"/>
      <c r="IMA7" s="191"/>
      <c r="IMB7" s="191"/>
      <c r="IMD7" s="191"/>
      <c r="IME7" s="191"/>
      <c r="IMF7" s="191"/>
      <c r="IMH7" s="191"/>
      <c r="IMI7" s="191"/>
      <c r="IMJ7" s="191"/>
      <c r="IML7" s="191"/>
      <c r="IMM7" s="191"/>
      <c r="IMN7" s="191"/>
      <c r="IMP7" s="191"/>
      <c r="IMQ7" s="191"/>
      <c r="IMR7" s="191"/>
      <c r="IMT7" s="191"/>
      <c r="IMU7" s="191"/>
      <c r="IMV7" s="191"/>
      <c r="IMX7" s="191"/>
      <c r="IMY7" s="191"/>
      <c r="IMZ7" s="191"/>
      <c r="INB7" s="191"/>
      <c r="INC7" s="191"/>
      <c r="IND7" s="191"/>
      <c r="INF7" s="191"/>
      <c r="ING7" s="191"/>
      <c r="INH7" s="191"/>
      <c r="INJ7" s="191"/>
      <c r="INK7" s="191"/>
      <c r="INL7" s="191"/>
      <c r="INN7" s="191"/>
      <c r="INO7" s="191"/>
      <c r="INP7" s="191"/>
      <c r="INR7" s="191"/>
      <c r="INS7" s="191"/>
      <c r="INT7" s="191"/>
      <c r="INV7" s="191"/>
      <c r="INW7" s="191"/>
      <c r="INX7" s="191"/>
      <c r="INZ7" s="191"/>
      <c r="IOA7" s="191"/>
      <c r="IOB7" s="191"/>
      <c r="IOD7" s="191"/>
      <c r="IOE7" s="191"/>
      <c r="IOF7" s="191"/>
      <c r="IOH7" s="191"/>
      <c r="IOI7" s="191"/>
      <c r="IOJ7" s="191"/>
      <c r="IOL7" s="191"/>
      <c r="IOM7" s="191"/>
      <c r="ION7" s="191"/>
      <c r="IOP7" s="191"/>
      <c r="IOQ7" s="191"/>
      <c r="IOR7" s="191"/>
      <c r="IOT7" s="191"/>
      <c r="IOU7" s="191"/>
      <c r="IOV7" s="191"/>
      <c r="IOX7" s="191"/>
      <c r="IOY7" s="191"/>
      <c r="IOZ7" s="191"/>
      <c r="IPB7" s="191"/>
      <c r="IPC7" s="191"/>
      <c r="IPD7" s="191"/>
      <c r="IPF7" s="191"/>
      <c r="IPG7" s="191"/>
      <c r="IPH7" s="191"/>
      <c r="IPJ7" s="191"/>
      <c r="IPK7" s="191"/>
      <c r="IPL7" s="191"/>
      <c r="IPN7" s="191"/>
      <c r="IPO7" s="191"/>
      <c r="IPP7" s="191"/>
      <c r="IPR7" s="191"/>
      <c r="IPS7" s="191"/>
      <c r="IPT7" s="191"/>
      <c r="IPV7" s="191"/>
      <c r="IPW7" s="191"/>
      <c r="IPX7" s="191"/>
      <c r="IPZ7" s="191"/>
      <c r="IQA7" s="191"/>
      <c r="IQB7" s="191"/>
      <c r="IQD7" s="191"/>
      <c r="IQE7" s="191"/>
      <c r="IQF7" s="191"/>
      <c r="IQH7" s="191"/>
      <c r="IQI7" s="191"/>
      <c r="IQJ7" s="191"/>
      <c r="IQL7" s="191"/>
      <c r="IQM7" s="191"/>
      <c r="IQN7" s="191"/>
      <c r="IQP7" s="191"/>
      <c r="IQQ7" s="191"/>
      <c r="IQR7" s="191"/>
      <c r="IQT7" s="191"/>
      <c r="IQU7" s="191"/>
      <c r="IQV7" s="191"/>
      <c r="IQX7" s="191"/>
      <c r="IQY7" s="191"/>
      <c r="IQZ7" s="191"/>
      <c r="IRB7" s="191"/>
      <c r="IRC7" s="191"/>
      <c r="IRD7" s="191"/>
      <c r="IRF7" s="191"/>
      <c r="IRG7" s="191"/>
      <c r="IRH7" s="191"/>
      <c r="IRJ7" s="191"/>
      <c r="IRK7" s="191"/>
      <c r="IRL7" s="191"/>
      <c r="IRN7" s="191"/>
      <c r="IRO7" s="191"/>
      <c r="IRP7" s="191"/>
      <c r="IRR7" s="191"/>
      <c r="IRS7" s="191"/>
      <c r="IRT7" s="191"/>
      <c r="IRV7" s="191"/>
      <c r="IRW7" s="191"/>
      <c r="IRX7" s="191"/>
      <c r="IRZ7" s="191"/>
      <c r="ISA7" s="191"/>
      <c r="ISB7" s="191"/>
      <c r="ISD7" s="191"/>
      <c r="ISE7" s="191"/>
      <c r="ISF7" s="191"/>
      <c r="ISH7" s="191"/>
      <c r="ISI7" s="191"/>
      <c r="ISJ7" s="191"/>
      <c r="ISL7" s="191"/>
      <c r="ISM7" s="191"/>
      <c r="ISN7" s="191"/>
      <c r="ISP7" s="191"/>
      <c r="ISQ7" s="191"/>
      <c r="ISR7" s="191"/>
      <c r="IST7" s="191"/>
      <c r="ISU7" s="191"/>
      <c r="ISV7" s="191"/>
      <c r="ISX7" s="191"/>
      <c r="ISY7" s="191"/>
      <c r="ISZ7" s="191"/>
      <c r="ITB7" s="191"/>
      <c r="ITC7" s="191"/>
      <c r="ITD7" s="191"/>
      <c r="ITF7" s="191"/>
      <c r="ITG7" s="191"/>
      <c r="ITH7" s="191"/>
      <c r="ITJ7" s="191"/>
      <c r="ITK7" s="191"/>
      <c r="ITL7" s="191"/>
      <c r="ITN7" s="191"/>
      <c r="ITO7" s="191"/>
      <c r="ITP7" s="191"/>
      <c r="ITR7" s="191"/>
      <c r="ITS7" s="191"/>
      <c r="ITT7" s="191"/>
      <c r="ITV7" s="191"/>
      <c r="ITW7" s="191"/>
      <c r="ITX7" s="191"/>
      <c r="ITZ7" s="191"/>
      <c r="IUA7" s="191"/>
      <c r="IUB7" s="191"/>
      <c r="IUD7" s="191"/>
      <c r="IUE7" s="191"/>
      <c r="IUF7" s="191"/>
      <c r="IUH7" s="191"/>
      <c r="IUI7" s="191"/>
      <c r="IUJ7" s="191"/>
      <c r="IUL7" s="191"/>
      <c r="IUM7" s="191"/>
      <c r="IUN7" s="191"/>
      <c r="IUP7" s="191"/>
      <c r="IUQ7" s="191"/>
      <c r="IUR7" s="191"/>
      <c r="IUT7" s="191"/>
      <c r="IUU7" s="191"/>
      <c r="IUV7" s="191"/>
      <c r="IUX7" s="191"/>
      <c r="IUY7" s="191"/>
      <c r="IUZ7" s="191"/>
      <c r="IVB7" s="191"/>
      <c r="IVC7" s="191"/>
      <c r="IVD7" s="191"/>
      <c r="IVF7" s="191"/>
      <c r="IVG7" s="191"/>
      <c r="IVH7" s="191"/>
      <c r="IVJ7" s="191"/>
      <c r="IVK7" s="191"/>
      <c r="IVL7" s="191"/>
      <c r="IVN7" s="191"/>
      <c r="IVO7" s="191"/>
      <c r="IVP7" s="191"/>
      <c r="IVR7" s="191"/>
      <c r="IVS7" s="191"/>
      <c r="IVT7" s="191"/>
      <c r="IVV7" s="191"/>
      <c r="IVW7" s="191"/>
      <c r="IVX7" s="191"/>
      <c r="IVZ7" s="191"/>
      <c r="IWA7" s="191"/>
      <c r="IWB7" s="191"/>
      <c r="IWD7" s="191"/>
      <c r="IWE7" s="191"/>
      <c r="IWF7" s="191"/>
      <c r="IWH7" s="191"/>
      <c r="IWI7" s="191"/>
      <c r="IWJ7" s="191"/>
      <c r="IWL7" s="191"/>
      <c r="IWM7" s="191"/>
      <c r="IWN7" s="191"/>
      <c r="IWP7" s="191"/>
      <c r="IWQ7" s="191"/>
      <c r="IWR7" s="191"/>
      <c r="IWT7" s="191"/>
      <c r="IWU7" s="191"/>
      <c r="IWV7" s="191"/>
      <c r="IWX7" s="191"/>
      <c r="IWY7" s="191"/>
      <c r="IWZ7" s="191"/>
      <c r="IXB7" s="191"/>
      <c r="IXC7" s="191"/>
      <c r="IXD7" s="191"/>
      <c r="IXF7" s="191"/>
      <c r="IXG7" s="191"/>
      <c r="IXH7" s="191"/>
      <c r="IXJ7" s="191"/>
      <c r="IXK7" s="191"/>
      <c r="IXL7" s="191"/>
      <c r="IXN7" s="191"/>
      <c r="IXO7" s="191"/>
      <c r="IXP7" s="191"/>
      <c r="IXR7" s="191"/>
      <c r="IXS7" s="191"/>
      <c r="IXT7" s="191"/>
      <c r="IXV7" s="191"/>
      <c r="IXW7" s="191"/>
      <c r="IXX7" s="191"/>
      <c r="IXZ7" s="191"/>
      <c r="IYA7" s="191"/>
      <c r="IYB7" s="191"/>
      <c r="IYD7" s="191"/>
      <c r="IYE7" s="191"/>
      <c r="IYF7" s="191"/>
      <c r="IYH7" s="191"/>
      <c r="IYI7" s="191"/>
      <c r="IYJ7" s="191"/>
      <c r="IYL7" s="191"/>
      <c r="IYM7" s="191"/>
      <c r="IYN7" s="191"/>
      <c r="IYP7" s="191"/>
      <c r="IYQ7" s="191"/>
      <c r="IYR7" s="191"/>
      <c r="IYT7" s="191"/>
      <c r="IYU7" s="191"/>
      <c r="IYV7" s="191"/>
      <c r="IYX7" s="191"/>
      <c r="IYY7" s="191"/>
      <c r="IYZ7" s="191"/>
      <c r="IZB7" s="191"/>
      <c r="IZC7" s="191"/>
      <c r="IZD7" s="191"/>
      <c r="IZF7" s="191"/>
      <c r="IZG7" s="191"/>
      <c r="IZH7" s="191"/>
      <c r="IZJ7" s="191"/>
      <c r="IZK7" s="191"/>
      <c r="IZL7" s="191"/>
      <c r="IZN7" s="191"/>
      <c r="IZO7" s="191"/>
      <c r="IZP7" s="191"/>
      <c r="IZR7" s="191"/>
      <c r="IZS7" s="191"/>
      <c r="IZT7" s="191"/>
      <c r="IZV7" s="191"/>
      <c r="IZW7" s="191"/>
      <c r="IZX7" s="191"/>
      <c r="IZZ7" s="191"/>
      <c r="JAA7" s="191"/>
      <c r="JAB7" s="191"/>
      <c r="JAD7" s="191"/>
      <c r="JAE7" s="191"/>
      <c r="JAF7" s="191"/>
      <c r="JAH7" s="191"/>
      <c r="JAI7" s="191"/>
      <c r="JAJ7" s="191"/>
      <c r="JAL7" s="191"/>
      <c r="JAM7" s="191"/>
      <c r="JAN7" s="191"/>
      <c r="JAP7" s="191"/>
      <c r="JAQ7" s="191"/>
      <c r="JAR7" s="191"/>
      <c r="JAT7" s="191"/>
      <c r="JAU7" s="191"/>
      <c r="JAV7" s="191"/>
      <c r="JAX7" s="191"/>
      <c r="JAY7" s="191"/>
      <c r="JAZ7" s="191"/>
      <c r="JBB7" s="191"/>
      <c r="JBC7" s="191"/>
      <c r="JBD7" s="191"/>
      <c r="JBF7" s="191"/>
      <c r="JBG7" s="191"/>
      <c r="JBH7" s="191"/>
      <c r="JBJ7" s="191"/>
      <c r="JBK7" s="191"/>
      <c r="JBL7" s="191"/>
      <c r="JBN7" s="191"/>
      <c r="JBO7" s="191"/>
      <c r="JBP7" s="191"/>
      <c r="JBR7" s="191"/>
      <c r="JBS7" s="191"/>
      <c r="JBT7" s="191"/>
      <c r="JBV7" s="191"/>
      <c r="JBW7" s="191"/>
      <c r="JBX7" s="191"/>
      <c r="JBZ7" s="191"/>
      <c r="JCA7" s="191"/>
      <c r="JCB7" s="191"/>
      <c r="JCD7" s="191"/>
      <c r="JCE7" s="191"/>
      <c r="JCF7" s="191"/>
      <c r="JCH7" s="191"/>
      <c r="JCI7" s="191"/>
      <c r="JCJ7" s="191"/>
      <c r="JCL7" s="191"/>
      <c r="JCM7" s="191"/>
      <c r="JCN7" s="191"/>
      <c r="JCP7" s="191"/>
      <c r="JCQ7" s="191"/>
      <c r="JCR7" s="191"/>
      <c r="JCT7" s="191"/>
      <c r="JCU7" s="191"/>
      <c r="JCV7" s="191"/>
      <c r="JCX7" s="191"/>
      <c r="JCY7" s="191"/>
      <c r="JCZ7" s="191"/>
      <c r="JDB7" s="191"/>
      <c r="JDC7" s="191"/>
      <c r="JDD7" s="191"/>
      <c r="JDF7" s="191"/>
      <c r="JDG7" s="191"/>
      <c r="JDH7" s="191"/>
      <c r="JDJ7" s="191"/>
      <c r="JDK7" s="191"/>
      <c r="JDL7" s="191"/>
      <c r="JDN7" s="191"/>
      <c r="JDO7" s="191"/>
      <c r="JDP7" s="191"/>
      <c r="JDR7" s="191"/>
      <c r="JDS7" s="191"/>
      <c r="JDT7" s="191"/>
      <c r="JDV7" s="191"/>
      <c r="JDW7" s="191"/>
      <c r="JDX7" s="191"/>
      <c r="JDZ7" s="191"/>
      <c r="JEA7" s="191"/>
      <c r="JEB7" s="191"/>
      <c r="JED7" s="191"/>
      <c r="JEE7" s="191"/>
      <c r="JEF7" s="191"/>
      <c r="JEH7" s="191"/>
      <c r="JEI7" s="191"/>
      <c r="JEJ7" s="191"/>
      <c r="JEL7" s="191"/>
      <c r="JEM7" s="191"/>
      <c r="JEN7" s="191"/>
      <c r="JEP7" s="191"/>
      <c r="JEQ7" s="191"/>
      <c r="JER7" s="191"/>
      <c r="JET7" s="191"/>
      <c r="JEU7" s="191"/>
      <c r="JEV7" s="191"/>
      <c r="JEX7" s="191"/>
      <c r="JEY7" s="191"/>
      <c r="JEZ7" s="191"/>
      <c r="JFB7" s="191"/>
      <c r="JFC7" s="191"/>
      <c r="JFD7" s="191"/>
      <c r="JFF7" s="191"/>
      <c r="JFG7" s="191"/>
      <c r="JFH7" s="191"/>
      <c r="JFJ7" s="191"/>
      <c r="JFK7" s="191"/>
      <c r="JFL7" s="191"/>
      <c r="JFN7" s="191"/>
      <c r="JFO7" s="191"/>
      <c r="JFP7" s="191"/>
      <c r="JFR7" s="191"/>
      <c r="JFS7" s="191"/>
      <c r="JFT7" s="191"/>
      <c r="JFV7" s="191"/>
      <c r="JFW7" s="191"/>
      <c r="JFX7" s="191"/>
      <c r="JFZ7" s="191"/>
      <c r="JGA7" s="191"/>
      <c r="JGB7" s="191"/>
      <c r="JGD7" s="191"/>
      <c r="JGE7" s="191"/>
      <c r="JGF7" s="191"/>
      <c r="JGH7" s="191"/>
      <c r="JGI7" s="191"/>
      <c r="JGJ7" s="191"/>
      <c r="JGL7" s="191"/>
      <c r="JGM7" s="191"/>
      <c r="JGN7" s="191"/>
      <c r="JGP7" s="191"/>
      <c r="JGQ7" s="191"/>
      <c r="JGR7" s="191"/>
      <c r="JGT7" s="191"/>
      <c r="JGU7" s="191"/>
      <c r="JGV7" s="191"/>
      <c r="JGX7" s="191"/>
      <c r="JGY7" s="191"/>
      <c r="JGZ7" s="191"/>
      <c r="JHB7" s="191"/>
      <c r="JHC7" s="191"/>
      <c r="JHD7" s="191"/>
      <c r="JHF7" s="191"/>
      <c r="JHG7" s="191"/>
      <c r="JHH7" s="191"/>
      <c r="JHJ7" s="191"/>
      <c r="JHK7" s="191"/>
      <c r="JHL7" s="191"/>
      <c r="JHN7" s="191"/>
      <c r="JHO7" s="191"/>
      <c r="JHP7" s="191"/>
      <c r="JHR7" s="191"/>
      <c r="JHS7" s="191"/>
      <c r="JHT7" s="191"/>
      <c r="JHV7" s="191"/>
      <c r="JHW7" s="191"/>
      <c r="JHX7" s="191"/>
      <c r="JHZ7" s="191"/>
      <c r="JIA7" s="191"/>
      <c r="JIB7" s="191"/>
      <c r="JID7" s="191"/>
      <c r="JIE7" s="191"/>
      <c r="JIF7" s="191"/>
      <c r="JIH7" s="191"/>
      <c r="JII7" s="191"/>
      <c r="JIJ7" s="191"/>
      <c r="JIL7" s="191"/>
      <c r="JIM7" s="191"/>
      <c r="JIN7" s="191"/>
      <c r="JIP7" s="191"/>
      <c r="JIQ7" s="191"/>
      <c r="JIR7" s="191"/>
      <c r="JIT7" s="191"/>
      <c r="JIU7" s="191"/>
      <c r="JIV7" s="191"/>
      <c r="JIX7" s="191"/>
      <c r="JIY7" s="191"/>
      <c r="JIZ7" s="191"/>
      <c r="JJB7" s="191"/>
      <c r="JJC7" s="191"/>
      <c r="JJD7" s="191"/>
      <c r="JJF7" s="191"/>
      <c r="JJG7" s="191"/>
      <c r="JJH7" s="191"/>
      <c r="JJJ7" s="191"/>
      <c r="JJK7" s="191"/>
      <c r="JJL7" s="191"/>
      <c r="JJN7" s="191"/>
      <c r="JJO7" s="191"/>
      <c r="JJP7" s="191"/>
      <c r="JJR7" s="191"/>
      <c r="JJS7" s="191"/>
      <c r="JJT7" s="191"/>
      <c r="JJV7" s="191"/>
      <c r="JJW7" s="191"/>
      <c r="JJX7" s="191"/>
      <c r="JJZ7" s="191"/>
      <c r="JKA7" s="191"/>
      <c r="JKB7" s="191"/>
      <c r="JKD7" s="191"/>
      <c r="JKE7" s="191"/>
      <c r="JKF7" s="191"/>
      <c r="JKH7" s="191"/>
      <c r="JKI7" s="191"/>
      <c r="JKJ7" s="191"/>
      <c r="JKL7" s="191"/>
      <c r="JKM7" s="191"/>
      <c r="JKN7" s="191"/>
      <c r="JKP7" s="191"/>
      <c r="JKQ7" s="191"/>
      <c r="JKR7" s="191"/>
      <c r="JKT7" s="191"/>
      <c r="JKU7" s="191"/>
      <c r="JKV7" s="191"/>
      <c r="JKX7" s="191"/>
      <c r="JKY7" s="191"/>
      <c r="JKZ7" s="191"/>
      <c r="JLB7" s="191"/>
      <c r="JLC7" s="191"/>
      <c r="JLD7" s="191"/>
      <c r="JLF7" s="191"/>
      <c r="JLG7" s="191"/>
      <c r="JLH7" s="191"/>
      <c r="JLJ7" s="191"/>
      <c r="JLK7" s="191"/>
      <c r="JLL7" s="191"/>
      <c r="JLN7" s="191"/>
      <c r="JLO7" s="191"/>
      <c r="JLP7" s="191"/>
      <c r="JLR7" s="191"/>
      <c r="JLS7" s="191"/>
      <c r="JLT7" s="191"/>
      <c r="JLV7" s="191"/>
      <c r="JLW7" s="191"/>
      <c r="JLX7" s="191"/>
      <c r="JLZ7" s="191"/>
      <c r="JMA7" s="191"/>
      <c r="JMB7" s="191"/>
      <c r="JMD7" s="191"/>
      <c r="JME7" s="191"/>
      <c r="JMF7" s="191"/>
      <c r="JMH7" s="191"/>
      <c r="JMI7" s="191"/>
      <c r="JMJ7" s="191"/>
      <c r="JML7" s="191"/>
      <c r="JMM7" s="191"/>
      <c r="JMN7" s="191"/>
      <c r="JMP7" s="191"/>
      <c r="JMQ7" s="191"/>
      <c r="JMR7" s="191"/>
      <c r="JMT7" s="191"/>
      <c r="JMU7" s="191"/>
      <c r="JMV7" s="191"/>
      <c r="JMX7" s="191"/>
      <c r="JMY7" s="191"/>
      <c r="JMZ7" s="191"/>
      <c r="JNB7" s="191"/>
      <c r="JNC7" s="191"/>
      <c r="JND7" s="191"/>
      <c r="JNF7" s="191"/>
      <c r="JNG7" s="191"/>
      <c r="JNH7" s="191"/>
      <c r="JNJ7" s="191"/>
      <c r="JNK7" s="191"/>
      <c r="JNL7" s="191"/>
      <c r="JNN7" s="191"/>
      <c r="JNO7" s="191"/>
      <c r="JNP7" s="191"/>
      <c r="JNR7" s="191"/>
      <c r="JNS7" s="191"/>
      <c r="JNT7" s="191"/>
      <c r="JNV7" s="191"/>
      <c r="JNW7" s="191"/>
      <c r="JNX7" s="191"/>
      <c r="JNZ7" s="191"/>
      <c r="JOA7" s="191"/>
      <c r="JOB7" s="191"/>
      <c r="JOD7" s="191"/>
      <c r="JOE7" s="191"/>
      <c r="JOF7" s="191"/>
      <c r="JOH7" s="191"/>
      <c r="JOI7" s="191"/>
      <c r="JOJ7" s="191"/>
      <c r="JOL7" s="191"/>
      <c r="JOM7" s="191"/>
      <c r="JON7" s="191"/>
      <c r="JOP7" s="191"/>
      <c r="JOQ7" s="191"/>
      <c r="JOR7" s="191"/>
      <c r="JOT7" s="191"/>
      <c r="JOU7" s="191"/>
      <c r="JOV7" s="191"/>
      <c r="JOX7" s="191"/>
      <c r="JOY7" s="191"/>
      <c r="JOZ7" s="191"/>
      <c r="JPB7" s="191"/>
      <c r="JPC7" s="191"/>
      <c r="JPD7" s="191"/>
      <c r="JPF7" s="191"/>
      <c r="JPG7" s="191"/>
      <c r="JPH7" s="191"/>
      <c r="JPJ7" s="191"/>
      <c r="JPK7" s="191"/>
      <c r="JPL7" s="191"/>
      <c r="JPN7" s="191"/>
      <c r="JPO7" s="191"/>
      <c r="JPP7" s="191"/>
      <c r="JPR7" s="191"/>
      <c r="JPS7" s="191"/>
      <c r="JPT7" s="191"/>
      <c r="JPV7" s="191"/>
      <c r="JPW7" s="191"/>
      <c r="JPX7" s="191"/>
      <c r="JPZ7" s="191"/>
      <c r="JQA7" s="191"/>
      <c r="JQB7" s="191"/>
      <c r="JQD7" s="191"/>
      <c r="JQE7" s="191"/>
      <c r="JQF7" s="191"/>
      <c r="JQH7" s="191"/>
      <c r="JQI7" s="191"/>
      <c r="JQJ7" s="191"/>
      <c r="JQL7" s="191"/>
      <c r="JQM7" s="191"/>
      <c r="JQN7" s="191"/>
      <c r="JQP7" s="191"/>
      <c r="JQQ7" s="191"/>
      <c r="JQR7" s="191"/>
      <c r="JQT7" s="191"/>
      <c r="JQU7" s="191"/>
      <c r="JQV7" s="191"/>
      <c r="JQX7" s="191"/>
      <c r="JQY7" s="191"/>
      <c r="JQZ7" s="191"/>
      <c r="JRB7" s="191"/>
      <c r="JRC7" s="191"/>
      <c r="JRD7" s="191"/>
      <c r="JRF7" s="191"/>
      <c r="JRG7" s="191"/>
      <c r="JRH7" s="191"/>
      <c r="JRJ7" s="191"/>
      <c r="JRK7" s="191"/>
      <c r="JRL7" s="191"/>
      <c r="JRN7" s="191"/>
      <c r="JRO7" s="191"/>
      <c r="JRP7" s="191"/>
      <c r="JRR7" s="191"/>
      <c r="JRS7" s="191"/>
      <c r="JRT7" s="191"/>
      <c r="JRV7" s="191"/>
      <c r="JRW7" s="191"/>
      <c r="JRX7" s="191"/>
      <c r="JRZ7" s="191"/>
      <c r="JSA7" s="191"/>
      <c r="JSB7" s="191"/>
      <c r="JSD7" s="191"/>
      <c r="JSE7" s="191"/>
      <c r="JSF7" s="191"/>
      <c r="JSH7" s="191"/>
      <c r="JSI7" s="191"/>
      <c r="JSJ7" s="191"/>
      <c r="JSL7" s="191"/>
      <c r="JSM7" s="191"/>
      <c r="JSN7" s="191"/>
      <c r="JSP7" s="191"/>
      <c r="JSQ7" s="191"/>
      <c r="JSR7" s="191"/>
      <c r="JST7" s="191"/>
      <c r="JSU7" s="191"/>
      <c r="JSV7" s="191"/>
      <c r="JSX7" s="191"/>
      <c r="JSY7" s="191"/>
      <c r="JSZ7" s="191"/>
      <c r="JTB7" s="191"/>
      <c r="JTC7" s="191"/>
      <c r="JTD7" s="191"/>
      <c r="JTF7" s="191"/>
      <c r="JTG7" s="191"/>
      <c r="JTH7" s="191"/>
      <c r="JTJ7" s="191"/>
      <c r="JTK7" s="191"/>
      <c r="JTL7" s="191"/>
      <c r="JTN7" s="191"/>
      <c r="JTO7" s="191"/>
      <c r="JTP7" s="191"/>
      <c r="JTR7" s="191"/>
      <c r="JTS7" s="191"/>
      <c r="JTT7" s="191"/>
      <c r="JTV7" s="191"/>
      <c r="JTW7" s="191"/>
      <c r="JTX7" s="191"/>
      <c r="JTZ7" s="191"/>
      <c r="JUA7" s="191"/>
      <c r="JUB7" s="191"/>
      <c r="JUD7" s="191"/>
      <c r="JUE7" s="191"/>
      <c r="JUF7" s="191"/>
      <c r="JUH7" s="191"/>
      <c r="JUI7" s="191"/>
      <c r="JUJ7" s="191"/>
      <c r="JUL7" s="191"/>
      <c r="JUM7" s="191"/>
      <c r="JUN7" s="191"/>
      <c r="JUP7" s="191"/>
      <c r="JUQ7" s="191"/>
      <c r="JUR7" s="191"/>
      <c r="JUT7" s="191"/>
      <c r="JUU7" s="191"/>
      <c r="JUV7" s="191"/>
      <c r="JUX7" s="191"/>
      <c r="JUY7" s="191"/>
      <c r="JUZ7" s="191"/>
      <c r="JVB7" s="191"/>
      <c r="JVC7" s="191"/>
      <c r="JVD7" s="191"/>
      <c r="JVF7" s="191"/>
      <c r="JVG7" s="191"/>
      <c r="JVH7" s="191"/>
      <c r="JVJ7" s="191"/>
      <c r="JVK7" s="191"/>
      <c r="JVL7" s="191"/>
      <c r="JVN7" s="191"/>
      <c r="JVO7" s="191"/>
      <c r="JVP7" s="191"/>
      <c r="JVR7" s="191"/>
      <c r="JVS7" s="191"/>
      <c r="JVT7" s="191"/>
      <c r="JVV7" s="191"/>
      <c r="JVW7" s="191"/>
      <c r="JVX7" s="191"/>
      <c r="JVZ7" s="191"/>
      <c r="JWA7" s="191"/>
      <c r="JWB7" s="191"/>
      <c r="JWD7" s="191"/>
      <c r="JWE7" s="191"/>
      <c r="JWF7" s="191"/>
      <c r="JWH7" s="191"/>
      <c r="JWI7" s="191"/>
      <c r="JWJ7" s="191"/>
      <c r="JWL7" s="191"/>
      <c r="JWM7" s="191"/>
      <c r="JWN7" s="191"/>
      <c r="JWP7" s="191"/>
      <c r="JWQ7" s="191"/>
      <c r="JWR7" s="191"/>
      <c r="JWT7" s="191"/>
      <c r="JWU7" s="191"/>
      <c r="JWV7" s="191"/>
      <c r="JWX7" s="191"/>
      <c r="JWY7" s="191"/>
      <c r="JWZ7" s="191"/>
      <c r="JXB7" s="191"/>
      <c r="JXC7" s="191"/>
      <c r="JXD7" s="191"/>
      <c r="JXF7" s="191"/>
      <c r="JXG7" s="191"/>
      <c r="JXH7" s="191"/>
      <c r="JXJ7" s="191"/>
      <c r="JXK7" s="191"/>
      <c r="JXL7" s="191"/>
      <c r="JXN7" s="191"/>
      <c r="JXO7" s="191"/>
      <c r="JXP7" s="191"/>
      <c r="JXR7" s="191"/>
      <c r="JXS7" s="191"/>
      <c r="JXT7" s="191"/>
      <c r="JXV7" s="191"/>
      <c r="JXW7" s="191"/>
      <c r="JXX7" s="191"/>
      <c r="JXZ7" s="191"/>
      <c r="JYA7" s="191"/>
      <c r="JYB7" s="191"/>
      <c r="JYD7" s="191"/>
      <c r="JYE7" s="191"/>
      <c r="JYF7" s="191"/>
      <c r="JYH7" s="191"/>
      <c r="JYI7" s="191"/>
      <c r="JYJ7" s="191"/>
      <c r="JYL7" s="191"/>
      <c r="JYM7" s="191"/>
      <c r="JYN7" s="191"/>
      <c r="JYP7" s="191"/>
      <c r="JYQ7" s="191"/>
      <c r="JYR7" s="191"/>
      <c r="JYT7" s="191"/>
      <c r="JYU7" s="191"/>
      <c r="JYV7" s="191"/>
      <c r="JYX7" s="191"/>
      <c r="JYY7" s="191"/>
      <c r="JYZ7" s="191"/>
      <c r="JZB7" s="191"/>
      <c r="JZC7" s="191"/>
      <c r="JZD7" s="191"/>
      <c r="JZF7" s="191"/>
      <c r="JZG7" s="191"/>
      <c r="JZH7" s="191"/>
      <c r="JZJ7" s="191"/>
      <c r="JZK7" s="191"/>
      <c r="JZL7" s="191"/>
      <c r="JZN7" s="191"/>
      <c r="JZO7" s="191"/>
      <c r="JZP7" s="191"/>
      <c r="JZR7" s="191"/>
      <c r="JZS7" s="191"/>
      <c r="JZT7" s="191"/>
      <c r="JZV7" s="191"/>
      <c r="JZW7" s="191"/>
      <c r="JZX7" s="191"/>
      <c r="JZZ7" s="191"/>
      <c r="KAA7" s="191"/>
      <c r="KAB7" s="191"/>
      <c r="KAD7" s="191"/>
      <c r="KAE7" s="191"/>
      <c r="KAF7" s="191"/>
      <c r="KAH7" s="191"/>
      <c r="KAI7" s="191"/>
      <c r="KAJ7" s="191"/>
      <c r="KAL7" s="191"/>
      <c r="KAM7" s="191"/>
      <c r="KAN7" s="191"/>
      <c r="KAP7" s="191"/>
      <c r="KAQ7" s="191"/>
      <c r="KAR7" s="191"/>
      <c r="KAT7" s="191"/>
      <c r="KAU7" s="191"/>
      <c r="KAV7" s="191"/>
      <c r="KAX7" s="191"/>
      <c r="KAY7" s="191"/>
      <c r="KAZ7" s="191"/>
      <c r="KBB7" s="191"/>
      <c r="KBC7" s="191"/>
      <c r="KBD7" s="191"/>
      <c r="KBF7" s="191"/>
      <c r="KBG7" s="191"/>
      <c r="KBH7" s="191"/>
      <c r="KBJ7" s="191"/>
      <c r="KBK7" s="191"/>
      <c r="KBL7" s="191"/>
      <c r="KBN7" s="191"/>
      <c r="KBO7" s="191"/>
      <c r="KBP7" s="191"/>
      <c r="KBR7" s="191"/>
      <c r="KBS7" s="191"/>
      <c r="KBT7" s="191"/>
      <c r="KBV7" s="191"/>
      <c r="KBW7" s="191"/>
      <c r="KBX7" s="191"/>
      <c r="KBZ7" s="191"/>
      <c r="KCA7" s="191"/>
      <c r="KCB7" s="191"/>
      <c r="KCD7" s="191"/>
      <c r="KCE7" s="191"/>
      <c r="KCF7" s="191"/>
      <c r="KCH7" s="191"/>
      <c r="KCI7" s="191"/>
      <c r="KCJ7" s="191"/>
      <c r="KCL7" s="191"/>
      <c r="KCM7" s="191"/>
      <c r="KCN7" s="191"/>
      <c r="KCP7" s="191"/>
      <c r="KCQ7" s="191"/>
      <c r="KCR7" s="191"/>
      <c r="KCT7" s="191"/>
      <c r="KCU7" s="191"/>
      <c r="KCV7" s="191"/>
      <c r="KCX7" s="191"/>
      <c r="KCY7" s="191"/>
      <c r="KCZ7" s="191"/>
      <c r="KDB7" s="191"/>
      <c r="KDC7" s="191"/>
      <c r="KDD7" s="191"/>
      <c r="KDF7" s="191"/>
      <c r="KDG7" s="191"/>
      <c r="KDH7" s="191"/>
      <c r="KDJ7" s="191"/>
      <c r="KDK7" s="191"/>
      <c r="KDL7" s="191"/>
      <c r="KDN7" s="191"/>
      <c r="KDO7" s="191"/>
      <c r="KDP7" s="191"/>
      <c r="KDR7" s="191"/>
      <c r="KDS7" s="191"/>
      <c r="KDT7" s="191"/>
      <c r="KDV7" s="191"/>
      <c r="KDW7" s="191"/>
      <c r="KDX7" s="191"/>
      <c r="KDZ7" s="191"/>
      <c r="KEA7" s="191"/>
      <c r="KEB7" s="191"/>
      <c r="KED7" s="191"/>
      <c r="KEE7" s="191"/>
      <c r="KEF7" s="191"/>
      <c r="KEH7" s="191"/>
      <c r="KEI7" s="191"/>
      <c r="KEJ7" s="191"/>
      <c r="KEL7" s="191"/>
      <c r="KEM7" s="191"/>
      <c r="KEN7" s="191"/>
      <c r="KEP7" s="191"/>
      <c r="KEQ7" s="191"/>
      <c r="KER7" s="191"/>
      <c r="KET7" s="191"/>
      <c r="KEU7" s="191"/>
      <c r="KEV7" s="191"/>
      <c r="KEX7" s="191"/>
      <c r="KEY7" s="191"/>
      <c r="KEZ7" s="191"/>
      <c r="KFB7" s="191"/>
      <c r="KFC7" s="191"/>
      <c r="KFD7" s="191"/>
      <c r="KFF7" s="191"/>
      <c r="KFG7" s="191"/>
      <c r="KFH7" s="191"/>
      <c r="KFJ7" s="191"/>
      <c r="KFK7" s="191"/>
      <c r="KFL7" s="191"/>
      <c r="KFN7" s="191"/>
      <c r="KFO7" s="191"/>
      <c r="KFP7" s="191"/>
      <c r="KFR7" s="191"/>
      <c r="KFS7" s="191"/>
      <c r="KFT7" s="191"/>
      <c r="KFV7" s="191"/>
      <c r="KFW7" s="191"/>
      <c r="KFX7" s="191"/>
      <c r="KFZ7" s="191"/>
      <c r="KGA7" s="191"/>
      <c r="KGB7" s="191"/>
      <c r="KGD7" s="191"/>
      <c r="KGE7" s="191"/>
      <c r="KGF7" s="191"/>
      <c r="KGH7" s="191"/>
      <c r="KGI7" s="191"/>
      <c r="KGJ7" s="191"/>
      <c r="KGL7" s="191"/>
      <c r="KGM7" s="191"/>
      <c r="KGN7" s="191"/>
      <c r="KGP7" s="191"/>
      <c r="KGQ7" s="191"/>
      <c r="KGR7" s="191"/>
      <c r="KGT7" s="191"/>
      <c r="KGU7" s="191"/>
      <c r="KGV7" s="191"/>
      <c r="KGX7" s="191"/>
      <c r="KGY7" s="191"/>
      <c r="KGZ7" s="191"/>
      <c r="KHB7" s="191"/>
      <c r="KHC7" s="191"/>
      <c r="KHD7" s="191"/>
      <c r="KHF7" s="191"/>
      <c r="KHG7" s="191"/>
      <c r="KHH7" s="191"/>
      <c r="KHJ7" s="191"/>
      <c r="KHK7" s="191"/>
      <c r="KHL7" s="191"/>
      <c r="KHN7" s="191"/>
      <c r="KHO7" s="191"/>
      <c r="KHP7" s="191"/>
      <c r="KHR7" s="191"/>
      <c r="KHS7" s="191"/>
      <c r="KHT7" s="191"/>
      <c r="KHV7" s="191"/>
      <c r="KHW7" s="191"/>
      <c r="KHX7" s="191"/>
      <c r="KHZ7" s="191"/>
      <c r="KIA7" s="191"/>
      <c r="KIB7" s="191"/>
      <c r="KID7" s="191"/>
      <c r="KIE7" s="191"/>
      <c r="KIF7" s="191"/>
      <c r="KIH7" s="191"/>
      <c r="KII7" s="191"/>
      <c r="KIJ7" s="191"/>
      <c r="KIL7" s="191"/>
      <c r="KIM7" s="191"/>
      <c r="KIN7" s="191"/>
      <c r="KIP7" s="191"/>
      <c r="KIQ7" s="191"/>
      <c r="KIR7" s="191"/>
      <c r="KIT7" s="191"/>
      <c r="KIU7" s="191"/>
      <c r="KIV7" s="191"/>
      <c r="KIX7" s="191"/>
      <c r="KIY7" s="191"/>
      <c r="KIZ7" s="191"/>
      <c r="KJB7" s="191"/>
      <c r="KJC7" s="191"/>
      <c r="KJD7" s="191"/>
      <c r="KJF7" s="191"/>
      <c r="KJG7" s="191"/>
      <c r="KJH7" s="191"/>
      <c r="KJJ7" s="191"/>
      <c r="KJK7" s="191"/>
      <c r="KJL7" s="191"/>
      <c r="KJN7" s="191"/>
      <c r="KJO7" s="191"/>
      <c r="KJP7" s="191"/>
      <c r="KJR7" s="191"/>
      <c r="KJS7" s="191"/>
      <c r="KJT7" s="191"/>
      <c r="KJV7" s="191"/>
      <c r="KJW7" s="191"/>
      <c r="KJX7" s="191"/>
      <c r="KJZ7" s="191"/>
      <c r="KKA7" s="191"/>
      <c r="KKB7" s="191"/>
      <c r="KKD7" s="191"/>
      <c r="KKE7" s="191"/>
      <c r="KKF7" s="191"/>
      <c r="KKH7" s="191"/>
      <c r="KKI7" s="191"/>
      <c r="KKJ7" s="191"/>
      <c r="KKL7" s="191"/>
      <c r="KKM7" s="191"/>
      <c r="KKN7" s="191"/>
      <c r="KKP7" s="191"/>
      <c r="KKQ7" s="191"/>
      <c r="KKR7" s="191"/>
      <c r="KKT7" s="191"/>
      <c r="KKU7" s="191"/>
      <c r="KKV7" s="191"/>
      <c r="KKX7" s="191"/>
      <c r="KKY7" s="191"/>
      <c r="KKZ7" s="191"/>
      <c r="KLB7" s="191"/>
      <c r="KLC7" s="191"/>
      <c r="KLD7" s="191"/>
      <c r="KLF7" s="191"/>
      <c r="KLG7" s="191"/>
      <c r="KLH7" s="191"/>
      <c r="KLJ7" s="191"/>
      <c r="KLK7" s="191"/>
      <c r="KLL7" s="191"/>
      <c r="KLN7" s="191"/>
      <c r="KLO7" s="191"/>
      <c r="KLP7" s="191"/>
      <c r="KLR7" s="191"/>
      <c r="KLS7" s="191"/>
      <c r="KLT7" s="191"/>
      <c r="KLV7" s="191"/>
      <c r="KLW7" s="191"/>
      <c r="KLX7" s="191"/>
      <c r="KLZ7" s="191"/>
      <c r="KMA7" s="191"/>
      <c r="KMB7" s="191"/>
      <c r="KMD7" s="191"/>
      <c r="KME7" s="191"/>
      <c r="KMF7" s="191"/>
      <c r="KMH7" s="191"/>
      <c r="KMI7" s="191"/>
      <c r="KMJ7" s="191"/>
      <c r="KML7" s="191"/>
      <c r="KMM7" s="191"/>
      <c r="KMN7" s="191"/>
      <c r="KMP7" s="191"/>
      <c r="KMQ7" s="191"/>
      <c r="KMR7" s="191"/>
      <c r="KMT7" s="191"/>
      <c r="KMU7" s="191"/>
      <c r="KMV7" s="191"/>
      <c r="KMX7" s="191"/>
      <c r="KMY7" s="191"/>
      <c r="KMZ7" s="191"/>
      <c r="KNB7" s="191"/>
      <c r="KNC7" s="191"/>
      <c r="KND7" s="191"/>
      <c r="KNF7" s="191"/>
      <c r="KNG7" s="191"/>
      <c r="KNH7" s="191"/>
      <c r="KNJ7" s="191"/>
      <c r="KNK7" s="191"/>
      <c r="KNL7" s="191"/>
      <c r="KNN7" s="191"/>
      <c r="KNO7" s="191"/>
      <c r="KNP7" s="191"/>
      <c r="KNR7" s="191"/>
      <c r="KNS7" s="191"/>
      <c r="KNT7" s="191"/>
      <c r="KNV7" s="191"/>
      <c r="KNW7" s="191"/>
      <c r="KNX7" s="191"/>
      <c r="KNZ7" s="191"/>
      <c r="KOA7" s="191"/>
      <c r="KOB7" s="191"/>
      <c r="KOD7" s="191"/>
      <c r="KOE7" s="191"/>
      <c r="KOF7" s="191"/>
      <c r="KOH7" s="191"/>
      <c r="KOI7" s="191"/>
      <c r="KOJ7" s="191"/>
      <c r="KOL7" s="191"/>
      <c r="KOM7" s="191"/>
      <c r="KON7" s="191"/>
      <c r="KOP7" s="191"/>
      <c r="KOQ7" s="191"/>
      <c r="KOR7" s="191"/>
      <c r="KOT7" s="191"/>
      <c r="KOU7" s="191"/>
      <c r="KOV7" s="191"/>
      <c r="KOX7" s="191"/>
      <c r="KOY7" s="191"/>
      <c r="KOZ7" s="191"/>
      <c r="KPB7" s="191"/>
      <c r="KPC7" s="191"/>
      <c r="KPD7" s="191"/>
      <c r="KPF7" s="191"/>
      <c r="KPG7" s="191"/>
      <c r="KPH7" s="191"/>
      <c r="KPJ7" s="191"/>
      <c r="KPK7" s="191"/>
      <c r="KPL7" s="191"/>
      <c r="KPN7" s="191"/>
      <c r="KPO7" s="191"/>
      <c r="KPP7" s="191"/>
      <c r="KPR7" s="191"/>
      <c r="KPS7" s="191"/>
      <c r="KPT7" s="191"/>
      <c r="KPV7" s="191"/>
      <c r="KPW7" s="191"/>
      <c r="KPX7" s="191"/>
      <c r="KPZ7" s="191"/>
      <c r="KQA7" s="191"/>
      <c r="KQB7" s="191"/>
      <c r="KQD7" s="191"/>
      <c r="KQE7" s="191"/>
      <c r="KQF7" s="191"/>
      <c r="KQH7" s="191"/>
      <c r="KQI7" s="191"/>
      <c r="KQJ7" s="191"/>
      <c r="KQL7" s="191"/>
      <c r="KQM7" s="191"/>
      <c r="KQN7" s="191"/>
      <c r="KQP7" s="191"/>
      <c r="KQQ7" s="191"/>
      <c r="KQR7" s="191"/>
      <c r="KQT7" s="191"/>
      <c r="KQU7" s="191"/>
      <c r="KQV7" s="191"/>
      <c r="KQX7" s="191"/>
      <c r="KQY7" s="191"/>
      <c r="KQZ7" s="191"/>
      <c r="KRB7" s="191"/>
      <c r="KRC7" s="191"/>
      <c r="KRD7" s="191"/>
      <c r="KRF7" s="191"/>
      <c r="KRG7" s="191"/>
      <c r="KRH7" s="191"/>
      <c r="KRJ7" s="191"/>
      <c r="KRK7" s="191"/>
      <c r="KRL7" s="191"/>
      <c r="KRN7" s="191"/>
      <c r="KRO7" s="191"/>
      <c r="KRP7" s="191"/>
      <c r="KRR7" s="191"/>
      <c r="KRS7" s="191"/>
      <c r="KRT7" s="191"/>
      <c r="KRV7" s="191"/>
      <c r="KRW7" s="191"/>
      <c r="KRX7" s="191"/>
      <c r="KRZ7" s="191"/>
      <c r="KSA7" s="191"/>
      <c r="KSB7" s="191"/>
      <c r="KSD7" s="191"/>
      <c r="KSE7" s="191"/>
      <c r="KSF7" s="191"/>
      <c r="KSH7" s="191"/>
      <c r="KSI7" s="191"/>
      <c r="KSJ7" s="191"/>
      <c r="KSL7" s="191"/>
      <c r="KSM7" s="191"/>
      <c r="KSN7" s="191"/>
      <c r="KSP7" s="191"/>
      <c r="KSQ7" s="191"/>
      <c r="KSR7" s="191"/>
      <c r="KST7" s="191"/>
      <c r="KSU7" s="191"/>
      <c r="KSV7" s="191"/>
      <c r="KSX7" s="191"/>
      <c r="KSY7" s="191"/>
      <c r="KSZ7" s="191"/>
      <c r="KTB7" s="191"/>
      <c r="KTC7" s="191"/>
      <c r="KTD7" s="191"/>
      <c r="KTF7" s="191"/>
      <c r="KTG7" s="191"/>
      <c r="KTH7" s="191"/>
      <c r="KTJ7" s="191"/>
      <c r="KTK7" s="191"/>
      <c r="KTL7" s="191"/>
      <c r="KTN7" s="191"/>
      <c r="KTO7" s="191"/>
      <c r="KTP7" s="191"/>
      <c r="KTR7" s="191"/>
      <c r="KTS7" s="191"/>
      <c r="KTT7" s="191"/>
      <c r="KTV7" s="191"/>
      <c r="KTW7" s="191"/>
      <c r="KTX7" s="191"/>
      <c r="KTZ7" s="191"/>
      <c r="KUA7" s="191"/>
      <c r="KUB7" s="191"/>
      <c r="KUD7" s="191"/>
      <c r="KUE7" s="191"/>
      <c r="KUF7" s="191"/>
      <c r="KUH7" s="191"/>
      <c r="KUI7" s="191"/>
      <c r="KUJ7" s="191"/>
      <c r="KUL7" s="191"/>
      <c r="KUM7" s="191"/>
      <c r="KUN7" s="191"/>
      <c r="KUP7" s="191"/>
      <c r="KUQ7" s="191"/>
      <c r="KUR7" s="191"/>
      <c r="KUT7" s="191"/>
      <c r="KUU7" s="191"/>
      <c r="KUV7" s="191"/>
      <c r="KUX7" s="191"/>
      <c r="KUY7" s="191"/>
      <c r="KUZ7" s="191"/>
      <c r="KVB7" s="191"/>
      <c r="KVC7" s="191"/>
      <c r="KVD7" s="191"/>
      <c r="KVF7" s="191"/>
      <c r="KVG7" s="191"/>
      <c r="KVH7" s="191"/>
      <c r="KVJ7" s="191"/>
      <c r="KVK7" s="191"/>
      <c r="KVL7" s="191"/>
      <c r="KVN7" s="191"/>
      <c r="KVO7" s="191"/>
      <c r="KVP7" s="191"/>
      <c r="KVR7" s="191"/>
      <c r="KVS7" s="191"/>
      <c r="KVT7" s="191"/>
      <c r="KVV7" s="191"/>
      <c r="KVW7" s="191"/>
      <c r="KVX7" s="191"/>
      <c r="KVZ7" s="191"/>
      <c r="KWA7" s="191"/>
      <c r="KWB7" s="191"/>
      <c r="KWD7" s="191"/>
      <c r="KWE7" s="191"/>
      <c r="KWF7" s="191"/>
      <c r="KWH7" s="191"/>
      <c r="KWI7" s="191"/>
      <c r="KWJ7" s="191"/>
      <c r="KWL7" s="191"/>
      <c r="KWM7" s="191"/>
      <c r="KWN7" s="191"/>
      <c r="KWP7" s="191"/>
      <c r="KWQ7" s="191"/>
      <c r="KWR7" s="191"/>
      <c r="KWT7" s="191"/>
      <c r="KWU7" s="191"/>
      <c r="KWV7" s="191"/>
      <c r="KWX7" s="191"/>
      <c r="KWY7" s="191"/>
      <c r="KWZ7" s="191"/>
      <c r="KXB7" s="191"/>
      <c r="KXC7" s="191"/>
      <c r="KXD7" s="191"/>
      <c r="KXF7" s="191"/>
      <c r="KXG7" s="191"/>
      <c r="KXH7" s="191"/>
      <c r="KXJ7" s="191"/>
      <c r="KXK7" s="191"/>
      <c r="KXL7" s="191"/>
      <c r="KXN7" s="191"/>
      <c r="KXO7" s="191"/>
      <c r="KXP7" s="191"/>
      <c r="KXR7" s="191"/>
      <c r="KXS7" s="191"/>
      <c r="KXT7" s="191"/>
      <c r="KXV7" s="191"/>
      <c r="KXW7" s="191"/>
      <c r="KXX7" s="191"/>
      <c r="KXZ7" s="191"/>
      <c r="KYA7" s="191"/>
      <c r="KYB7" s="191"/>
      <c r="KYD7" s="191"/>
      <c r="KYE7" s="191"/>
      <c r="KYF7" s="191"/>
      <c r="KYH7" s="191"/>
      <c r="KYI7" s="191"/>
      <c r="KYJ7" s="191"/>
      <c r="KYL7" s="191"/>
      <c r="KYM7" s="191"/>
      <c r="KYN7" s="191"/>
      <c r="KYP7" s="191"/>
      <c r="KYQ7" s="191"/>
      <c r="KYR7" s="191"/>
      <c r="KYT7" s="191"/>
      <c r="KYU7" s="191"/>
      <c r="KYV7" s="191"/>
      <c r="KYX7" s="191"/>
      <c r="KYY7" s="191"/>
      <c r="KYZ7" s="191"/>
      <c r="KZB7" s="191"/>
      <c r="KZC7" s="191"/>
      <c r="KZD7" s="191"/>
      <c r="KZF7" s="191"/>
      <c r="KZG7" s="191"/>
      <c r="KZH7" s="191"/>
      <c r="KZJ7" s="191"/>
      <c r="KZK7" s="191"/>
      <c r="KZL7" s="191"/>
      <c r="KZN7" s="191"/>
      <c r="KZO7" s="191"/>
      <c r="KZP7" s="191"/>
      <c r="KZR7" s="191"/>
      <c r="KZS7" s="191"/>
      <c r="KZT7" s="191"/>
      <c r="KZV7" s="191"/>
      <c r="KZW7" s="191"/>
      <c r="KZX7" s="191"/>
      <c r="KZZ7" s="191"/>
      <c r="LAA7" s="191"/>
      <c r="LAB7" s="191"/>
      <c r="LAD7" s="191"/>
      <c r="LAE7" s="191"/>
      <c r="LAF7" s="191"/>
      <c r="LAH7" s="191"/>
      <c r="LAI7" s="191"/>
      <c r="LAJ7" s="191"/>
      <c r="LAL7" s="191"/>
      <c r="LAM7" s="191"/>
      <c r="LAN7" s="191"/>
      <c r="LAP7" s="191"/>
      <c r="LAQ7" s="191"/>
      <c r="LAR7" s="191"/>
      <c r="LAT7" s="191"/>
      <c r="LAU7" s="191"/>
      <c r="LAV7" s="191"/>
      <c r="LAX7" s="191"/>
      <c r="LAY7" s="191"/>
      <c r="LAZ7" s="191"/>
      <c r="LBB7" s="191"/>
      <c r="LBC7" s="191"/>
      <c r="LBD7" s="191"/>
      <c r="LBF7" s="191"/>
      <c r="LBG7" s="191"/>
      <c r="LBH7" s="191"/>
      <c r="LBJ7" s="191"/>
      <c r="LBK7" s="191"/>
      <c r="LBL7" s="191"/>
      <c r="LBN7" s="191"/>
      <c r="LBO7" s="191"/>
      <c r="LBP7" s="191"/>
      <c r="LBR7" s="191"/>
      <c r="LBS7" s="191"/>
      <c r="LBT7" s="191"/>
      <c r="LBV7" s="191"/>
      <c r="LBW7" s="191"/>
      <c r="LBX7" s="191"/>
      <c r="LBZ7" s="191"/>
      <c r="LCA7" s="191"/>
      <c r="LCB7" s="191"/>
      <c r="LCD7" s="191"/>
      <c r="LCE7" s="191"/>
      <c r="LCF7" s="191"/>
      <c r="LCH7" s="191"/>
      <c r="LCI7" s="191"/>
      <c r="LCJ7" s="191"/>
      <c r="LCL7" s="191"/>
      <c r="LCM7" s="191"/>
      <c r="LCN7" s="191"/>
      <c r="LCP7" s="191"/>
      <c r="LCQ7" s="191"/>
      <c r="LCR7" s="191"/>
      <c r="LCT7" s="191"/>
      <c r="LCU7" s="191"/>
      <c r="LCV7" s="191"/>
      <c r="LCX7" s="191"/>
      <c r="LCY7" s="191"/>
      <c r="LCZ7" s="191"/>
      <c r="LDB7" s="191"/>
      <c r="LDC7" s="191"/>
      <c r="LDD7" s="191"/>
      <c r="LDF7" s="191"/>
      <c r="LDG7" s="191"/>
      <c r="LDH7" s="191"/>
      <c r="LDJ7" s="191"/>
      <c r="LDK7" s="191"/>
      <c r="LDL7" s="191"/>
      <c r="LDN7" s="191"/>
      <c r="LDO7" s="191"/>
      <c r="LDP7" s="191"/>
      <c r="LDR7" s="191"/>
      <c r="LDS7" s="191"/>
      <c r="LDT7" s="191"/>
      <c r="LDV7" s="191"/>
      <c r="LDW7" s="191"/>
      <c r="LDX7" s="191"/>
      <c r="LDZ7" s="191"/>
      <c r="LEA7" s="191"/>
      <c r="LEB7" s="191"/>
      <c r="LED7" s="191"/>
      <c r="LEE7" s="191"/>
      <c r="LEF7" s="191"/>
      <c r="LEH7" s="191"/>
      <c r="LEI7" s="191"/>
      <c r="LEJ7" s="191"/>
      <c r="LEL7" s="191"/>
      <c r="LEM7" s="191"/>
      <c r="LEN7" s="191"/>
      <c r="LEP7" s="191"/>
      <c r="LEQ7" s="191"/>
      <c r="LER7" s="191"/>
      <c r="LET7" s="191"/>
      <c r="LEU7" s="191"/>
      <c r="LEV7" s="191"/>
      <c r="LEX7" s="191"/>
      <c r="LEY7" s="191"/>
      <c r="LEZ7" s="191"/>
      <c r="LFB7" s="191"/>
      <c r="LFC7" s="191"/>
      <c r="LFD7" s="191"/>
      <c r="LFF7" s="191"/>
      <c r="LFG7" s="191"/>
      <c r="LFH7" s="191"/>
      <c r="LFJ7" s="191"/>
      <c r="LFK7" s="191"/>
      <c r="LFL7" s="191"/>
      <c r="LFN7" s="191"/>
      <c r="LFO7" s="191"/>
      <c r="LFP7" s="191"/>
      <c r="LFR7" s="191"/>
      <c r="LFS7" s="191"/>
      <c r="LFT7" s="191"/>
      <c r="LFV7" s="191"/>
      <c r="LFW7" s="191"/>
      <c r="LFX7" s="191"/>
      <c r="LFZ7" s="191"/>
      <c r="LGA7" s="191"/>
      <c r="LGB7" s="191"/>
      <c r="LGD7" s="191"/>
      <c r="LGE7" s="191"/>
      <c r="LGF7" s="191"/>
      <c r="LGH7" s="191"/>
      <c r="LGI7" s="191"/>
      <c r="LGJ7" s="191"/>
      <c r="LGL7" s="191"/>
      <c r="LGM7" s="191"/>
      <c r="LGN7" s="191"/>
      <c r="LGP7" s="191"/>
      <c r="LGQ7" s="191"/>
      <c r="LGR7" s="191"/>
      <c r="LGT7" s="191"/>
      <c r="LGU7" s="191"/>
      <c r="LGV7" s="191"/>
      <c r="LGX7" s="191"/>
      <c r="LGY7" s="191"/>
      <c r="LGZ7" s="191"/>
      <c r="LHB7" s="191"/>
      <c r="LHC7" s="191"/>
      <c r="LHD7" s="191"/>
      <c r="LHF7" s="191"/>
      <c r="LHG7" s="191"/>
      <c r="LHH7" s="191"/>
      <c r="LHJ7" s="191"/>
      <c r="LHK7" s="191"/>
      <c r="LHL7" s="191"/>
      <c r="LHN7" s="191"/>
      <c r="LHO7" s="191"/>
      <c r="LHP7" s="191"/>
      <c r="LHR7" s="191"/>
      <c r="LHS7" s="191"/>
      <c r="LHT7" s="191"/>
      <c r="LHV7" s="191"/>
      <c r="LHW7" s="191"/>
      <c r="LHX7" s="191"/>
      <c r="LHZ7" s="191"/>
      <c r="LIA7" s="191"/>
      <c r="LIB7" s="191"/>
      <c r="LID7" s="191"/>
      <c r="LIE7" s="191"/>
      <c r="LIF7" s="191"/>
      <c r="LIH7" s="191"/>
      <c r="LII7" s="191"/>
      <c r="LIJ7" s="191"/>
      <c r="LIL7" s="191"/>
      <c r="LIM7" s="191"/>
      <c r="LIN7" s="191"/>
      <c r="LIP7" s="191"/>
      <c r="LIQ7" s="191"/>
      <c r="LIR7" s="191"/>
      <c r="LIT7" s="191"/>
      <c r="LIU7" s="191"/>
      <c r="LIV7" s="191"/>
      <c r="LIX7" s="191"/>
      <c r="LIY7" s="191"/>
      <c r="LIZ7" s="191"/>
      <c r="LJB7" s="191"/>
      <c r="LJC7" s="191"/>
      <c r="LJD7" s="191"/>
      <c r="LJF7" s="191"/>
      <c r="LJG7" s="191"/>
      <c r="LJH7" s="191"/>
      <c r="LJJ7" s="191"/>
      <c r="LJK7" s="191"/>
      <c r="LJL7" s="191"/>
      <c r="LJN7" s="191"/>
      <c r="LJO7" s="191"/>
      <c r="LJP7" s="191"/>
      <c r="LJR7" s="191"/>
      <c r="LJS7" s="191"/>
      <c r="LJT7" s="191"/>
      <c r="LJV7" s="191"/>
      <c r="LJW7" s="191"/>
      <c r="LJX7" s="191"/>
      <c r="LJZ7" s="191"/>
      <c r="LKA7" s="191"/>
      <c r="LKB7" s="191"/>
      <c r="LKD7" s="191"/>
      <c r="LKE7" s="191"/>
      <c r="LKF7" s="191"/>
      <c r="LKH7" s="191"/>
      <c r="LKI7" s="191"/>
      <c r="LKJ7" s="191"/>
      <c r="LKL7" s="191"/>
      <c r="LKM7" s="191"/>
      <c r="LKN7" s="191"/>
      <c r="LKP7" s="191"/>
      <c r="LKQ7" s="191"/>
      <c r="LKR7" s="191"/>
      <c r="LKT7" s="191"/>
      <c r="LKU7" s="191"/>
      <c r="LKV7" s="191"/>
      <c r="LKX7" s="191"/>
      <c r="LKY7" s="191"/>
      <c r="LKZ7" s="191"/>
      <c r="LLB7" s="191"/>
      <c r="LLC7" s="191"/>
      <c r="LLD7" s="191"/>
      <c r="LLF7" s="191"/>
      <c r="LLG7" s="191"/>
      <c r="LLH7" s="191"/>
      <c r="LLJ7" s="191"/>
      <c r="LLK7" s="191"/>
      <c r="LLL7" s="191"/>
      <c r="LLN7" s="191"/>
      <c r="LLO7" s="191"/>
      <c r="LLP7" s="191"/>
      <c r="LLR7" s="191"/>
      <c r="LLS7" s="191"/>
      <c r="LLT7" s="191"/>
      <c r="LLV7" s="191"/>
      <c r="LLW7" s="191"/>
      <c r="LLX7" s="191"/>
      <c r="LLZ7" s="191"/>
      <c r="LMA7" s="191"/>
      <c r="LMB7" s="191"/>
      <c r="LMD7" s="191"/>
      <c r="LME7" s="191"/>
      <c r="LMF7" s="191"/>
      <c r="LMH7" s="191"/>
      <c r="LMI7" s="191"/>
      <c r="LMJ7" s="191"/>
      <c r="LML7" s="191"/>
      <c r="LMM7" s="191"/>
      <c r="LMN7" s="191"/>
      <c r="LMP7" s="191"/>
      <c r="LMQ7" s="191"/>
      <c r="LMR7" s="191"/>
      <c r="LMT7" s="191"/>
      <c r="LMU7" s="191"/>
      <c r="LMV7" s="191"/>
      <c r="LMX7" s="191"/>
      <c r="LMY7" s="191"/>
      <c r="LMZ7" s="191"/>
      <c r="LNB7" s="191"/>
      <c r="LNC7" s="191"/>
      <c r="LND7" s="191"/>
      <c r="LNF7" s="191"/>
      <c r="LNG7" s="191"/>
      <c r="LNH7" s="191"/>
      <c r="LNJ7" s="191"/>
      <c r="LNK7" s="191"/>
      <c r="LNL7" s="191"/>
      <c r="LNN7" s="191"/>
      <c r="LNO7" s="191"/>
      <c r="LNP7" s="191"/>
      <c r="LNR7" s="191"/>
      <c r="LNS7" s="191"/>
      <c r="LNT7" s="191"/>
      <c r="LNV7" s="191"/>
      <c r="LNW7" s="191"/>
      <c r="LNX7" s="191"/>
      <c r="LNZ7" s="191"/>
      <c r="LOA7" s="191"/>
      <c r="LOB7" s="191"/>
      <c r="LOD7" s="191"/>
      <c r="LOE7" s="191"/>
      <c r="LOF7" s="191"/>
      <c r="LOH7" s="191"/>
      <c r="LOI7" s="191"/>
      <c r="LOJ7" s="191"/>
      <c r="LOL7" s="191"/>
      <c r="LOM7" s="191"/>
      <c r="LON7" s="191"/>
      <c r="LOP7" s="191"/>
      <c r="LOQ7" s="191"/>
      <c r="LOR7" s="191"/>
      <c r="LOT7" s="191"/>
      <c r="LOU7" s="191"/>
      <c r="LOV7" s="191"/>
      <c r="LOX7" s="191"/>
      <c r="LOY7" s="191"/>
      <c r="LOZ7" s="191"/>
      <c r="LPB7" s="191"/>
      <c r="LPC7" s="191"/>
      <c r="LPD7" s="191"/>
      <c r="LPF7" s="191"/>
      <c r="LPG7" s="191"/>
      <c r="LPH7" s="191"/>
      <c r="LPJ7" s="191"/>
      <c r="LPK7" s="191"/>
      <c r="LPL7" s="191"/>
      <c r="LPN7" s="191"/>
      <c r="LPO7" s="191"/>
      <c r="LPP7" s="191"/>
      <c r="LPR7" s="191"/>
      <c r="LPS7" s="191"/>
      <c r="LPT7" s="191"/>
      <c r="LPV7" s="191"/>
      <c r="LPW7" s="191"/>
      <c r="LPX7" s="191"/>
      <c r="LPZ7" s="191"/>
      <c r="LQA7" s="191"/>
      <c r="LQB7" s="191"/>
      <c r="LQD7" s="191"/>
      <c r="LQE7" s="191"/>
      <c r="LQF7" s="191"/>
      <c r="LQH7" s="191"/>
      <c r="LQI7" s="191"/>
      <c r="LQJ7" s="191"/>
      <c r="LQL7" s="191"/>
      <c r="LQM7" s="191"/>
      <c r="LQN7" s="191"/>
      <c r="LQP7" s="191"/>
      <c r="LQQ7" s="191"/>
      <c r="LQR7" s="191"/>
      <c r="LQT7" s="191"/>
      <c r="LQU7" s="191"/>
      <c r="LQV7" s="191"/>
      <c r="LQX7" s="191"/>
      <c r="LQY7" s="191"/>
      <c r="LQZ7" s="191"/>
      <c r="LRB7" s="191"/>
      <c r="LRC7" s="191"/>
      <c r="LRD7" s="191"/>
      <c r="LRF7" s="191"/>
      <c r="LRG7" s="191"/>
      <c r="LRH7" s="191"/>
      <c r="LRJ7" s="191"/>
      <c r="LRK7" s="191"/>
      <c r="LRL7" s="191"/>
      <c r="LRN7" s="191"/>
      <c r="LRO7" s="191"/>
      <c r="LRP7" s="191"/>
      <c r="LRR7" s="191"/>
      <c r="LRS7" s="191"/>
      <c r="LRT7" s="191"/>
      <c r="LRV7" s="191"/>
      <c r="LRW7" s="191"/>
      <c r="LRX7" s="191"/>
      <c r="LRZ7" s="191"/>
      <c r="LSA7" s="191"/>
      <c r="LSB7" s="191"/>
      <c r="LSD7" s="191"/>
      <c r="LSE7" s="191"/>
      <c r="LSF7" s="191"/>
      <c r="LSH7" s="191"/>
      <c r="LSI7" s="191"/>
      <c r="LSJ7" s="191"/>
      <c r="LSL7" s="191"/>
      <c r="LSM7" s="191"/>
      <c r="LSN7" s="191"/>
      <c r="LSP7" s="191"/>
      <c r="LSQ7" s="191"/>
      <c r="LSR7" s="191"/>
      <c r="LST7" s="191"/>
      <c r="LSU7" s="191"/>
      <c r="LSV7" s="191"/>
      <c r="LSX7" s="191"/>
      <c r="LSY7" s="191"/>
      <c r="LSZ7" s="191"/>
      <c r="LTB7" s="191"/>
      <c r="LTC7" s="191"/>
      <c r="LTD7" s="191"/>
      <c r="LTF7" s="191"/>
      <c r="LTG7" s="191"/>
      <c r="LTH7" s="191"/>
      <c r="LTJ7" s="191"/>
      <c r="LTK7" s="191"/>
      <c r="LTL7" s="191"/>
      <c r="LTN7" s="191"/>
      <c r="LTO7" s="191"/>
      <c r="LTP7" s="191"/>
      <c r="LTR7" s="191"/>
      <c r="LTS7" s="191"/>
      <c r="LTT7" s="191"/>
      <c r="LTV7" s="191"/>
      <c r="LTW7" s="191"/>
      <c r="LTX7" s="191"/>
      <c r="LTZ7" s="191"/>
      <c r="LUA7" s="191"/>
      <c r="LUB7" s="191"/>
      <c r="LUD7" s="191"/>
      <c r="LUE7" s="191"/>
      <c r="LUF7" s="191"/>
      <c r="LUH7" s="191"/>
      <c r="LUI7" s="191"/>
      <c r="LUJ7" s="191"/>
      <c r="LUL7" s="191"/>
      <c r="LUM7" s="191"/>
      <c r="LUN7" s="191"/>
      <c r="LUP7" s="191"/>
      <c r="LUQ7" s="191"/>
      <c r="LUR7" s="191"/>
      <c r="LUT7" s="191"/>
      <c r="LUU7" s="191"/>
      <c r="LUV7" s="191"/>
      <c r="LUX7" s="191"/>
      <c r="LUY7" s="191"/>
      <c r="LUZ7" s="191"/>
      <c r="LVB7" s="191"/>
      <c r="LVC7" s="191"/>
      <c r="LVD7" s="191"/>
      <c r="LVF7" s="191"/>
      <c r="LVG7" s="191"/>
      <c r="LVH7" s="191"/>
      <c r="LVJ7" s="191"/>
      <c r="LVK7" s="191"/>
      <c r="LVL7" s="191"/>
      <c r="LVN7" s="191"/>
      <c r="LVO7" s="191"/>
      <c r="LVP7" s="191"/>
      <c r="LVR7" s="191"/>
      <c r="LVS7" s="191"/>
      <c r="LVT7" s="191"/>
      <c r="LVV7" s="191"/>
      <c r="LVW7" s="191"/>
      <c r="LVX7" s="191"/>
      <c r="LVZ7" s="191"/>
      <c r="LWA7" s="191"/>
      <c r="LWB7" s="191"/>
      <c r="LWD7" s="191"/>
      <c r="LWE7" s="191"/>
      <c r="LWF7" s="191"/>
      <c r="LWH7" s="191"/>
      <c r="LWI7" s="191"/>
      <c r="LWJ7" s="191"/>
      <c r="LWL7" s="191"/>
      <c r="LWM7" s="191"/>
      <c r="LWN7" s="191"/>
      <c r="LWP7" s="191"/>
      <c r="LWQ7" s="191"/>
      <c r="LWR7" s="191"/>
      <c r="LWT7" s="191"/>
      <c r="LWU7" s="191"/>
      <c r="LWV7" s="191"/>
      <c r="LWX7" s="191"/>
      <c r="LWY7" s="191"/>
      <c r="LWZ7" s="191"/>
      <c r="LXB7" s="191"/>
      <c r="LXC7" s="191"/>
      <c r="LXD7" s="191"/>
      <c r="LXF7" s="191"/>
      <c r="LXG7" s="191"/>
      <c r="LXH7" s="191"/>
      <c r="LXJ7" s="191"/>
      <c r="LXK7" s="191"/>
      <c r="LXL7" s="191"/>
      <c r="LXN7" s="191"/>
      <c r="LXO7" s="191"/>
      <c r="LXP7" s="191"/>
      <c r="LXR7" s="191"/>
      <c r="LXS7" s="191"/>
      <c r="LXT7" s="191"/>
      <c r="LXV7" s="191"/>
      <c r="LXW7" s="191"/>
      <c r="LXX7" s="191"/>
      <c r="LXZ7" s="191"/>
      <c r="LYA7" s="191"/>
      <c r="LYB7" s="191"/>
      <c r="LYD7" s="191"/>
      <c r="LYE7" s="191"/>
      <c r="LYF7" s="191"/>
      <c r="LYH7" s="191"/>
      <c r="LYI7" s="191"/>
      <c r="LYJ7" s="191"/>
      <c r="LYL7" s="191"/>
      <c r="LYM7" s="191"/>
      <c r="LYN7" s="191"/>
      <c r="LYP7" s="191"/>
      <c r="LYQ7" s="191"/>
      <c r="LYR7" s="191"/>
      <c r="LYT7" s="191"/>
      <c r="LYU7" s="191"/>
      <c r="LYV7" s="191"/>
      <c r="LYX7" s="191"/>
      <c r="LYY7" s="191"/>
      <c r="LYZ7" s="191"/>
      <c r="LZB7" s="191"/>
      <c r="LZC7" s="191"/>
      <c r="LZD7" s="191"/>
      <c r="LZF7" s="191"/>
      <c r="LZG7" s="191"/>
      <c r="LZH7" s="191"/>
      <c r="LZJ7" s="191"/>
      <c r="LZK7" s="191"/>
      <c r="LZL7" s="191"/>
      <c r="LZN7" s="191"/>
      <c r="LZO7" s="191"/>
      <c r="LZP7" s="191"/>
      <c r="LZR7" s="191"/>
      <c r="LZS7" s="191"/>
      <c r="LZT7" s="191"/>
      <c r="LZV7" s="191"/>
      <c r="LZW7" s="191"/>
      <c r="LZX7" s="191"/>
      <c r="LZZ7" s="191"/>
      <c r="MAA7" s="191"/>
      <c r="MAB7" s="191"/>
      <c r="MAD7" s="191"/>
      <c r="MAE7" s="191"/>
      <c r="MAF7" s="191"/>
      <c r="MAH7" s="191"/>
      <c r="MAI7" s="191"/>
      <c r="MAJ7" s="191"/>
      <c r="MAL7" s="191"/>
      <c r="MAM7" s="191"/>
      <c r="MAN7" s="191"/>
      <c r="MAP7" s="191"/>
      <c r="MAQ7" s="191"/>
      <c r="MAR7" s="191"/>
      <c r="MAT7" s="191"/>
      <c r="MAU7" s="191"/>
      <c r="MAV7" s="191"/>
      <c r="MAX7" s="191"/>
      <c r="MAY7" s="191"/>
      <c r="MAZ7" s="191"/>
      <c r="MBB7" s="191"/>
      <c r="MBC7" s="191"/>
      <c r="MBD7" s="191"/>
      <c r="MBF7" s="191"/>
      <c r="MBG7" s="191"/>
      <c r="MBH7" s="191"/>
      <c r="MBJ7" s="191"/>
      <c r="MBK7" s="191"/>
      <c r="MBL7" s="191"/>
      <c r="MBN7" s="191"/>
      <c r="MBO7" s="191"/>
      <c r="MBP7" s="191"/>
      <c r="MBR7" s="191"/>
      <c r="MBS7" s="191"/>
      <c r="MBT7" s="191"/>
      <c r="MBV7" s="191"/>
      <c r="MBW7" s="191"/>
      <c r="MBX7" s="191"/>
      <c r="MBZ7" s="191"/>
      <c r="MCA7" s="191"/>
      <c r="MCB7" s="191"/>
      <c r="MCD7" s="191"/>
      <c r="MCE7" s="191"/>
      <c r="MCF7" s="191"/>
      <c r="MCH7" s="191"/>
      <c r="MCI7" s="191"/>
      <c r="MCJ7" s="191"/>
      <c r="MCL7" s="191"/>
      <c r="MCM7" s="191"/>
      <c r="MCN7" s="191"/>
      <c r="MCP7" s="191"/>
      <c r="MCQ7" s="191"/>
      <c r="MCR7" s="191"/>
      <c r="MCT7" s="191"/>
      <c r="MCU7" s="191"/>
      <c r="MCV7" s="191"/>
      <c r="MCX7" s="191"/>
      <c r="MCY7" s="191"/>
      <c r="MCZ7" s="191"/>
      <c r="MDB7" s="191"/>
      <c r="MDC7" s="191"/>
      <c r="MDD7" s="191"/>
      <c r="MDF7" s="191"/>
      <c r="MDG7" s="191"/>
      <c r="MDH7" s="191"/>
      <c r="MDJ7" s="191"/>
      <c r="MDK7" s="191"/>
      <c r="MDL7" s="191"/>
      <c r="MDN7" s="191"/>
      <c r="MDO7" s="191"/>
      <c r="MDP7" s="191"/>
      <c r="MDR7" s="191"/>
      <c r="MDS7" s="191"/>
      <c r="MDT7" s="191"/>
      <c r="MDV7" s="191"/>
      <c r="MDW7" s="191"/>
      <c r="MDX7" s="191"/>
      <c r="MDZ7" s="191"/>
      <c r="MEA7" s="191"/>
      <c r="MEB7" s="191"/>
      <c r="MED7" s="191"/>
      <c r="MEE7" s="191"/>
      <c r="MEF7" s="191"/>
      <c r="MEH7" s="191"/>
      <c r="MEI7" s="191"/>
      <c r="MEJ7" s="191"/>
      <c r="MEL7" s="191"/>
      <c r="MEM7" s="191"/>
      <c r="MEN7" s="191"/>
      <c r="MEP7" s="191"/>
      <c r="MEQ7" s="191"/>
      <c r="MER7" s="191"/>
      <c r="MET7" s="191"/>
      <c r="MEU7" s="191"/>
      <c r="MEV7" s="191"/>
      <c r="MEX7" s="191"/>
      <c r="MEY7" s="191"/>
      <c r="MEZ7" s="191"/>
      <c r="MFB7" s="191"/>
      <c r="MFC7" s="191"/>
      <c r="MFD7" s="191"/>
      <c r="MFF7" s="191"/>
      <c r="MFG7" s="191"/>
      <c r="MFH7" s="191"/>
      <c r="MFJ7" s="191"/>
      <c r="MFK7" s="191"/>
      <c r="MFL7" s="191"/>
      <c r="MFN7" s="191"/>
      <c r="MFO7" s="191"/>
      <c r="MFP7" s="191"/>
      <c r="MFR7" s="191"/>
      <c r="MFS7" s="191"/>
      <c r="MFT7" s="191"/>
      <c r="MFV7" s="191"/>
      <c r="MFW7" s="191"/>
      <c r="MFX7" s="191"/>
      <c r="MFZ7" s="191"/>
      <c r="MGA7" s="191"/>
      <c r="MGB7" s="191"/>
      <c r="MGD7" s="191"/>
      <c r="MGE7" s="191"/>
      <c r="MGF7" s="191"/>
      <c r="MGH7" s="191"/>
      <c r="MGI7" s="191"/>
      <c r="MGJ7" s="191"/>
      <c r="MGL7" s="191"/>
      <c r="MGM7" s="191"/>
      <c r="MGN7" s="191"/>
      <c r="MGP7" s="191"/>
      <c r="MGQ7" s="191"/>
      <c r="MGR7" s="191"/>
      <c r="MGT7" s="191"/>
      <c r="MGU7" s="191"/>
      <c r="MGV7" s="191"/>
      <c r="MGX7" s="191"/>
      <c r="MGY7" s="191"/>
      <c r="MGZ7" s="191"/>
      <c r="MHB7" s="191"/>
      <c r="MHC7" s="191"/>
      <c r="MHD7" s="191"/>
      <c r="MHF7" s="191"/>
      <c r="MHG7" s="191"/>
      <c r="MHH7" s="191"/>
      <c r="MHJ7" s="191"/>
      <c r="MHK7" s="191"/>
      <c r="MHL7" s="191"/>
      <c r="MHN7" s="191"/>
      <c r="MHO7" s="191"/>
      <c r="MHP7" s="191"/>
      <c r="MHR7" s="191"/>
      <c r="MHS7" s="191"/>
      <c r="MHT7" s="191"/>
      <c r="MHV7" s="191"/>
      <c r="MHW7" s="191"/>
      <c r="MHX7" s="191"/>
      <c r="MHZ7" s="191"/>
      <c r="MIA7" s="191"/>
      <c r="MIB7" s="191"/>
      <c r="MID7" s="191"/>
      <c r="MIE7" s="191"/>
      <c r="MIF7" s="191"/>
      <c r="MIH7" s="191"/>
      <c r="MII7" s="191"/>
      <c r="MIJ7" s="191"/>
      <c r="MIL7" s="191"/>
      <c r="MIM7" s="191"/>
      <c r="MIN7" s="191"/>
      <c r="MIP7" s="191"/>
      <c r="MIQ7" s="191"/>
      <c r="MIR7" s="191"/>
      <c r="MIT7" s="191"/>
      <c r="MIU7" s="191"/>
      <c r="MIV7" s="191"/>
      <c r="MIX7" s="191"/>
      <c r="MIY7" s="191"/>
      <c r="MIZ7" s="191"/>
      <c r="MJB7" s="191"/>
      <c r="MJC7" s="191"/>
      <c r="MJD7" s="191"/>
      <c r="MJF7" s="191"/>
      <c r="MJG7" s="191"/>
      <c r="MJH7" s="191"/>
      <c r="MJJ7" s="191"/>
      <c r="MJK7" s="191"/>
      <c r="MJL7" s="191"/>
      <c r="MJN7" s="191"/>
      <c r="MJO7" s="191"/>
      <c r="MJP7" s="191"/>
      <c r="MJR7" s="191"/>
      <c r="MJS7" s="191"/>
      <c r="MJT7" s="191"/>
      <c r="MJV7" s="191"/>
      <c r="MJW7" s="191"/>
      <c r="MJX7" s="191"/>
      <c r="MJZ7" s="191"/>
      <c r="MKA7" s="191"/>
      <c r="MKB7" s="191"/>
      <c r="MKD7" s="191"/>
      <c r="MKE7" s="191"/>
      <c r="MKF7" s="191"/>
      <c r="MKH7" s="191"/>
      <c r="MKI7" s="191"/>
      <c r="MKJ7" s="191"/>
      <c r="MKL7" s="191"/>
      <c r="MKM7" s="191"/>
      <c r="MKN7" s="191"/>
      <c r="MKP7" s="191"/>
      <c r="MKQ7" s="191"/>
      <c r="MKR7" s="191"/>
      <c r="MKT7" s="191"/>
      <c r="MKU7" s="191"/>
      <c r="MKV7" s="191"/>
      <c r="MKX7" s="191"/>
      <c r="MKY7" s="191"/>
      <c r="MKZ7" s="191"/>
      <c r="MLB7" s="191"/>
      <c r="MLC7" s="191"/>
      <c r="MLD7" s="191"/>
      <c r="MLF7" s="191"/>
      <c r="MLG7" s="191"/>
      <c r="MLH7" s="191"/>
      <c r="MLJ7" s="191"/>
      <c r="MLK7" s="191"/>
      <c r="MLL7" s="191"/>
      <c r="MLN7" s="191"/>
      <c r="MLO7" s="191"/>
      <c r="MLP7" s="191"/>
      <c r="MLR7" s="191"/>
      <c r="MLS7" s="191"/>
      <c r="MLT7" s="191"/>
      <c r="MLV7" s="191"/>
      <c r="MLW7" s="191"/>
      <c r="MLX7" s="191"/>
      <c r="MLZ7" s="191"/>
      <c r="MMA7" s="191"/>
      <c r="MMB7" s="191"/>
      <c r="MMD7" s="191"/>
      <c r="MME7" s="191"/>
      <c r="MMF7" s="191"/>
      <c r="MMH7" s="191"/>
      <c r="MMI7" s="191"/>
      <c r="MMJ7" s="191"/>
      <c r="MML7" s="191"/>
      <c r="MMM7" s="191"/>
      <c r="MMN7" s="191"/>
      <c r="MMP7" s="191"/>
      <c r="MMQ7" s="191"/>
      <c r="MMR7" s="191"/>
      <c r="MMT7" s="191"/>
      <c r="MMU7" s="191"/>
      <c r="MMV7" s="191"/>
      <c r="MMX7" s="191"/>
      <c r="MMY7" s="191"/>
      <c r="MMZ7" s="191"/>
      <c r="MNB7" s="191"/>
      <c r="MNC7" s="191"/>
      <c r="MND7" s="191"/>
      <c r="MNF7" s="191"/>
      <c r="MNG7" s="191"/>
      <c r="MNH7" s="191"/>
      <c r="MNJ7" s="191"/>
      <c r="MNK7" s="191"/>
      <c r="MNL7" s="191"/>
      <c r="MNN7" s="191"/>
      <c r="MNO7" s="191"/>
      <c r="MNP7" s="191"/>
      <c r="MNR7" s="191"/>
      <c r="MNS7" s="191"/>
      <c r="MNT7" s="191"/>
      <c r="MNV7" s="191"/>
      <c r="MNW7" s="191"/>
      <c r="MNX7" s="191"/>
      <c r="MNZ7" s="191"/>
      <c r="MOA7" s="191"/>
      <c r="MOB7" s="191"/>
      <c r="MOD7" s="191"/>
      <c r="MOE7" s="191"/>
      <c r="MOF7" s="191"/>
      <c r="MOH7" s="191"/>
      <c r="MOI7" s="191"/>
      <c r="MOJ7" s="191"/>
      <c r="MOL7" s="191"/>
      <c r="MOM7" s="191"/>
      <c r="MON7" s="191"/>
      <c r="MOP7" s="191"/>
      <c r="MOQ7" s="191"/>
      <c r="MOR7" s="191"/>
      <c r="MOT7" s="191"/>
      <c r="MOU7" s="191"/>
      <c r="MOV7" s="191"/>
      <c r="MOX7" s="191"/>
      <c r="MOY7" s="191"/>
      <c r="MOZ7" s="191"/>
      <c r="MPB7" s="191"/>
      <c r="MPC7" s="191"/>
      <c r="MPD7" s="191"/>
      <c r="MPF7" s="191"/>
      <c r="MPG7" s="191"/>
      <c r="MPH7" s="191"/>
      <c r="MPJ7" s="191"/>
      <c r="MPK7" s="191"/>
      <c r="MPL7" s="191"/>
      <c r="MPN7" s="191"/>
      <c r="MPO7" s="191"/>
      <c r="MPP7" s="191"/>
      <c r="MPR7" s="191"/>
      <c r="MPS7" s="191"/>
      <c r="MPT7" s="191"/>
      <c r="MPV7" s="191"/>
      <c r="MPW7" s="191"/>
      <c r="MPX7" s="191"/>
      <c r="MPZ7" s="191"/>
      <c r="MQA7" s="191"/>
      <c r="MQB7" s="191"/>
      <c r="MQD7" s="191"/>
      <c r="MQE7" s="191"/>
      <c r="MQF7" s="191"/>
      <c r="MQH7" s="191"/>
      <c r="MQI7" s="191"/>
      <c r="MQJ7" s="191"/>
      <c r="MQL7" s="191"/>
      <c r="MQM7" s="191"/>
      <c r="MQN7" s="191"/>
      <c r="MQP7" s="191"/>
      <c r="MQQ7" s="191"/>
      <c r="MQR7" s="191"/>
      <c r="MQT7" s="191"/>
      <c r="MQU7" s="191"/>
      <c r="MQV7" s="191"/>
      <c r="MQX7" s="191"/>
      <c r="MQY7" s="191"/>
      <c r="MQZ7" s="191"/>
      <c r="MRB7" s="191"/>
      <c r="MRC7" s="191"/>
      <c r="MRD7" s="191"/>
      <c r="MRF7" s="191"/>
      <c r="MRG7" s="191"/>
      <c r="MRH7" s="191"/>
      <c r="MRJ7" s="191"/>
      <c r="MRK7" s="191"/>
      <c r="MRL7" s="191"/>
      <c r="MRN7" s="191"/>
      <c r="MRO7" s="191"/>
      <c r="MRP7" s="191"/>
      <c r="MRR7" s="191"/>
      <c r="MRS7" s="191"/>
      <c r="MRT7" s="191"/>
      <c r="MRV7" s="191"/>
      <c r="MRW7" s="191"/>
      <c r="MRX7" s="191"/>
      <c r="MRZ7" s="191"/>
      <c r="MSA7" s="191"/>
      <c r="MSB7" s="191"/>
      <c r="MSD7" s="191"/>
      <c r="MSE7" s="191"/>
      <c r="MSF7" s="191"/>
      <c r="MSH7" s="191"/>
      <c r="MSI7" s="191"/>
      <c r="MSJ7" s="191"/>
      <c r="MSL7" s="191"/>
      <c r="MSM7" s="191"/>
      <c r="MSN7" s="191"/>
      <c r="MSP7" s="191"/>
      <c r="MSQ7" s="191"/>
      <c r="MSR7" s="191"/>
      <c r="MST7" s="191"/>
      <c r="MSU7" s="191"/>
      <c r="MSV7" s="191"/>
      <c r="MSX7" s="191"/>
      <c r="MSY7" s="191"/>
      <c r="MSZ7" s="191"/>
      <c r="MTB7" s="191"/>
      <c r="MTC7" s="191"/>
      <c r="MTD7" s="191"/>
      <c r="MTF7" s="191"/>
      <c r="MTG7" s="191"/>
      <c r="MTH7" s="191"/>
      <c r="MTJ7" s="191"/>
      <c r="MTK7" s="191"/>
      <c r="MTL7" s="191"/>
      <c r="MTN7" s="191"/>
      <c r="MTO7" s="191"/>
      <c r="MTP7" s="191"/>
      <c r="MTR7" s="191"/>
      <c r="MTS7" s="191"/>
      <c r="MTT7" s="191"/>
      <c r="MTV7" s="191"/>
      <c r="MTW7" s="191"/>
      <c r="MTX7" s="191"/>
      <c r="MTZ7" s="191"/>
      <c r="MUA7" s="191"/>
      <c r="MUB7" s="191"/>
      <c r="MUD7" s="191"/>
      <c r="MUE7" s="191"/>
      <c r="MUF7" s="191"/>
      <c r="MUH7" s="191"/>
      <c r="MUI7" s="191"/>
      <c r="MUJ7" s="191"/>
      <c r="MUL7" s="191"/>
      <c r="MUM7" s="191"/>
      <c r="MUN7" s="191"/>
      <c r="MUP7" s="191"/>
      <c r="MUQ7" s="191"/>
      <c r="MUR7" s="191"/>
      <c r="MUT7" s="191"/>
      <c r="MUU7" s="191"/>
      <c r="MUV7" s="191"/>
      <c r="MUX7" s="191"/>
      <c r="MUY7" s="191"/>
      <c r="MUZ7" s="191"/>
      <c r="MVB7" s="191"/>
      <c r="MVC7" s="191"/>
      <c r="MVD7" s="191"/>
      <c r="MVF7" s="191"/>
      <c r="MVG7" s="191"/>
      <c r="MVH7" s="191"/>
      <c r="MVJ7" s="191"/>
      <c r="MVK7" s="191"/>
      <c r="MVL7" s="191"/>
      <c r="MVN7" s="191"/>
      <c r="MVO7" s="191"/>
      <c r="MVP7" s="191"/>
      <c r="MVR7" s="191"/>
      <c r="MVS7" s="191"/>
      <c r="MVT7" s="191"/>
      <c r="MVV7" s="191"/>
      <c r="MVW7" s="191"/>
      <c r="MVX7" s="191"/>
      <c r="MVZ7" s="191"/>
      <c r="MWA7" s="191"/>
      <c r="MWB7" s="191"/>
      <c r="MWD7" s="191"/>
      <c r="MWE7" s="191"/>
      <c r="MWF7" s="191"/>
      <c r="MWH7" s="191"/>
      <c r="MWI7" s="191"/>
      <c r="MWJ7" s="191"/>
      <c r="MWL7" s="191"/>
      <c r="MWM7" s="191"/>
      <c r="MWN7" s="191"/>
      <c r="MWP7" s="191"/>
      <c r="MWQ7" s="191"/>
      <c r="MWR7" s="191"/>
      <c r="MWT7" s="191"/>
      <c r="MWU7" s="191"/>
      <c r="MWV7" s="191"/>
      <c r="MWX7" s="191"/>
      <c r="MWY7" s="191"/>
      <c r="MWZ7" s="191"/>
      <c r="MXB7" s="191"/>
      <c r="MXC7" s="191"/>
      <c r="MXD7" s="191"/>
      <c r="MXF7" s="191"/>
      <c r="MXG7" s="191"/>
      <c r="MXH7" s="191"/>
      <c r="MXJ7" s="191"/>
      <c r="MXK7" s="191"/>
      <c r="MXL7" s="191"/>
      <c r="MXN7" s="191"/>
      <c r="MXO7" s="191"/>
      <c r="MXP7" s="191"/>
      <c r="MXR7" s="191"/>
      <c r="MXS7" s="191"/>
      <c r="MXT7" s="191"/>
      <c r="MXV7" s="191"/>
      <c r="MXW7" s="191"/>
      <c r="MXX7" s="191"/>
      <c r="MXZ7" s="191"/>
      <c r="MYA7" s="191"/>
      <c r="MYB7" s="191"/>
      <c r="MYD7" s="191"/>
      <c r="MYE7" s="191"/>
      <c r="MYF7" s="191"/>
      <c r="MYH7" s="191"/>
      <c r="MYI7" s="191"/>
      <c r="MYJ7" s="191"/>
      <c r="MYL7" s="191"/>
      <c r="MYM7" s="191"/>
      <c r="MYN7" s="191"/>
      <c r="MYP7" s="191"/>
      <c r="MYQ7" s="191"/>
      <c r="MYR7" s="191"/>
      <c r="MYT7" s="191"/>
      <c r="MYU7" s="191"/>
      <c r="MYV7" s="191"/>
      <c r="MYX7" s="191"/>
      <c r="MYY7" s="191"/>
      <c r="MYZ7" s="191"/>
      <c r="MZB7" s="191"/>
      <c r="MZC7" s="191"/>
      <c r="MZD7" s="191"/>
      <c r="MZF7" s="191"/>
      <c r="MZG7" s="191"/>
      <c r="MZH7" s="191"/>
      <c r="MZJ7" s="191"/>
      <c r="MZK7" s="191"/>
      <c r="MZL7" s="191"/>
      <c r="MZN7" s="191"/>
      <c r="MZO7" s="191"/>
      <c r="MZP7" s="191"/>
      <c r="MZR7" s="191"/>
      <c r="MZS7" s="191"/>
      <c r="MZT7" s="191"/>
      <c r="MZV7" s="191"/>
      <c r="MZW7" s="191"/>
      <c r="MZX7" s="191"/>
      <c r="MZZ7" s="191"/>
      <c r="NAA7" s="191"/>
      <c r="NAB7" s="191"/>
      <c r="NAD7" s="191"/>
      <c r="NAE7" s="191"/>
      <c r="NAF7" s="191"/>
      <c r="NAH7" s="191"/>
      <c r="NAI7" s="191"/>
      <c r="NAJ7" s="191"/>
      <c r="NAL7" s="191"/>
      <c r="NAM7" s="191"/>
      <c r="NAN7" s="191"/>
      <c r="NAP7" s="191"/>
      <c r="NAQ7" s="191"/>
      <c r="NAR7" s="191"/>
      <c r="NAT7" s="191"/>
      <c r="NAU7" s="191"/>
      <c r="NAV7" s="191"/>
      <c r="NAX7" s="191"/>
      <c r="NAY7" s="191"/>
      <c r="NAZ7" s="191"/>
      <c r="NBB7" s="191"/>
      <c r="NBC7" s="191"/>
      <c r="NBD7" s="191"/>
      <c r="NBF7" s="191"/>
      <c r="NBG7" s="191"/>
      <c r="NBH7" s="191"/>
      <c r="NBJ7" s="191"/>
      <c r="NBK7" s="191"/>
      <c r="NBL7" s="191"/>
      <c r="NBN7" s="191"/>
      <c r="NBO7" s="191"/>
      <c r="NBP7" s="191"/>
      <c r="NBR7" s="191"/>
      <c r="NBS7" s="191"/>
      <c r="NBT7" s="191"/>
      <c r="NBV7" s="191"/>
      <c r="NBW7" s="191"/>
      <c r="NBX7" s="191"/>
      <c r="NBZ7" s="191"/>
      <c r="NCA7" s="191"/>
      <c r="NCB7" s="191"/>
      <c r="NCD7" s="191"/>
      <c r="NCE7" s="191"/>
      <c r="NCF7" s="191"/>
      <c r="NCH7" s="191"/>
      <c r="NCI7" s="191"/>
      <c r="NCJ7" s="191"/>
      <c r="NCL7" s="191"/>
      <c r="NCM7" s="191"/>
      <c r="NCN7" s="191"/>
      <c r="NCP7" s="191"/>
      <c r="NCQ7" s="191"/>
      <c r="NCR7" s="191"/>
      <c r="NCT7" s="191"/>
      <c r="NCU7" s="191"/>
      <c r="NCV7" s="191"/>
      <c r="NCX7" s="191"/>
      <c r="NCY7" s="191"/>
      <c r="NCZ7" s="191"/>
      <c r="NDB7" s="191"/>
      <c r="NDC7" s="191"/>
      <c r="NDD7" s="191"/>
      <c r="NDF7" s="191"/>
      <c r="NDG7" s="191"/>
      <c r="NDH7" s="191"/>
      <c r="NDJ7" s="191"/>
      <c r="NDK7" s="191"/>
      <c r="NDL7" s="191"/>
      <c r="NDN7" s="191"/>
      <c r="NDO7" s="191"/>
      <c r="NDP7" s="191"/>
      <c r="NDR7" s="191"/>
      <c r="NDS7" s="191"/>
      <c r="NDT7" s="191"/>
      <c r="NDV7" s="191"/>
      <c r="NDW7" s="191"/>
      <c r="NDX7" s="191"/>
      <c r="NDZ7" s="191"/>
      <c r="NEA7" s="191"/>
      <c r="NEB7" s="191"/>
      <c r="NED7" s="191"/>
      <c r="NEE7" s="191"/>
      <c r="NEF7" s="191"/>
      <c r="NEH7" s="191"/>
      <c r="NEI7" s="191"/>
      <c r="NEJ7" s="191"/>
      <c r="NEL7" s="191"/>
      <c r="NEM7" s="191"/>
      <c r="NEN7" s="191"/>
      <c r="NEP7" s="191"/>
      <c r="NEQ7" s="191"/>
      <c r="NER7" s="191"/>
      <c r="NET7" s="191"/>
      <c r="NEU7" s="191"/>
      <c r="NEV7" s="191"/>
      <c r="NEX7" s="191"/>
      <c r="NEY7" s="191"/>
      <c r="NEZ7" s="191"/>
      <c r="NFB7" s="191"/>
      <c r="NFC7" s="191"/>
      <c r="NFD7" s="191"/>
      <c r="NFF7" s="191"/>
      <c r="NFG7" s="191"/>
      <c r="NFH7" s="191"/>
      <c r="NFJ7" s="191"/>
      <c r="NFK7" s="191"/>
      <c r="NFL7" s="191"/>
      <c r="NFN7" s="191"/>
      <c r="NFO7" s="191"/>
      <c r="NFP7" s="191"/>
      <c r="NFR7" s="191"/>
      <c r="NFS7" s="191"/>
      <c r="NFT7" s="191"/>
      <c r="NFV7" s="191"/>
      <c r="NFW7" s="191"/>
      <c r="NFX7" s="191"/>
      <c r="NFZ7" s="191"/>
      <c r="NGA7" s="191"/>
      <c r="NGB7" s="191"/>
      <c r="NGD7" s="191"/>
      <c r="NGE7" s="191"/>
      <c r="NGF7" s="191"/>
      <c r="NGH7" s="191"/>
      <c r="NGI7" s="191"/>
      <c r="NGJ7" s="191"/>
      <c r="NGL7" s="191"/>
      <c r="NGM7" s="191"/>
      <c r="NGN7" s="191"/>
      <c r="NGP7" s="191"/>
      <c r="NGQ7" s="191"/>
      <c r="NGR7" s="191"/>
      <c r="NGT7" s="191"/>
      <c r="NGU7" s="191"/>
      <c r="NGV7" s="191"/>
      <c r="NGX7" s="191"/>
      <c r="NGY7" s="191"/>
      <c r="NGZ7" s="191"/>
      <c r="NHB7" s="191"/>
      <c r="NHC7" s="191"/>
      <c r="NHD7" s="191"/>
      <c r="NHF7" s="191"/>
      <c r="NHG7" s="191"/>
      <c r="NHH7" s="191"/>
      <c r="NHJ7" s="191"/>
      <c r="NHK7" s="191"/>
      <c r="NHL7" s="191"/>
      <c r="NHN7" s="191"/>
      <c r="NHO7" s="191"/>
      <c r="NHP7" s="191"/>
      <c r="NHR7" s="191"/>
      <c r="NHS7" s="191"/>
      <c r="NHT7" s="191"/>
      <c r="NHV7" s="191"/>
      <c r="NHW7" s="191"/>
      <c r="NHX7" s="191"/>
      <c r="NHZ7" s="191"/>
      <c r="NIA7" s="191"/>
      <c r="NIB7" s="191"/>
      <c r="NID7" s="191"/>
      <c r="NIE7" s="191"/>
      <c r="NIF7" s="191"/>
      <c r="NIH7" s="191"/>
      <c r="NII7" s="191"/>
      <c r="NIJ7" s="191"/>
      <c r="NIL7" s="191"/>
      <c r="NIM7" s="191"/>
      <c r="NIN7" s="191"/>
      <c r="NIP7" s="191"/>
      <c r="NIQ7" s="191"/>
      <c r="NIR7" s="191"/>
      <c r="NIT7" s="191"/>
      <c r="NIU7" s="191"/>
      <c r="NIV7" s="191"/>
      <c r="NIX7" s="191"/>
      <c r="NIY7" s="191"/>
      <c r="NIZ7" s="191"/>
      <c r="NJB7" s="191"/>
      <c r="NJC7" s="191"/>
      <c r="NJD7" s="191"/>
      <c r="NJF7" s="191"/>
      <c r="NJG7" s="191"/>
      <c r="NJH7" s="191"/>
      <c r="NJJ7" s="191"/>
      <c r="NJK7" s="191"/>
      <c r="NJL7" s="191"/>
      <c r="NJN7" s="191"/>
      <c r="NJO7" s="191"/>
      <c r="NJP7" s="191"/>
      <c r="NJR7" s="191"/>
      <c r="NJS7" s="191"/>
      <c r="NJT7" s="191"/>
      <c r="NJV7" s="191"/>
      <c r="NJW7" s="191"/>
      <c r="NJX7" s="191"/>
      <c r="NJZ7" s="191"/>
      <c r="NKA7" s="191"/>
      <c r="NKB7" s="191"/>
      <c r="NKD7" s="191"/>
      <c r="NKE7" s="191"/>
      <c r="NKF7" s="191"/>
      <c r="NKH7" s="191"/>
      <c r="NKI7" s="191"/>
      <c r="NKJ7" s="191"/>
      <c r="NKL7" s="191"/>
      <c r="NKM7" s="191"/>
      <c r="NKN7" s="191"/>
      <c r="NKP7" s="191"/>
      <c r="NKQ7" s="191"/>
      <c r="NKR7" s="191"/>
      <c r="NKT7" s="191"/>
      <c r="NKU7" s="191"/>
      <c r="NKV7" s="191"/>
      <c r="NKX7" s="191"/>
      <c r="NKY7" s="191"/>
      <c r="NKZ7" s="191"/>
      <c r="NLB7" s="191"/>
      <c r="NLC7" s="191"/>
      <c r="NLD7" s="191"/>
      <c r="NLF7" s="191"/>
      <c r="NLG7" s="191"/>
      <c r="NLH7" s="191"/>
      <c r="NLJ7" s="191"/>
      <c r="NLK7" s="191"/>
      <c r="NLL7" s="191"/>
      <c r="NLN7" s="191"/>
      <c r="NLO7" s="191"/>
      <c r="NLP7" s="191"/>
      <c r="NLR7" s="191"/>
      <c r="NLS7" s="191"/>
      <c r="NLT7" s="191"/>
      <c r="NLV7" s="191"/>
      <c r="NLW7" s="191"/>
      <c r="NLX7" s="191"/>
      <c r="NLZ7" s="191"/>
      <c r="NMA7" s="191"/>
      <c r="NMB7" s="191"/>
      <c r="NMD7" s="191"/>
      <c r="NME7" s="191"/>
      <c r="NMF7" s="191"/>
      <c r="NMH7" s="191"/>
      <c r="NMI7" s="191"/>
      <c r="NMJ7" s="191"/>
      <c r="NML7" s="191"/>
      <c r="NMM7" s="191"/>
      <c r="NMN7" s="191"/>
      <c r="NMP7" s="191"/>
      <c r="NMQ7" s="191"/>
      <c r="NMR7" s="191"/>
      <c r="NMT7" s="191"/>
      <c r="NMU7" s="191"/>
      <c r="NMV7" s="191"/>
      <c r="NMX7" s="191"/>
      <c r="NMY7" s="191"/>
      <c r="NMZ7" s="191"/>
      <c r="NNB7" s="191"/>
      <c r="NNC7" s="191"/>
      <c r="NND7" s="191"/>
      <c r="NNF7" s="191"/>
      <c r="NNG7" s="191"/>
      <c r="NNH7" s="191"/>
      <c r="NNJ7" s="191"/>
      <c r="NNK7" s="191"/>
      <c r="NNL7" s="191"/>
      <c r="NNN7" s="191"/>
      <c r="NNO7" s="191"/>
      <c r="NNP7" s="191"/>
      <c r="NNR7" s="191"/>
      <c r="NNS7" s="191"/>
      <c r="NNT7" s="191"/>
      <c r="NNV7" s="191"/>
      <c r="NNW7" s="191"/>
      <c r="NNX7" s="191"/>
      <c r="NNZ7" s="191"/>
      <c r="NOA7" s="191"/>
      <c r="NOB7" s="191"/>
      <c r="NOD7" s="191"/>
      <c r="NOE7" s="191"/>
      <c r="NOF7" s="191"/>
      <c r="NOH7" s="191"/>
      <c r="NOI7" s="191"/>
      <c r="NOJ7" s="191"/>
      <c r="NOL7" s="191"/>
      <c r="NOM7" s="191"/>
      <c r="NON7" s="191"/>
      <c r="NOP7" s="191"/>
      <c r="NOQ7" s="191"/>
      <c r="NOR7" s="191"/>
      <c r="NOT7" s="191"/>
      <c r="NOU7" s="191"/>
      <c r="NOV7" s="191"/>
      <c r="NOX7" s="191"/>
      <c r="NOY7" s="191"/>
      <c r="NOZ7" s="191"/>
      <c r="NPB7" s="191"/>
      <c r="NPC7" s="191"/>
      <c r="NPD7" s="191"/>
      <c r="NPF7" s="191"/>
      <c r="NPG7" s="191"/>
      <c r="NPH7" s="191"/>
      <c r="NPJ7" s="191"/>
      <c r="NPK7" s="191"/>
      <c r="NPL7" s="191"/>
      <c r="NPN7" s="191"/>
      <c r="NPO7" s="191"/>
      <c r="NPP7" s="191"/>
      <c r="NPR7" s="191"/>
      <c r="NPS7" s="191"/>
      <c r="NPT7" s="191"/>
      <c r="NPV7" s="191"/>
      <c r="NPW7" s="191"/>
      <c r="NPX7" s="191"/>
      <c r="NPZ7" s="191"/>
      <c r="NQA7" s="191"/>
      <c r="NQB7" s="191"/>
      <c r="NQD7" s="191"/>
      <c r="NQE7" s="191"/>
      <c r="NQF7" s="191"/>
      <c r="NQH7" s="191"/>
      <c r="NQI7" s="191"/>
      <c r="NQJ7" s="191"/>
      <c r="NQL7" s="191"/>
      <c r="NQM7" s="191"/>
      <c r="NQN7" s="191"/>
      <c r="NQP7" s="191"/>
      <c r="NQQ7" s="191"/>
      <c r="NQR7" s="191"/>
      <c r="NQT7" s="191"/>
      <c r="NQU7" s="191"/>
      <c r="NQV7" s="191"/>
      <c r="NQX7" s="191"/>
      <c r="NQY7" s="191"/>
      <c r="NQZ7" s="191"/>
      <c r="NRB7" s="191"/>
      <c r="NRC7" s="191"/>
      <c r="NRD7" s="191"/>
      <c r="NRF7" s="191"/>
      <c r="NRG7" s="191"/>
      <c r="NRH7" s="191"/>
      <c r="NRJ7" s="191"/>
      <c r="NRK7" s="191"/>
      <c r="NRL7" s="191"/>
      <c r="NRN7" s="191"/>
      <c r="NRO7" s="191"/>
      <c r="NRP7" s="191"/>
      <c r="NRR7" s="191"/>
      <c r="NRS7" s="191"/>
      <c r="NRT7" s="191"/>
      <c r="NRV7" s="191"/>
      <c r="NRW7" s="191"/>
      <c r="NRX7" s="191"/>
      <c r="NRZ7" s="191"/>
      <c r="NSA7" s="191"/>
      <c r="NSB7" s="191"/>
      <c r="NSD7" s="191"/>
      <c r="NSE7" s="191"/>
      <c r="NSF7" s="191"/>
      <c r="NSH7" s="191"/>
      <c r="NSI7" s="191"/>
      <c r="NSJ7" s="191"/>
      <c r="NSL7" s="191"/>
      <c r="NSM7" s="191"/>
      <c r="NSN7" s="191"/>
      <c r="NSP7" s="191"/>
      <c r="NSQ7" s="191"/>
      <c r="NSR7" s="191"/>
      <c r="NST7" s="191"/>
      <c r="NSU7" s="191"/>
      <c r="NSV7" s="191"/>
      <c r="NSX7" s="191"/>
      <c r="NSY7" s="191"/>
      <c r="NSZ7" s="191"/>
      <c r="NTB7" s="191"/>
      <c r="NTC7" s="191"/>
      <c r="NTD7" s="191"/>
      <c r="NTF7" s="191"/>
      <c r="NTG7" s="191"/>
      <c r="NTH7" s="191"/>
      <c r="NTJ7" s="191"/>
      <c r="NTK7" s="191"/>
      <c r="NTL7" s="191"/>
      <c r="NTN7" s="191"/>
      <c r="NTO7" s="191"/>
      <c r="NTP7" s="191"/>
      <c r="NTR7" s="191"/>
      <c r="NTS7" s="191"/>
      <c r="NTT7" s="191"/>
      <c r="NTV7" s="191"/>
      <c r="NTW7" s="191"/>
      <c r="NTX7" s="191"/>
      <c r="NTZ7" s="191"/>
      <c r="NUA7" s="191"/>
      <c r="NUB7" s="191"/>
      <c r="NUD7" s="191"/>
      <c r="NUE7" s="191"/>
      <c r="NUF7" s="191"/>
      <c r="NUH7" s="191"/>
      <c r="NUI7" s="191"/>
      <c r="NUJ7" s="191"/>
      <c r="NUL7" s="191"/>
      <c r="NUM7" s="191"/>
      <c r="NUN7" s="191"/>
      <c r="NUP7" s="191"/>
      <c r="NUQ7" s="191"/>
      <c r="NUR7" s="191"/>
      <c r="NUT7" s="191"/>
      <c r="NUU7" s="191"/>
      <c r="NUV7" s="191"/>
      <c r="NUX7" s="191"/>
      <c r="NUY7" s="191"/>
      <c r="NUZ7" s="191"/>
      <c r="NVB7" s="191"/>
      <c r="NVC7" s="191"/>
      <c r="NVD7" s="191"/>
      <c r="NVF7" s="191"/>
      <c r="NVG7" s="191"/>
      <c r="NVH7" s="191"/>
      <c r="NVJ7" s="191"/>
      <c r="NVK7" s="191"/>
      <c r="NVL7" s="191"/>
      <c r="NVN7" s="191"/>
      <c r="NVO7" s="191"/>
      <c r="NVP7" s="191"/>
      <c r="NVR7" s="191"/>
      <c r="NVS7" s="191"/>
      <c r="NVT7" s="191"/>
      <c r="NVV7" s="191"/>
      <c r="NVW7" s="191"/>
      <c r="NVX7" s="191"/>
      <c r="NVZ7" s="191"/>
      <c r="NWA7" s="191"/>
      <c r="NWB7" s="191"/>
      <c r="NWD7" s="191"/>
      <c r="NWE7" s="191"/>
      <c r="NWF7" s="191"/>
      <c r="NWH7" s="191"/>
      <c r="NWI7" s="191"/>
      <c r="NWJ7" s="191"/>
      <c r="NWL7" s="191"/>
      <c r="NWM7" s="191"/>
      <c r="NWN7" s="191"/>
      <c r="NWP7" s="191"/>
      <c r="NWQ7" s="191"/>
      <c r="NWR7" s="191"/>
      <c r="NWT7" s="191"/>
      <c r="NWU7" s="191"/>
      <c r="NWV7" s="191"/>
      <c r="NWX7" s="191"/>
      <c r="NWY7" s="191"/>
      <c r="NWZ7" s="191"/>
      <c r="NXB7" s="191"/>
      <c r="NXC7" s="191"/>
      <c r="NXD7" s="191"/>
      <c r="NXF7" s="191"/>
      <c r="NXG7" s="191"/>
      <c r="NXH7" s="191"/>
      <c r="NXJ7" s="191"/>
      <c r="NXK7" s="191"/>
      <c r="NXL7" s="191"/>
      <c r="NXN7" s="191"/>
      <c r="NXO7" s="191"/>
      <c r="NXP7" s="191"/>
      <c r="NXR7" s="191"/>
      <c r="NXS7" s="191"/>
      <c r="NXT7" s="191"/>
      <c r="NXV7" s="191"/>
      <c r="NXW7" s="191"/>
      <c r="NXX7" s="191"/>
      <c r="NXZ7" s="191"/>
      <c r="NYA7" s="191"/>
      <c r="NYB7" s="191"/>
      <c r="NYD7" s="191"/>
      <c r="NYE7" s="191"/>
      <c r="NYF7" s="191"/>
      <c r="NYH7" s="191"/>
      <c r="NYI7" s="191"/>
      <c r="NYJ7" s="191"/>
      <c r="NYL7" s="191"/>
      <c r="NYM7" s="191"/>
      <c r="NYN7" s="191"/>
      <c r="NYP7" s="191"/>
      <c r="NYQ7" s="191"/>
      <c r="NYR7" s="191"/>
      <c r="NYT7" s="191"/>
      <c r="NYU7" s="191"/>
      <c r="NYV7" s="191"/>
      <c r="NYX7" s="191"/>
      <c r="NYY7" s="191"/>
      <c r="NYZ7" s="191"/>
      <c r="NZB7" s="191"/>
      <c r="NZC7" s="191"/>
      <c r="NZD7" s="191"/>
      <c r="NZF7" s="191"/>
      <c r="NZG7" s="191"/>
      <c r="NZH7" s="191"/>
      <c r="NZJ7" s="191"/>
      <c r="NZK7" s="191"/>
      <c r="NZL7" s="191"/>
      <c r="NZN7" s="191"/>
      <c r="NZO7" s="191"/>
      <c r="NZP7" s="191"/>
      <c r="NZR7" s="191"/>
      <c r="NZS7" s="191"/>
      <c r="NZT7" s="191"/>
      <c r="NZV7" s="191"/>
      <c r="NZW7" s="191"/>
      <c r="NZX7" s="191"/>
      <c r="NZZ7" s="191"/>
      <c r="OAA7" s="191"/>
      <c r="OAB7" s="191"/>
      <c r="OAD7" s="191"/>
      <c r="OAE7" s="191"/>
      <c r="OAF7" s="191"/>
      <c r="OAH7" s="191"/>
      <c r="OAI7" s="191"/>
      <c r="OAJ7" s="191"/>
      <c r="OAL7" s="191"/>
      <c r="OAM7" s="191"/>
      <c r="OAN7" s="191"/>
      <c r="OAP7" s="191"/>
      <c r="OAQ7" s="191"/>
      <c r="OAR7" s="191"/>
      <c r="OAT7" s="191"/>
      <c r="OAU7" s="191"/>
      <c r="OAV7" s="191"/>
      <c r="OAX7" s="191"/>
      <c r="OAY7" s="191"/>
      <c r="OAZ7" s="191"/>
      <c r="OBB7" s="191"/>
      <c r="OBC7" s="191"/>
      <c r="OBD7" s="191"/>
      <c r="OBF7" s="191"/>
      <c r="OBG7" s="191"/>
      <c r="OBH7" s="191"/>
      <c r="OBJ7" s="191"/>
      <c r="OBK7" s="191"/>
      <c r="OBL7" s="191"/>
      <c r="OBN7" s="191"/>
      <c r="OBO7" s="191"/>
      <c r="OBP7" s="191"/>
      <c r="OBR7" s="191"/>
      <c r="OBS7" s="191"/>
      <c r="OBT7" s="191"/>
      <c r="OBV7" s="191"/>
      <c r="OBW7" s="191"/>
      <c r="OBX7" s="191"/>
      <c r="OBZ7" s="191"/>
      <c r="OCA7" s="191"/>
      <c r="OCB7" s="191"/>
      <c r="OCD7" s="191"/>
      <c r="OCE7" s="191"/>
      <c r="OCF7" s="191"/>
      <c r="OCH7" s="191"/>
      <c r="OCI7" s="191"/>
      <c r="OCJ7" s="191"/>
      <c r="OCL7" s="191"/>
      <c r="OCM7" s="191"/>
      <c r="OCN7" s="191"/>
      <c r="OCP7" s="191"/>
      <c r="OCQ7" s="191"/>
      <c r="OCR7" s="191"/>
      <c r="OCT7" s="191"/>
      <c r="OCU7" s="191"/>
      <c r="OCV7" s="191"/>
      <c r="OCX7" s="191"/>
      <c r="OCY7" s="191"/>
      <c r="OCZ7" s="191"/>
      <c r="ODB7" s="191"/>
      <c r="ODC7" s="191"/>
      <c r="ODD7" s="191"/>
      <c r="ODF7" s="191"/>
      <c r="ODG7" s="191"/>
      <c r="ODH7" s="191"/>
      <c r="ODJ7" s="191"/>
      <c r="ODK7" s="191"/>
      <c r="ODL7" s="191"/>
      <c r="ODN7" s="191"/>
      <c r="ODO7" s="191"/>
      <c r="ODP7" s="191"/>
      <c r="ODR7" s="191"/>
      <c r="ODS7" s="191"/>
      <c r="ODT7" s="191"/>
      <c r="ODV7" s="191"/>
      <c r="ODW7" s="191"/>
      <c r="ODX7" s="191"/>
      <c r="ODZ7" s="191"/>
      <c r="OEA7" s="191"/>
      <c r="OEB7" s="191"/>
      <c r="OED7" s="191"/>
      <c r="OEE7" s="191"/>
      <c r="OEF7" s="191"/>
      <c r="OEH7" s="191"/>
      <c r="OEI7" s="191"/>
      <c r="OEJ7" s="191"/>
      <c r="OEL7" s="191"/>
      <c r="OEM7" s="191"/>
      <c r="OEN7" s="191"/>
      <c r="OEP7" s="191"/>
      <c r="OEQ7" s="191"/>
      <c r="OER7" s="191"/>
      <c r="OET7" s="191"/>
      <c r="OEU7" s="191"/>
      <c r="OEV7" s="191"/>
      <c r="OEX7" s="191"/>
      <c r="OEY7" s="191"/>
      <c r="OEZ7" s="191"/>
      <c r="OFB7" s="191"/>
      <c r="OFC7" s="191"/>
      <c r="OFD7" s="191"/>
      <c r="OFF7" s="191"/>
      <c r="OFG7" s="191"/>
      <c r="OFH7" s="191"/>
      <c r="OFJ7" s="191"/>
      <c r="OFK7" s="191"/>
      <c r="OFL7" s="191"/>
      <c r="OFN7" s="191"/>
      <c r="OFO7" s="191"/>
      <c r="OFP7" s="191"/>
      <c r="OFR7" s="191"/>
      <c r="OFS7" s="191"/>
      <c r="OFT7" s="191"/>
      <c r="OFV7" s="191"/>
      <c r="OFW7" s="191"/>
      <c r="OFX7" s="191"/>
      <c r="OFZ7" s="191"/>
      <c r="OGA7" s="191"/>
      <c r="OGB7" s="191"/>
      <c r="OGD7" s="191"/>
      <c r="OGE7" s="191"/>
      <c r="OGF7" s="191"/>
      <c r="OGH7" s="191"/>
      <c r="OGI7" s="191"/>
      <c r="OGJ7" s="191"/>
      <c r="OGL7" s="191"/>
      <c r="OGM7" s="191"/>
      <c r="OGN7" s="191"/>
      <c r="OGP7" s="191"/>
      <c r="OGQ7" s="191"/>
      <c r="OGR7" s="191"/>
      <c r="OGT7" s="191"/>
      <c r="OGU7" s="191"/>
      <c r="OGV7" s="191"/>
      <c r="OGX7" s="191"/>
      <c r="OGY7" s="191"/>
      <c r="OGZ7" s="191"/>
      <c r="OHB7" s="191"/>
      <c r="OHC7" s="191"/>
      <c r="OHD7" s="191"/>
      <c r="OHF7" s="191"/>
      <c r="OHG7" s="191"/>
      <c r="OHH7" s="191"/>
      <c r="OHJ7" s="191"/>
      <c r="OHK7" s="191"/>
      <c r="OHL7" s="191"/>
      <c r="OHN7" s="191"/>
      <c r="OHO7" s="191"/>
      <c r="OHP7" s="191"/>
      <c r="OHR7" s="191"/>
      <c r="OHS7" s="191"/>
      <c r="OHT7" s="191"/>
      <c r="OHV7" s="191"/>
      <c r="OHW7" s="191"/>
      <c r="OHX7" s="191"/>
      <c r="OHZ7" s="191"/>
      <c r="OIA7" s="191"/>
      <c r="OIB7" s="191"/>
      <c r="OID7" s="191"/>
      <c r="OIE7" s="191"/>
      <c r="OIF7" s="191"/>
      <c r="OIH7" s="191"/>
      <c r="OII7" s="191"/>
      <c r="OIJ7" s="191"/>
      <c r="OIL7" s="191"/>
      <c r="OIM7" s="191"/>
      <c r="OIN7" s="191"/>
      <c r="OIP7" s="191"/>
      <c r="OIQ7" s="191"/>
      <c r="OIR7" s="191"/>
      <c r="OIT7" s="191"/>
      <c r="OIU7" s="191"/>
      <c r="OIV7" s="191"/>
      <c r="OIX7" s="191"/>
      <c r="OIY7" s="191"/>
      <c r="OIZ7" s="191"/>
      <c r="OJB7" s="191"/>
      <c r="OJC7" s="191"/>
      <c r="OJD7" s="191"/>
      <c r="OJF7" s="191"/>
      <c r="OJG7" s="191"/>
      <c r="OJH7" s="191"/>
      <c r="OJJ7" s="191"/>
      <c r="OJK7" s="191"/>
      <c r="OJL7" s="191"/>
      <c r="OJN7" s="191"/>
      <c r="OJO7" s="191"/>
      <c r="OJP7" s="191"/>
      <c r="OJR7" s="191"/>
      <c r="OJS7" s="191"/>
      <c r="OJT7" s="191"/>
      <c r="OJV7" s="191"/>
      <c r="OJW7" s="191"/>
      <c r="OJX7" s="191"/>
      <c r="OJZ7" s="191"/>
      <c r="OKA7" s="191"/>
      <c r="OKB7" s="191"/>
      <c r="OKD7" s="191"/>
      <c r="OKE7" s="191"/>
      <c r="OKF7" s="191"/>
      <c r="OKH7" s="191"/>
      <c r="OKI7" s="191"/>
      <c r="OKJ7" s="191"/>
      <c r="OKL7" s="191"/>
      <c r="OKM7" s="191"/>
      <c r="OKN7" s="191"/>
      <c r="OKP7" s="191"/>
      <c r="OKQ7" s="191"/>
      <c r="OKR7" s="191"/>
      <c r="OKT7" s="191"/>
      <c r="OKU7" s="191"/>
      <c r="OKV7" s="191"/>
      <c r="OKX7" s="191"/>
      <c r="OKY7" s="191"/>
      <c r="OKZ7" s="191"/>
      <c r="OLB7" s="191"/>
      <c r="OLC7" s="191"/>
      <c r="OLD7" s="191"/>
      <c r="OLF7" s="191"/>
      <c r="OLG7" s="191"/>
      <c r="OLH7" s="191"/>
      <c r="OLJ7" s="191"/>
      <c r="OLK7" s="191"/>
      <c r="OLL7" s="191"/>
      <c r="OLN7" s="191"/>
      <c r="OLO7" s="191"/>
      <c r="OLP7" s="191"/>
      <c r="OLR7" s="191"/>
      <c r="OLS7" s="191"/>
      <c r="OLT7" s="191"/>
      <c r="OLV7" s="191"/>
      <c r="OLW7" s="191"/>
      <c r="OLX7" s="191"/>
      <c r="OLZ7" s="191"/>
      <c r="OMA7" s="191"/>
      <c r="OMB7" s="191"/>
      <c r="OMD7" s="191"/>
      <c r="OME7" s="191"/>
      <c r="OMF7" s="191"/>
      <c r="OMH7" s="191"/>
      <c r="OMI7" s="191"/>
      <c r="OMJ7" s="191"/>
      <c r="OML7" s="191"/>
      <c r="OMM7" s="191"/>
      <c r="OMN7" s="191"/>
      <c r="OMP7" s="191"/>
      <c r="OMQ7" s="191"/>
      <c r="OMR7" s="191"/>
      <c r="OMT7" s="191"/>
      <c r="OMU7" s="191"/>
      <c r="OMV7" s="191"/>
      <c r="OMX7" s="191"/>
      <c r="OMY7" s="191"/>
      <c r="OMZ7" s="191"/>
      <c r="ONB7" s="191"/>
      <c r="ONC7" s="191"/>
      <c r="OND7" s="191"/>
      <c r="ONF7" s="191"/>
      <c r="ONG7" s="191"/>
      <c r="ONH7" s="191"/>
      <c r="ONJ7" s="191"/>
      <c r="ONK7" s="191"/>
      <c r="ONL7" s="191"/>
      <c r="ONN7" s="191"/>
      <c r="ONO7" s="191"/>
      <c r="ONP7" s="191"/>
      <c r="ONR7" s="191"/>
      <c r="ONS7" s="191"/>
      <c r="ONT7" s="191"/>
      <c r="ONV7" s="191"/>
      <c r="ONW7" s="191"/>
      <c r="ONX7" s="191"/>
      <c r="ONZ7" s="191"/>
      <c r="OOA7" s="191"/>
      <c r="OOB7" s="191"/>
      <c r="OOD7" s="191"/>
      <c r="OOE7" s="191"/>
      <c r="OOF7" s="191"/>
      <c r="OOH7" s="191"/>
      <c r="OOI7" s="191"/>
      <c r="OOJ7" s="191"/>
      <c r="OOL7" s="191"/>
      <c r="OOM7" s="191"/>
      <c r="OON7" s="191"/>
      <c r="OOP7" s="191"/>
      <c r="OOQ7" s="191"/>
      <c r="OOR7" s="191"/>
      <c r="OOT7" s="191"/>
      <c r="OOU7" s="191"/>
      <c r="OOV7" s="191"/>
      <c r="OOX7" s="191"/>
      <c r="OOY7" s="191"/>
      <c r="OOZ7" s="191"/>
      <c r="OPB7" s="191"/>
      <c r="OPC7" s="191"/>
      <c r="OPD7" s="191"/>
      <c r="OPF7" s="191"/>
      <c r="OPG7" s="191"/>
      <c r="OPH7" s="191"/>
      <c r="OPJ7" s="191"/>
      <c r="OPK7" s="191"/>
      <c r="OPL7" s="191"/>
      <c r="OPN7" s="191"/>
      <c r="OPO7" s="191"/>
      <c r="OPP7" s="191"/>
      <c r="OPR7" s="191"/>
      <c r="OPS7" s="191"/>
      <c r="OPT7" s="191"/>
      <c r="OPV7" s="191"/>
      <c r="OPW7" s="191"/>
      <c r="OPX7" s="191"/>
      <c r="OPZ7" s="191"/>
      <c r="OQA7" s="191"/>
      <c r="OQB7" s="191"/>
      <c r="OQD7" s="191"/>
      <c r="OQE7" s="191"/>
      <c r="OQF7" s="191"/>
      <c r="OQH7" s="191"/>
      <c r="OQI7" s="191"/>
      <c r="OQJ7" s="191"/>
      <c r="OQL7" s="191"/>
      <c r="OQM7" s="191"/>
      <c r="OQN7" s="191"/>
      <c r="OQP7" s="191"/>
      <c r="OQQ7" s="191"/>
      <c r="OQR7" s="191"/>
      <c r="OQT7" s="191"/>
      <c r="OQU7" s="191"/>
      <c r="OQV7" s="191"/>
      <c r="OQX7" s="191"/>
      <c r="OQY7" s="191"/>
      <c r="OQZ7" s="191"/>
      <c r="ORB7" s="191"/>
      <c r="ORC7" s="191"/>
      <c r="ORD7" s="191"/>
      <c r="ORF7" s="191"/>
      <c r="ORG7" s="191"/>
      <c r="ORH7" s="191"/>
      <c r="ORJ7" s="191"/>
      <c r="ORK7" s="191"/>
      <c r="ORL7" s="191"/>
      <c r="ORN7" s="191"/>
      <c r="ORO7" s="191"/>
      <c r="ORP7" s="191"/>
      <c r="ORR7" s="191"/>
      <c r="ORS7" s="191"/>
      <c r="ORT7" s="191"/>
      <c r="ORV7" s="191"/>
      <c r="ORW7" s="191"/>
      <c r="ORX7" s="191"/>
      <c r="ORZ7" s="191"/>
      <c r="OSA7" s="191"/>
      <c r="OSB7" s="191"/>
      <c r="OSD7" s="191"/>
      <c r="OSE7" s="191"/>
      <c r="OSF7" s="191"/>
      <c r="OSH7" s="191"/>
      <c r="OSI7" s="191"/>
      <c r="OSJ7" s="191"/>
      <c r="OSL7" s="191"/>
      <c r="OSM7" s="191"/>
      <c r="OSN7" s="191"/>
      <c r="OSP7" s="191"/>
      <c r="OSQ7" s="191"/>
      <c r="OSR7" s="191"/>
      <c r="OST7" s="191"/>
      <c r="OSU7" s="191"/>
      <c r="OSV7" s="191"/>
      <c r="OSX7" s="191"/>
      <c r="OSY7" s="191"/>
      <c r="OSZ7" s="191"/>
      <c r="OTB7" s="191"/>
      <c r="OTC7" s="191"/>
      <c r="OTD7" s="191"/>
      <c r="OTF7" s="191"/>
      <c r="OTG7" s="191"/>
      <c r="OTH7" s="191"/>
      <c r="OTJ7" s="191"/>
      <c r="OTK7" s="191"/>
      <c r="OTL7" s="191"/>
      <c r="OTN7" s="191"/>
      <c r="OTO7" s="191"/>
      <c r="OTP7" s="191"/>
      <c r="OTR7" s="191"/>
      <c r="OTS7" s="191"/>
      <c r="OTT7" s="191"/>
      <c r="OTV7" s="191"/>
      <c r="OTW7" s="191"/>
      <c r="OTX7" s="191"/>
      <c r="OTZ7" s="191"/>
      <c r="OUA7" s="191"/>
      <c r="OUB7" s="191"/>
      <c r="OUD7" s="191"/>
      <c r="OUE7" s="191"/>
      <c r="OUF7" s="191"/>
      <c r="OUH7" s="191"/>
      <c r="OUI7" s="191"/>
      <c r="OUJ7" s="191"/>
      <c r="OUL7" s="191"/>
      <c r="OUM7" s="191"/>
      <c r="OUN7" s="191"/>
      <c r="OUP7" s="191"/>
      <c r="OUQ7" s="191"/>
      <c r="OUR7" s="191"/>
      <c r="OUT7" s="191"/>
      <c r="OUU7" s="191"/>
      <c r="OUV7" s="191"/>
      <c r="OUX7" s="191"/>
      <c r="OUY7" s="191"/>
      <c r="OUZ7" s="191"/>
      <c r="OVB7" s="191"/>
      <c r="OVC7" s="191"/>
      <c r="OVD7" s="191"/>
      <c r="OVF7" s="191"/>
      <c r="OVG7" s="191"/>
      <c r="OVH7" s="191"/>
      <c r="OVJ7" s="191"/>
      <c r="OVK7" s="191"/>
      <c r="OVL7" s="191"/>
      <c r="OVN7" s="191"/>
      <c r="OVO7" s="191"/>
      <c r="OVP7" s="191"/>
      <c r="OVR7" s="191"/>
      <c r="OVS7" s="191"/>
      <c r="OVT7" s="191"/>
      <c r="OVV7" s="191"/>
      <c r="OVW7" s="191"/>
      <c r="OVX7" s="191"/>
      <c r="OVZ7" s="191"/>
      <c r="OWA7" s="191"/>
      <c r="OWB7" s="191"/>
      <c r="OWD7" s="191"/>
      <c r="OWE7" s="191"/>
      <c r="OWF7" s="191"/>
      <c r="OWH7" s="191"/>
      <c r="OWI7" s="191"/>
      <c r="OWJ7" s="191"/>
      <c r="OWL7" s="191"/>
      <c r="OWM7" s="191"/>
      <c r="OWN7" s="191"/>
      <c r="OWP7" s="191"/>
      <c r="OWQ7" s="191"/>
      <c r="OWR7" s="191"/>
      <c r="OWT7" s="191"/>
      <c r="OWU7" s="191"/>
      <c r="OWV7" s="191"/>
      <c r="OWX7" s="191"/>
      <c r="OWY7" s="191"/>
      <c r="OWZ7" s="191"/>
      <c r="OXB7" s="191"/>
      <c r="OXC7" s="191"/>
      <c r="OXD7" s="191"/>
      <c r="OXF7" s="191"/>
      <c r="OXG7" s="191"/>
      <c r="OXH7" s="191"/>
      <c r="OXJ7" s="191"/>
      <c r="OXK7" s="191"/>
      <c r="OXL7" s="191"/>
      <c r="OXN7" s="191"/>
      <c r="OXO7" s="191"/>
      <c r="OXP7" s="191"/>
      <c r="OXR7" s="191"/>
      <c r="OXS7" s="191"/>
      <c r="OXT7" s="191"/>
      <c r="OXV7" s="191"/>
      <c r="OXW7" s="191"/>
      <c r="OXX7" s="191"/>
      <c r="OXZ7" s="191"/>
      <c r="OYA7" s="191"/>
      <c r="OYB7" s="191"/>
      <c r="OYD7" s="191"/>
      <c r="OYE7" s="191"/>
      <c r="OYF7" s="191"/>
      <c r="OYH7" s="191"/>
      <c r="OYI7" s="191"/>
      <c r="OYJ7" s="191"/>
      <c r="OYL7" s="191"/>
      <c r="OYM7" s="191"/>
      <c r="OYN7" s="191"/>
      <c r="OYP7" s="191"/>
      <c r="OYQ7" s="191"/>
      <c r="OYR7" s="191"/>
      <c r="OYT7" s="191"/>
      <c r="OYU7" s="191"/>
      <c r="OYV7" s="191"/>
      <c r="OYX7" s="191"/>
      <c r="OYY7" s="191"/>
      <c r="OYZ7" s="191"/>
      <c r="OZB7" s="191"/>
      <c r="OZC7" s="191"/>
      <c r="OZD7" s="191"/>
      <c r="OZF7" s="191"/>
      <c r="OZG7" s="191"/>
      <c r="OZH7" s="191"/>
      <c r="OZJ7" s="191"/>
      <c r="OZK7" s="191"/>
      <c r="OZL7" s="191"/>
      <c r="OZN7" s="191"/>
      <c r="OZO7" s="191"/>
      <c r="OZP7" s="191"/>
      <c r="OZR7" s="191"/>
      <c r="OZS7" s="191"/>
      <c r="OZT7" s="191"/>
      <c r="OZV7" s="191"/>
      <c r="OZW7" s="191"/>
      <c r="OZX7" s="191"/>
      <c r="OZZ7" s="191"/>
      <c r="PAA7" s="191"/>
      <c r="PAB7" s="191"/>
      <c r="PAD7" s="191"/>
      <c r="PAE7" s="191"/>
      <c r="PAF7" s="191"/>
      <c r="PAH7" s="191"/>
      <c r="PAI7" s="191"/>
      <c r="PAJ7" s="191"/>
      <c r="PAL7" s="191"/>
      <c r="PAM7" s="191"/>
      <c r="PAN7" s="191"/>
      <c r="PAP7" s="191"/>
      <c r="PAQ7" s="191"/>
      <c r="PAR7" s="191"/>
      <c r="PAT7" s="191"/>
      <c r="PAU7" s="191"/>
      <c r="PAV7" s="191"/>
      <c r="PAX7" s="191"/>
      <c r="PAY7" s="191"/>
      <c r="PAZ7" s="191"/>
      <c r="PBB7" s="191"/>
      <c r="PBC7" s="191"/>
      <c r="PBD7" s="191"/>
      <c r="PBF7" s="191"/>
      <c r="PBG7" s="191"/>
      <c r="PBH7" s="191"/>
      <c r="PBJ7" s="191"/>
      <c r="PBK7" s="191"/>
      <c r="PBL7" s="191"/>
      <c r="PBN7" s="191"/>
      <c r="PBO7" s="191"/>
      <c r="PBP7" s="191"/>
      <c r="PBR7" s="191"/>
      <c r="PBS7" s="191"/>
      <c r="PBT7" s="191"/>
      <c r="PBV7" s="191"/>
      <c r="PBW7" s="191"/>
      <c r="PBX7" s="191"/>
      <c r="PBZ7" s="191"/>
      <c r="PCA7" s="191"/>
      <c r="PCB7" s="191"/>
      <c r="PCD7" s="191"/>
      <c r="PCE7" s="191"/>
      <c r="PCF7" s="191"/>
      <c r="PCH7" s="191"/>
      <c r="PCI7" s="191"/>
      <c r="PCJ7" s="191"/>
      <c r="PCL7" s="191"/>
      <c r="PCM7" s="191"/>
      <c r="PCN7" s="191"/>
      <c r="PCP7" s="191"/>
      <c r="PCQ7" s="191"/>
      <c r="PCR7" s="191"/>
      <c r="PCT7" s="191"/>
      <c r="PCU7" s="191"/>
      <c r="PCV7" s="191"/>
      <c r="PCX7" s="191"/>
      <c r="PCY7" s="191"/>
      <c r="PCZ7" s="191"/>
      <c r="PDB7" s="191"/>
      <c r="PDC7" s="191"/>
      <c r="PDD7" s="191"/>
      <c r="PDF7" s="191"/>
      <c r="PDG7" s="191"/>
      <c r="PDH7" s="191"/>
      <c r="PDJ7" s="191"/>
      <c r="PDK7" s="191"/>
      <c r="PDL7" s="191"/>
      <c r="PDN7" s="191"/>
      <c r="PDO7" s="191"/>
      <c r="PDP7" s="191"/>
      <c r="PDR7" s="191"/>
      <c r="PDS7" s="191"/>
      <c r="PDT7" s="191"/>
      <c r="PDV7" s="191"/>
      <c r="PDW7" s="191"/>
      <c r="PDX7" s="191"/>
      <c r="PDZ7" s="191"/>
      <c r="PEA7" s="191"/>
      <c r="PEB7" s="191"/>
      <c r="PED7" s="191"/>
      <c r="PEE7" s="191"/>
      <c r="PEF7" s="191"/>
      <c r="PEH7" s="191"/>
      <c r="PEI7" s="191"/>
      <c r="PEJ7" s="191"/>
      <c r="PEL7" s="191"/>
      <c r="PEM7" s="191"/>
      <c r="PEN7" s="191"/>
      <c r="PEP7" s="191"/>
      <c r="PEQ7" s="191"/>
      <c r="PER7" s="191"/>
      <c r="PET7" s="191"/>
      <c r="PEU7" s="191"/>
      <c r="PEV7" s="191"/>
      <c r="PEX7" s="191"/>
      <c r="PEY7" s="191"/>
      <c r="PEZ7" s="191"/>
      <c r="PFB7" s="191"/>
      <c r="PFC7" s="191"/>
      <c r="PFD7" s="191"/>
      <c r="PFF7" s="191"/>
      <c r="PFG7" s="191"/>
      <c r="PFH7" s="191"/>
      <c r="PFJ7" s="191"/>
      <c r="PFK7" s="191"/>
      <c r="PFL7" s="191"/>
      <c r="PFN7" s="191"/>
      <c r="PFO7" s="191"/>
      <c r="PFP7" s="191"/>
      <c r="PFR7" s="191"/>
      <c r="PFS7" s="191"/>
      <c r="PFT7" s="191"/>
      <c r="PFV7" s="191"/>
      <c r="PFW7" s="191"/>
      <c r="PFX7" s="191"/>
      <c r="PFZ7" s="191"/>
      <c r="PGA7" s="191"/>
      <c r="PGB7" s="191"/>
      <c r="PGD7" s="191"/>
      <c r="PGE7" s="191"/>
      <c r="PGF7" s="191"/>
      <c r="PGH7" s="191"/>
      <c r="PGI7" s="191"/>
      <c r="PGJ7" s="191"/>
      <c r="PGL7" s="191"/>
      <c r="PGM7" s="191"/>
      <c r="PGN7" s="191"/>
      <c r="PGP7" s="191"/>
      <c r="PGQ7" s="191"/>
      <c r="PGR7" s="191"/>
      <c r="PGT7" s="191"/>
      <c r="PGU7" s="191"/>
      <c r="PGV7" s="191"/>
      <c r="PGX7" s="191"/>
      <c r="PGY7" s="191"/>
      <c r="PGZ7" s="191"/>
      <c r="PHB7" s="191"/>
      <c r="PHC7" s="191"/>
      <c r="PHD7" s="191"/>
      <c r="PHF7" s="191"/>
      <c r="PHG7" s="191"/>
      <c r="PHH7" s="191"/>
      <c r="PHJ7" s="191"/>
      <c r="PHK7" s="191"/>
      <c r="PHL7" s="191"/>
      <c r="PHN7" s="191"/>
      <c r="PHO7" s="191"/>
      <c r="PHP7" s="191"/>
      <c r="PHR7" s="191"/>
      <c r="PHS7" s="191"/>
      <c r="PHT7" s="191"/>
      <c r="PHV7" s="191"/>
      <c r="PHW7" s="191"/>
      <c r="PHX7" s="191"/>
      <c r="PHZ7" s="191"/>
      <c r="PIA7" s="191"/>
      <c r="PIB7" s="191"/>
      <c r="PID7" s="191"/>
      <c r="PIE7" s="191"/>
      <c r="PIF7" s="191"/>
      <c r="PIH7" s="191"/>
      <c r="PII7" s="191"/>
      <c r="PIJ7" s="191"/>
      <c r="PIL7" s="191"/>
      <c r="PIM7" s="191"/>
      <c r="PIN7" s="191"/>
      <c r="PIP7" s="191"/>
      <c r="PIQ7" s="191"/>
      <c r="PIR7" s="191"/>
      <c r="PIT7" s="191"/>
      <c r="PIU7" s="191"/>
      <c r="PIV7" s="191"/>
      <c r="PIX7" s="191"/>
      <c r="PIY7" s="191"/>
      <c r="PIZ7" s="191"/>
      <c r="PJB7" s="191"/>
      <c r="PJC7" s="191"/>
      <c r="PJD7" s="191"/>
      <c r="PJF7" s="191"/>
      <c r="PJG7" s="191"/>
      <c r="PJH7" s="191"/>
      <c r="PJJ7" s="191"/>
      <c r="PJK7" s="191"/>
      <c r="PJL7" s="191"/>
      <c r="PJN7" s="191"/>
      <c r="PJO7" s="191"/>
      <c r="PJP7" s="191"/>
      <c r="PJR7" s="191"/>
      <c r="PJS7" s="191"/>
      <c r="PJT7" s="191"/>
      <c r="PJV7" s="191"/>
      <c r="PJW7" s="191"/>
      <c r="PJX7" s="191"/>
      <c r="PJZ7" s="191"/>
      <c r="PKA7" s="191"/>
      <c r="PKB7" s="191"/>
      <c r="PKD7" s="191"/>
      <c r="PKE7" s="191"/>
      <c r="PKF7" s="191"/>
      <c r="PKH7" s="191"/>
      <c r="PKI7" s="191"/>
      <c r="PKJ7" s="191"/>
      <c r="PKL7" s="191"/>
      <c r="PKM7" s="191"/>
      <c r="PKN7" s="191"/>
      <c r="PKP7" s="191"/>
      <c r="PKQ7" s="191"/>
      <c r="PKR7" s="191"/>
      <c r="PKT7" s="191"/>
      <c r="PKU7" s="191"/>
      <c r="PKV7" s="191"/>
      <c r="PKX7" s="191"/>
      <c r="PKY7" s="191"/>
      <c r="PKZ7" s="191"/>
      <c r="PLB7" s="191"/>
      <c r="PLC7" s="191"/>
      <c r="PLD7" s="191"/>
      <c r="PLF7" s="191"/>
      <c r="PLG7" s="191"/>
      <c r="PLH7" s="191"/>
      <c r="PLJ7" s="191"/>
      <c r="PLK7" s="191"/>
      <c r="PLL7" s="191"/>
      <c r="PLN7" s="191"/>
      <c r="PLO7" s="191"/>
      <c r="PLP7" s="191"/>
      <c r="PLR7" s="191"/>
      <c r="PLS7" s="191"/>
      <c r="PLT7" s="191"/>
      <c r="PLV7" s="191"/>
      <c r="PLW7" s="191"/>
      <c r="PLX7" s="191"/>
      <c r="PLZ7" s="191"/>
      <c r="PMA7" s="191"/>
      <c r="PMB7" s="191"/>
      <c r="PMD7" s="191"/>
      <c r="PME7" s="191"/>
      <c r="PMF7" s="191"/>
      <c r="PMH7" s="191"/>
      <c r="PMI7" s="191"/>
      <c r="PMJ7" s="191"/>
      <c r="PML7" s="191"/>
      <c r="PMM7" s="191"/>
      <c r="PMN7" s="191"/>
      <c r="PMP7" s="191"/>
      <c r="PMQ7" s="191"/>
      <c r="PMR7" s="191"/>
      <c r="PMT7" s="191"/>
      <c r="PMU7" s="191"/>
      <c r="PMV7" s="191"/>
      <c r="PMX7" s="191"/>
      <c r="PMY7" s="191"/>
      <c r="PMZ7" s="191"/>
      <c r="PNB7" s="191"/>
      <c r="PNC7" s="191"/>
      <c r="PND7" s="191"/>
      <c r="PNF7" s="191"/>
      <c r="PNG7" s="191"/>
      <c r="PNH7" s="191"/>
      <c r="PNJ7" s="191"/>
      <c r="PNK7" s="191"/>
      <c r="PNL7" s="191"/>
      <c r="PNN7" s="191"/>
      <c r="PNO7" s="191"/>
      <c r="PNP7" s="191"/>
      <c r="PNR7" s="191"/>
      <c r="PNS7" s="191"/>
      <c r="PNT7" s="191"/>
      <c r="PNV7" s="191"/>
      <c r="PNW7" s="191"/>
      <c r="PNX7" s="191"/>
      <c r="PNZ7" s="191"/>
      <c r="POA7" s="191"/>
      <c r="POB7" s="191"/>
      <c r="POD7" s="191"/>
      <c r="POE7" s="191"/>
      <c r="POF7" s="191"/>
      <c r="POH7" s="191"/>
      <c r="POI7" s="191"/>
      <c r="POJ7" s="191"/>
      <c r="POL7" s="191"/>
      <c r="POM7" s="191"/>
      <c r="PON7" s="191"/>
      <c r="POP7" s="191"/>
      <c r="POQ7" s="191"/>
      <c r="POR7" s="191"/>
      <c r="POT7" s="191"/>
      <c r="POU7" s="191"/>
      <c r="POV7" s="191"/>
      <c r="POX7" s="191"/>
      <c r="POY7" s="191"/>
      <c r="POZ7" s="191"/>
      <c r="PPB7" s="191"/>
      <c r="PPC7" s="191"/>
      <c r="PPD7" s="191"/>
      <c r="PPF7" s="191"/>
      <c r="PPG7" s="191"/>
      <c r="PPH7" s="191"/>
      <c r="PPJ7" s="191"/>
      <c r="PPK7" s="191"/>
      <c r="PPL7" s="191"/>
      <c r="PPN7" s="191"/>
      <c r="PPO7" s="191"/>
      <c r="PPP7" s="191"/>
      <c r="PPR7" s="191"/>
      <c r="PPS7" s="191"/>
      <c r="PPT7" s="191"/>
      <c r="PPV7" s="191"/>
      <c r="PPW7" s="191"/>
      <c r="PPX7" s="191"/>
      <c r="PPZ7" s="191"/>
      <c r="PQA7" s="191"/>
      <c r="PQB7" s="191"/>
      <c r="PQD7" s="191"/>
      <c r="PQE7" s="191"/>
      <c r="PQF7" s="191"/>
      <c r="PQH7" s="191"/>
      <c r="PQI7" s="191"/>
      <c r="PQJ7" s="191"/>
      <c r="PQL7" s="191"/>
      <c r="PQM7" s="191"/>
      <c r="PQN7" s="191"/>
      <c r="PQP7" s="191"/>
      <c r="PQQ7" s="191"/>
      <c r="PQR7" s="191"/>
      <c r="PQT7" s="191"/>
      <c r="PQU7" s="191"/>
      <c r="PQV7" s="191"/>
      <c r="PQX7" s="191"/>
      <c r="PQY7" s="191"/>
      <c r="PQZ7" s="191"/>
      <c r="PRB7" s="191"/>
      <c r="PRC7" s="191"/>
      <c r="PRD7" s="191"/>
      <c r="PRF7" s="191"/>
      <c r="PRG7" s="191"/>
      <c r="PRH7" s="191"/>
      <c r="PRJ7" s="191"/>
      <c r="PRK7" s="191"/>
      <c r="PRL7" s="191"/>
      <c r="PRN7" s="191"/>
      <c r="PRO7" s="191"/>
      <c r="PRP7" s="191"/>
      <c r="PRR7" s="191"/>
      <c r="PRS7" s="191"/>
      <c r="PRT7" s="191"/>
      <c r="PRV7" s="191"/>
      <c r="PRW7" s="191"/>
      <c r="PRX7" s="191"/>
      <c r="PRZ7" s="191"/>
      <c r="PSA7" s="191"/>
      <c r="PSB7" s="191"/>
      <c r="PSD7" s="191"/>
      <c r="PSE7" s="191"/>
      <c r="PSF7" s="191"/>
      <c r="PSH7" s="191"/>
      <c r="PSI7" s="191"/>
      <c r="PSJ7" s="191"/>
      <c r="PSL7" s="191"/>
      <c r="PSM7" s="191"/>
      <c r="PSN7" s="191"/>
      <c r="PSP7" s="191"/>
      <c r="PSQ7" s="191"/>
      <c r="PSR7" s="191"/>
      <c r="PST7" s="191"/>
      <c r="PSU7" s="191"/>
      <c r="PSV7" s="191"/>
      <c r="PSX7" s="191"/>
      <c r="PSY7" s="191"/>
      <c r="PSZ7" s="191"/>
      <c r="PTB7" s="191"/>
      <c r="PTC7" s="191"/>
      <c r="PTD7" s="191"/>
      <c r="PTF7" s="191"/>
      <c r="PTG7" s="191"/>
      <c r="PTH7" s="191"/>
      <c r="PTJ7" s="191"/>
      <c r="PTK7" s="191"/>
      <c r="PTL7" s="191"/>
      <c r="PTN7" s="191"/>
      <c r="PTO7" s="191"/>
      <c r="PTP7" s="191"/>
      <c r="PTR7" s="191"/>
      <c r="PTS7" s="191"/>
      <c r="PTT7" s="191"/>
      <c r="PTV7" s="191"/>
      <c r="PTW7" s="191"/>
      <c r="PTX7" s="191"/>
      <c r="PTZ7" s="191"/>
      <c r="PUA7" s="191"/>
      <c r="PUB7" s="191"/>
      <c r="PUD7" s="191"/>
      <c r="PUE7" s="191"/>
      <c r="PUF7" s="191"/>
      <c r="PUH7" s="191"/>
      <c r="PUI7" s="191"/>
      <c r="PUJ7" s="191"/>
      <c r="PUL7" s="191"/>
      <c r="PUM7" s="191"/>
      <c r="PUN7" s="191"/>
      <c r="PUP7" s="191"/>
      <c r="PUQ7" s="191"/>
      <c r="PUR7" s="191"/>
      <c r="PUT7" s="191"/>
      <c r="PUU7" s="191"/>
      <c r="PUV7" s="191"/>
      <c r="PUX7" s="191"/>
      <c r="PUY7" s="191"/>
      <c r="PUZ7" s="191"/>
      <c r="PVB7" s="191"/>
      <c r="PVC7" s="191"/>
      <c r="PVD7" s="191"/>
      <c r="PVF7" s="191"/>
      <c r="PVG7" s="191"/>
      <c r="PVH7" s="191"/>
      <c r="PVJ7" s="191"/>
      <c r="PVK7" s="191"/>
      <c r="PVL7" s="191"/>
      <c r="PVN7" s="191"/>
      <c r="PVO7" s="191"/>
      <c r="PVP7" s="191"/>
      <c r="PVR7" s="191"/>
      <c r="PVS7" s="191"/>
      <c r="PVT7" s="191"/>
      <c r="PVV7" s="191"/>
      <c r="PVW7" s="191"/>
      <c r="PVX7" s="191"/>
      <c r="PVZ7" s="191"/>
      <c r="PWA7" s="191"/>
      <c r="PWB7" s="191"/>
      <c r="PWD7" s="191"/>
      <c r="PWE7" s="191"/>
      <c r="PWF7" s="191"/>
      <c r="PWH7" s="191"/>
      <c r="PWI7" s="191"/>
      <c r="PWJ7" s="191"/>
      <c r="PWL7" s="191"/>
      <c r="PWM7" s="191"/>
      <c r="PWN7" s="191"/>
      <c r="PWP7" s="191"/>
      <c r="PWQ7" s="191"/>
      <c r="PWR7" s="191"/>
      <c r="PWT7" s="191"/>
      <c r="PWU7" s="191"/>
      <c r="PWV7" s="191"/>
      <c r="PWX7" s="191"/>
      <c r="PWY7" s="191"/>
      <c r="PWZ7" s="191"/>
      <c r="PXB7" s="191"/>
      <c r="PXC7" s="191"/>
      <c r="PXD7" s="191"/>
      <c r="PXF7" s="191"/>
      <c r="PXG7" s="191"/>
      <c r="PXH7" s="191"/>
      <c r="PXJ7" s="191"/>
      <c r="PXK7" s="191"/>
      <c r="PXL7" s="191"/>
      <c r="PXN7" s="191"/>
      <c r="PXO7" s="191"/>
      <c r="PXP7" s="191"/>
      <c r="PXR7" s="191"/>
      <c r="PXS7" s="191"/>
      <c r="PXT7" s="191"/>
      <c r="PXV7" s="191"/>
      <c r="PXW7" s="191"/>
      <c r="PXX7" s="191"/>
      <c r="PXZ7" s="191"/>
      <c r="PYA7" s="191"/>
      <c r="PYB7" s="191"/>
      <c r="PYD7" s="191"/>
      <c r="PYE7" s="191"/>
      <c r="PYF7" s="191"/>
      <c r="PYH7" s="191"/>
      <c r="PYI7" s="191"/>
      <c r="PYJ7" s="191"/>
      <c r="PYL7" s="191"/>
      <c r="PYM7" s="191"/>
      <c r="PYN7" s="191"/>
      <c r="PYP7" s="191"/>
      <c r="PYQ7" s="191"/>
      <c r="PYR7" s="191"/>
      <c r="PYT7" s="191"/>
      <c r="PYU7" s="191"/>
      <c r="PYV7" s="191"/>
      <c r="PYX7" s="191"/>
      <c r="PYY7" s="191"/>
      <c r="PYZ7" s="191"/>
      <c r="PZB7" s="191"/>
      <c r="PZC7" s="191"/>
      <c r="PZD7" s="191"/>
      <c r="PZF7" s="191"/>
      <c r="PZG7" s="191"/>
      <c r="PZH7" s="191"/>
      <c r="PZJ7" s="191"/>
      <c r="PZK7" s="191"/>
      <c r="PZL7" s="191"/>
      <c r="PZN7" s="191"/>
      <c r="PZO7" s="191"/>
      <c r="PZP7" s="191"/>
      <c r="PZR7" s="191"/>
      <c r="PZS7" s="191"/>
      <c r="PZT7" s="191"/>
      <c r="PZV7" s="191"/>
      <c r="PZW7" s="191"/>
      <c r="PZX7" s="191"/>
      <c r="PZZ7" s="191"/>
      <c r="QAA7" s="191"/>
      <c r="QAB7" s="191"/>
      <c r="QAD7" s="191"/>
      <c r="QAE7" s="191"/>
      <c r="QAF7" s="191"/>
      <c r="QAH7" s="191"/>
      <c r="QAI7" s="191"/>
      <c r="QAJ7" s="191"/>
      <c r="QAL7" s="191"/>
      <c r="QAM7" s="191"/>
      <c r="QAN7" s="191"/>
      <c r="QAP7" s="191"/>
      <c r="QAQ7" s="191"/>
      <c r="QAR7" s="191"/>
      <c r="QAT7" s="191"/>
      <c r="QAU7" s="191"/>
      <c r="QAV7" s="191"/>
      <c r="QAX7" s="191"/>
      <c r="QAY7" s="191"/>
      <c r="QAZ7" s="191"/>
      <c r="QBB7" s="191"/>
      <c r="QBC7" s="191"/>
      <c r="QBD7" s="191"/>
      <c r="QBF7" s="191"/>
      <c r="QBG7" s="191"/>
      <c r="QBH7" s="191"/>
      <c r="QBJ7" s="191"/>
      <c r="QBK7" s="191"/>
      <c r="QBL7" s="191"/>
      <c r="QBN7" s="191"/>
      <c r="QBO7" s="191"/>
      <c r="QBP7" s="191"/>
      <c r="QBR7" s="191"/>
      <c r="QBS7" s="191"/>
      <c r="QBT7" s="191"/>
      <c r="QBV7" s="191"/>
      <c r="QBW7" s="191"/>
      <c r="QBX7" s="191"/>
      <c r="QBZ7" s="191"/>
      <c r="QCA7" s="191"/>
      <c r="QCB7" s="191"/>
      <c r="QCD7" s="191"/>
      <c r="QCE7" s="191"/>
      <c r="QCF7" s="191"/>
      <c r="QCH7" s="191"/>
      <c r="QCI7" s="191"/>
      <c r="QCJ7" s="191"/>
      <c r="QCL7" s="191"/>
      <c r="QCM7" s="191"/>
      <c r="QCN7" s="191"/>
      <c r="QCP7" s="191"/>
      <c r="QCQ7" s="191"/>
      <c r="QCR7" s="191"/>
      <c r="QCT7" s="191"/>
      <c r="QCU7" s="191"/>
      <c r="QCV7" s="191"/>
      <c r="QCX7" s="191"/>
      <c r="QCY7" s="191"/>
      <c r="QCZ7" s="191"/>
      <c r="QDB7" s="191"/>
      <c r="QDC7" s="191"/>
      <c r="QDD7" s="191"/>
      <c r="QDF7" s="191"/>
      <c r="QDG7" s="191"/>
      <c r="QDH7" s="191"/>
      <c r="QDJ7" s="191"/>
      <c r="QDK7" s="191"/>
      <c r="QDL7" s="191"/>
      <c r="QDN7" s="191"/>
      <c r="QDO7" s="191"/>
      <c r="QDP7" s="191"/>
      <c r="QDR7" s="191"/>
      <c r="QDS7" s="191"/>
      <c r="QDT7" s="191"/>
      <c r="QDV7" s="191"/>
      <c r="QDW7" s="191"/>
      <c r="QDX7" s="191"/>
      <c r="QDZ7" s="191"/>
      <c r="QEA7" s="191"/>
      <c r="QEB7" s="191"/>
      <c r="QED7" s="191"/>
      <c r="QEE7" s="191"/>
      <c r="QEF7" s="191"/>
      <c r="QEH7" s="191"/>
      <c r="QEI7" s="191"/>
      <c r="QEJ7" s="191"/>
      <c r="QEL7" s="191"/>
      <c r="QEM7" s="191"/>
      <c r="QEN7" s="191"/>
      <c r="QEP7" s="191"/>
      <c r="QEQ7" s="191"/>
      <c r="QER7" s="191"/>
      <c r="QET7" s="191"/>
      <c r="QEU7" s="191"/>
      <c r="QEV7" s="191"/>
      <c r="QEX7" s="191"/>
      <c r="QEY7" s="191"/>
      <c r="QEZ7" s="191"/>
      <c r="QFB7" s="191"/>
      <c r="QFC7" s="191"/>
      <c r="QFD7" s="191"/>
      <c r="QFF7" s="191"/>
      <c r="QFG7" s="191"/>
      <c r="QFH7" s="191"/>
      <c r="QFJ7" s="191"/>
      <c r="QFK7" s="191"/>
      <c r="QFL7" s="191"/>
      <c r="QFN7" s="191"/>
      <c r="QFO7" s="191"/>
      <c r="QFP7" s="191"/>
      <c r="QFR7" s="191"/>
      <c r="QFS7" s="191"/>
      <c r="QFT7" s="191"/>
      <c r="QFV7" s="191"/>
      <c r="QFW7" s="191"/>
      <c r="QFX7" s="191"/>
      <c r="QFZ7" s="191"/>
      <c r="QGA7" s="191"/>
      <c r="QGB7" s="191"/>
      <c r="QGD7" s="191"/>
      <c r="QGE7" s="191"/>
      <c r="QGF7" s="191"/>
      <c r="QGH7" s="191"/>
      <c r="QGI7" s="191"/>
      <c r="QGJ7" s="191"/>
      <c r="QGL7" s="191"/>
      <c r="QGM7" s="191"/>
      <c r="QGN7" s="191"/>
      <c r="QGP7" s="191"/>
      <c r="QGQ7" s="191"/>
      <c r="QGR7" s="191"/>
      <c r="QGT7" s="191"/>
      <c r="QGU7" s="191"/>
      <c r="QGV7" s="191"/>
      <c r="QGX7" s="191"/>
      <c r="QGY7" s="191"/>
      <c r="QGZ7" s="191"/>
      <c r="QHB7" s="191"/>
      <c r="QHC7" s="191"/>
      <c r="QHD7" s="191"/>
      <c r="QHF7" s="191"/>
      <c r="QHG7" s="191"/>
      <c r="QHH7" s="191"/>
      <c r="QHJ7" s="191"/>
      <c r="QHK7" s="191"/>
      <c r="QHL7" s="191"/>
      <c r="QHN7" s="191"/>
      <c r="QHO7" s="191"/>
      <c r="QHP7" s="191"/>
      <c r="QHR7" s="191"/>
      <c r="QHS7" s="191"/>
      <c r="QHT7" s="191"/>
      <c r="QHV7" s="191"/>
      <c r="QHW7" s="191"/>
      <c r="QHX7" s="191"/>
      <c r="QHZ7" s="191"/>
      <c r="QIA7" s="191"/>
      <c r="QIB7" s="191"/>
      <c r="QID7" s="191"/>
      <c r="QIE7" s="191"/>
      <c r="QIF7" s="191"/>
      <c r="QIH7" s="191"/>
      <c r="QII7" s="191"/>
      <c r="QIJ7" s="191"/>
      <c r="QIL7" s="191"/>
      <c r="QIM7" s="191"/>
      <c r="QIN7" s="191"/>
      <c r="QIP7" s="191"/>
      <c r="QIQ7" s="191"/>
      <c r="QIR7" s="191"/>
      <c r="QIT7" s="191"/>
      <c r="QIU7" s="191"/>
      <c r="QIV7" s="191"/>
      <c r="QIX7" s="191"/>
      <c r="QIY7" s="191"/>
      <c r="QIZ7" s="191"/>
      <c r="QJB7" s="191"/>
      <c r="QJC7" s="191"/>
      <c r="QJD7" s="191"/>
      <c r="QJF7" s="191"/>
      <c r="QJG7" s="191"/>
      <c r="QJH7" s="191"/>
      <c r="QJJ7" s="191"/>
      <c r="QJK7" s="191"/>
      <c r="QJL7" s="191"/>
      <c r="QJN7" s="191"/>
      <c r="QJO7" s="191"/>
      <c r="QJP7" s="191"/>
      <c r="QJR7" s="191"/>
      <c r="QJS7" s="191"/>
      <c r="QJT7" s="191"/>
      <c r="QJV7" s="191"/>
      <c r="QJW7" s="191"/>
      <c r="QJX7" s="191"/>
      <c r="QJZ7" s="191"/>
      <c r="QKA7" s="191"/>
      <c r="QKB7" s="191"/>
      <c r="QKD7" s="191"/>
      <c r="QKE7" s="191"/>
      <c r="QKF7" s="191"/>
      <c r="QKH7" s="191"/>
      <c r="QKI7" s="191"/>
      <c r="QKJ7" s="191"/>
      <c r="QKL7" s="191"/>
      <c r="QKM7" s="191"/>
      <c r="QKN7" s="191"/>
      <c r="QKP7" s="191"/>
      <c r="QKQ7" s="191"/>
      <c r="QKR7" s="191"/>
      <c r="QKT7" s="191"/>
      <c r="QKU7" s="191"/>
      <c r="QKV7" s="191"/>
      <c r="QKX7" s="191"/>
      <c r="QKY7" s="191"/>
      <c r="QKZ7" s="191"/>
      <c r="QLB7" s="191"/>
      <c r="QLC7" s="191"/>
      <c r="QLD7" s="191"/>
      <c r="QLF7" s="191"/>
      <c r="QLG7" s="191"/>
      <c r="QLH7" s="191"/>
      <c r="QLJ7" s="191"/>
      <c r="QLK7" s="191"/>
      <c r="QLL7" s="191"/>
      <c r="QLN7" s="191"/>
      <c r="QLO7" s="191"/>
      <c r="QLP7" s="191"/>
      <c r="QLR7" s="191"/>
      <c r="QLS7" s="191"/>
      <c r="QLT7" s="191"/>
      <c r="QLV7" s="191"/>
      <c r="QLW7" s="191"/>
      <c r="QLX7" s="191"/>
      <c r="QLZ7" s="191"/>
      <c r="QMA7" s="191"/>
      <c r="QMB7" s="191"/>
      <c r="QMD7" s="191"/>
      <c r="QME7" s="191"/>
      <c r="QMF7" s="191"/>
      <c r="QMH7" s="191"/>
      <c r="QMI7" s="191"/>
      <c r="QMJ7" s="191"/>
      <c r="QML7" s="191"/>
      <c r="QMM7" s="191"/>
      <c r="QMN7" s="191"/>
      <c r="QMP7" s="191"/>
      <c r="QMQ7" s="191"/>
      <c r="QMR7" s="191"/>
      <c r="QMT7" s="191"/>
      <c r="QMU7" s="191"/>
      <c r="QMV7" s="191"/>
      <c r="QMX7" s="191"/>
      <c r="QMY7" s="191"/>
      <c r="QMZ7" s="191"/>
      <c r="QNB7" s="191"/>
      <c r="QNC7" s="191"/>
      <c r="QND7" s="191"/>
      <c r="QNF7" s="191"/>
      <c r="QNG7" s="191"/>
      <c r="QNH7" s="191"/>
      <c r="QNJ7" s="191"/>
      <c r="QNK7" s="191"/>
      <c r="QNL7" s="191"/>
      <c r="QNN7" s="191"/>
      <c r="QNO7" s="191"/>
      <c r="QNP7" s="191"/>
      <c r="QNR7" s="191"/>
      <c r="QNS7" s="191"/>
      <c r="QNT7" s="191"/>
      <c r="QNV7" s="191"/>
      <c r="QNW7" s="191"/>
      <c r="QNX7" s="191"/>
      <c r="QNZ7" s="191"/>
      <c r="QOA7" s="191"/>
      <c r="QOB7" s="191"/>
      <c r="QOD7" s="191"/>
      <c r="QOE7" s="191"/>
      <c r="QOF7" s="191"/>
      <c r="QOH7" s="191"/>
      <c r="QOI7" s="191"/>
      <c r="QOJ7" s="191"/>
      <c r="QOL7" s="191"/>
      <c r="QOM7" s="191"/>
      <c r="QON7" s="191"/>
      <c r="QOP7" s="191"/>
      <c r="QOQ7" s="191"/>
      <c r="QOR7" s="191"/>
      <c r="QOT7" s="191"/>
      <c r="QOU7" s="191"/>
      <c r="QOV7" s="191"/>
      <c r="QOX7" s="191"/>
      <c r="QOY7" s="191"/>
      <c r="QOZ7" s="191"/>
      <c r="QPB7" s="191"/>
      <c r="QPC7" s="191"/>
      <c r="QPD7" s="191"/>
      <c r="QPF7" s="191"/>
      <c r="QPG7" s="191"/>
      <c r="QPH7" s="191"/>
      <c r="QPJ7" s="191"/>
      <c r="QPK7" s="191"/>
      <c r="QPL7" s="191"/>
      <c r="QPN7" s="191"/>
      <c r="QPO7" s="191"/>
      <c r="QPP7" s="191"/>
      <c r="QPR7" s="191"/>
      <c r="QPS7" s="191"/>
      <c r="QPT7" s="191"/>
      <c r="QPV7" s="191"/>
      <c r="QPW7" s="191"/>
      <c r="QPX7" s="191"/>
      <c r="QPZ7" s="191"/>
      <c r="QQA7" s="191"/>
      <c r="QQB7" s="191"/>
      <c r="QQD7" s="191"/>
      <c r="QQE7" s="191"/>
      <c r="QQF7" s="191"/>
      <c r="QQH7" s="191"/>
      <c r="QQI7" s="191"/>
      <c r="QQJ7" s="191"/>
      <c r="QQL7" s="191"/>
      <c r="QQM7" s="191"/>
      <c r="QQN7" s="191"/>
      <c r="QQP7" s="191"/>
      <c r="QQQ7" s="191"/>
      <c r="QQR7" s="191"/>
      <c r="QQT7" s="191"/>
      <c r="QQU7" s="191"/>
      <c r="QQV7" s="191"/>
      <c r="QQX7" s="191"/>
      <c r="QQY7" s="191"/>
      <c r="QQZ7" s="191"/>
      <c r="QRB7" s="191"/>
      <c r="QRC7" s="191"/>
      <c r="QRD7" s="191"/>
      <c r="QRF7" s="191"/>
      <c r="QRG7" s="191"/>
      <c r="QRH7" s="191"/>
      <c r="QRJ7" s="191"/>
      <c r="QRK7" s="191"/>
      <c r="QRL7" s="191"/>
      <c r="QRN7" s="191"/>
      <c r="QRO7" s="191"/>
      <c r="QRP7" s="191"/>
      <c r="QRR7" s="191"/>
      <c r="QRS7" s="191"/>
      <c r="QRT7" s="191"/>
      <c r="QRV7" s="191"/>
      <c r="QRW7" s="191"/>
      <c r="QRX7" s="191"/>
      <c r="QRZ7" s="191"/>
      <c r="QSA7" s="191"/>
      <c r="QSB7" s="191"/>
      <c r="QSD7" s="191"/>
      <c r="QSE7" s="191"/>
      <c r="QSF7" s="191"/>
      <c r="QSH7" s="191"/>
      <c r="QSI7" s="191"/>
      <c r="QSJ7" s="191"/>
      <c r="QSL7" s="191"/>
      <c r="QSM7" s="191"/>
      <c r="QSN7" s="191"/>
      <c r="QSP7" s="191"/>
      <c r="QSQ7" s="191"/>
      <c r="QSR7" s="191"/>
      <c r="QST7" s="191"/>
      <c r="QSU7" s="191"/>
      <c r="QSV7" s="191"/>
      <c r="QSX7" s="191"/>
      <c r="QSY7" s="191"/>
      <c r="QSZ7" s="191"/>
      <c r="QTB7" s="191"/>
      <c r="QTC7" s="191"/>
      <c r="QTD7" s="191"/>
      <c r="QTF7" s="191"/>
      <c r="QTG7" s="191"/>
      <c r="QTH7" s="191"/>
      <c r="QTJ7" s="191"/>
      <c r="QTK7" s="191"/>
      <c r="QTL7" s="191"/>
      <c r="QTN7" s="191"/>
      <c r="QTO7" s="191"/>
      <c r="QTP7" s="191"/>
      <c r="QTR7" s="191"/>
      <c r="QTS7" s="191"/>
      <c r="QTT7" s="191"/>
      <c r="QTV7" s="191"/>
      <c r="QTW7" s="191"/>
      <c r="QTX7" s="191"/>
      <c r="QTZ7" s="191"/>
      <c r="QUA7" s="191"/>
      <c r="QUB7" s="191"/>
      <c r="QUD7" s="191"/>
      <c r="QUE7" s="191"/>
      <c r="QUF7" s="191"/>
      <c r="QUH7" s="191"/>
      <c r="QUI7" s="191"/>
      <c r="QUJ7" s="191"/>
      <c r="QUL7" s="191"/>
      <c r="QUM7" s="191"/>
      <c r="QUN7" s="191"/>
      <c r="QUP7" s="191"/>
      <c r="QUQ7" s="191"/>
      <c r="QUR7" s="191"/>
      <c r="QUT7" s="191"/>
      <c r="QUU7" s="191"/>
      <c r="QUV7" s="191"/>
      <c r="QUX7" s="191"/>
      <c r="QUY7" s="191"/>
      <c r="QUZ7" s="191"/>
      <c r="QVB7" s="191"/>
      <c r="QVC7" s="191"/>
      <c r="QVD7" s="191"/>
      <c r="QVF7" s="191"/>
      <c r="QVG7" s="191"/>
      <c r="QVH7" s="191"/>
      <c r="QVJ7" s="191"/>
      <c r="QVK7" s="191"/>
      <c r="QVL7" s="191"/>
      <c r="QVN7" s="191"/>
      <c r="QVO7" s="191"/>
      <c r="QVP7" s="191"/>
      <c r="QVR7" s="191"/>
      <c r="QVS7" s="191"/>
      <c r="QVT7" s="191"/>
      <c r="QVV7" s="191"/>
      <c r="QVW7" s="191"/>
      <c r="QVX7" s="191"/>
      <c r="QVZ7" s="191"/>
      <c r="QWA7" s="191"/>
      <c r="QWB7" s="191"/>
      <c r="QWD7" s="191"/>
      <c r="QWE7" s="191"/>
      <c r="QWF7" s="191"/>
      <c r="QWH7" s="191"/>
      <c r="QWI7" s="191"/>
      <c r="QWJ7" s="191"/>
      <c r="QWL7" s="191"/>
      <c r="QWM7" s="191"/>
      <c r="QWN7" s="191"/>
      <c r="QWP7" s="191"/>
      <c r="QWQ7" s="191"/>
      <c r="QWR7" s="191"/>
      <c r="QWT7" s="191"/>
      <c r="QWU7" s="191"/>
      <c r="QWV7" s="191"/>
      <c r="QWX7" s="191"/>
      <c r="QWY7" s="191"/>
      <c r="QWZ7" s="191"/>
      <c r="QXB7" s="191"/>
      <c r="QXC7" s="191"/>
      <c r="QXD7" s="191"/>
      <c r="QXF7" s="191"/>
      <c r="QXG7" s="191"/>
      <c r="QXH7" s="191"/>
      <c r="QXJ7" s="191"/>
      <c r="QXK7" s="191"/>
      <c r="QXL7" s="191"/>
      <c r="QXN7" s="191"/>
      <c r="QXO7" s="191"/>
      <c r="QXP7" s="191"/>
      <c r="QXR7" s="191"/>
      <c r="QXS7" s="191"/>
      <c r="QXT7" s="191"/>
      <c r="QXV7" s="191"/>
      <c r="QXW7" s="191"/>
      <c r="QXX7" s="191"/>
      <c r="QXZ7" s="191"/>
      <c r="QYA7" s="191"/>
      <c r="QYB7" s="191"/>
      <c r="QYD7" s="191"/>
      <c r="QYE7" s="191"/>
      <c r="QYF7" s="191"/>
      <c r="QYH7" s="191"/>
      <c r="QYI7" s="191"/>
      <c r="QYJ7" s="191"/>
      <c r="QYL7" s="191"/>
      <c r="QYM7" s="191"/>
      <c r="QYN7" s="191"/>
      <c r="QYP7" s="191"/>
      <c r="QYQ7" s="191"/>
      <c r="QYR7" s="191"/>
      <c r="QYT7" s="191"/>
      <c r="QYU7" s="191"/>
      <c r="QYV7" s="191"/>
      <c r="QYX7" s="191"/>
      <c r="QYY7" s="191"/>
      <c r="QYZ7" s="191"/>
      <c r="QZB7" s="191"/>
      <c r="QZC7" s="191"/>
      <c r="QZD7" s="191"/>
      <c r="QZF7" s="191"/>
      <c r="QZG7" s="191"/>
      <c r="QZH7" s="191"/>
      <c r="QZJ7" s="191"/>
      <c r="QZK7" s="191"/>
      <c r="QZL7" s="191"/>
      <c r="QZN7" s="191"/>
      <c r="QZO7" s="191"/>
      <c r="QZP7" s="191"/>
      <c r="QZR7" s="191"/>
      <c r="QZS7" s="191"/>
      <c r="QZT7" s="191"/>
      <c r="QZV7" s="191"/>
      <c r="QZW7" s="191"/>
      <c r="QZX7" s="191"/>
      <c r="QZZ7" s="191"/>
      <c r="RAA7" s="191"/>
      <c r="RAB7" s="191"/>
      <c r="RAD7" s="191"/>
      <c r="RAE7" s="191"/>
      <c r="RAF7" s="191"/>
      <c r="RAH7" s="191"/>
      <c r="RAI7" s="191"/>
      <c r="RAJ7" s="191"/>
      <c r="RAL7" s="191"/>
      <c r="RAM7" s="191"/>
      <c r="RAN7" s="191"/>
      <c r="RAP7" s="191"/>
      <c r="RAQ7" s="191"/>
      <c r="RAR7" s="191"/>
      <c r="RAT7" s="191"/>
      <c r="RAU7" s="191"/>
      <c r="RAV7" s="191"/>
      <c r="RAX7" s="191"/>
      <c r="RAY7" s="191"/>
      <c r="RAZ7" s="191"/>
      <c r="RBB7" s="191"/>
      <c r="RBC7" s="191"/>
      <c r="RBD7" s="191"/>
      <c r="RBF7" s="191"/>
      <c r="RBG7" s="191"/>
      <c r="RBH7" s="191"/>
      <c r="RBJ7" s="191"/>
      <c r="RBK7" s="191"/>
      <c r="RBL7" s="191"/>
      <c r="RBN7" s="191"/>
      <c r="RBO7" s="191"/>
      <c r="RBP7" s="191"/>
      <c r="RBR7" s="191"/>
      <c r="RBS7" s="191"/>
      <c r="RBT7" s="191"/>
      <c r="RBV7" s="191"/>
      <c r="RBW7" s="191"/>
      <c r="RBX7" s="191"/>
      <c r="RBZ7" s="191"/>
      <c r="RCA7" s="191"/>
      <c r="RCB7" s="191"/>
      <c r="RCD7" s="191"/>
      <c r="RCE7" s="191"/>
      <c r="RCF7" s="191"/>
      <c r="RCH7" s="191"/>
      <c r="RCI7" s="191"/>
      <c r="RCJ7" s="191"/>
      <c r="RCL7" s="191"/>
      <c r="RCM7" s="191"/>
      <c r="RCN7" s="191"/>
      <c r="RCP7" s="191"/>
      <c r="RCQ7" s="191"/>
      <c r="RCR7" s="191"/>
      <c r="RCT7" s="191"/>
      <c r="RCU7" s="191"/>
      <c r="RCV7" s="191"/>
      <c r="RCX7" s="191"/>
      <c r="RCY7" s="191"/>
      <c r="RCZ7" s="191"/>
      <c r="RDB7" s="191"/>
      <c r="RDC7" s="191"/>
      <c r="RDD7" s="191"/>
      <c r="RDF7" s="191"/>
      <c r="RDG7" s="191"/>
      <c r="RDH7" s="191"/>
      <c r="RDJ7" s="191"/>
      <c r="RDK7" s="191"/>
      <c r="RDL7" s="191"/>
      <c r="RDN7" s="191"/>
      <c r="RDO7" s="191"/>
      <c r="RDP7" s="191"/>
      <c r="RDR7" s="191"/>
      <c r="RDS7" s="191"/>
      <c r="RDT7" s="191"/>
      <c r="RDV7" s="191"/>
      <c r="RDW7" s="191"/>
      <c r="RDX7" s="191"/>
      <c r="RDZ7" s="191"/>
      <c r="REA7" s="191"/>
      <c r="REB7" s="191"/>
      <c r="RED7" s="191"/>
      <c r="REE7" s="191"/>
      <c r="REF7" s="191"/>
      <c r="REH7" s="191"/>
      <c r="REI7" s="191"/>
      <c r="REJ7" s="191"/>
      <c r="REL7" s="191"/>
      <c r="REM7" s="191"/>
      <c r="REN7" s="191"/>
      <c r="REP7" s="191"/>
      <c r="REQ7" s="191"/>
      <c r="RER7" s="191"/>
      <c r="RET7" s="191"/>
      <c r="REU7" s="191"/>
      <c r="REV7" s="191"/>
      <c r="REX7" s="191"/>
      <c r="REY7" s="191"/>
      <c r="REZ7" s="191"/>
      <c r="RFB7" s="191"/>
      <c r="RFC7" s="191"/>
      <c r="RFD7" s="191"/>
      <c r="RFF7" s="191"/>
      <c r="RFG7" s="191"/>
      <c r="RFH7" s="191"/>
      <c r="RFJ7" s="191"/>
      <c r="RFK7" s="191"/>
      <c r="RFL7" s="191"/>
      <c r="RFN7" s="191"/>
      <c r="RFO7" s="191"/>
      <c r="RFP7" s="191"/>
      <c r="RFR7" s="191"/>
      <c r="RFS7" s="191"/>
      <c r="RFT7" s="191"/>
      <c r="RFV7" s="191"/>
      <c r="RFW7" s="191"/>
      <c r="RFX7" s="191"/>
      <c r="RFZ7" s="191"/>
      <c r="RGA7" s="191"/>
      <c r="RGB7" s="191"/>
      <c r="RGD7" s="191"/>
      <c r="RGE7" s="191"/>
      <c r="RGF7" s="191"/>
      <c r="RGH7" s="191"/>
      <c r="RGI7" s="191"/>
      <c r="RGJ7" s="191"/>
      <c r="RGL7" s="191"/>
      <c r="RGM7" s="191"/>
      <c r="RGN7" s="191"/>
      <c r="RGP7" s="191"/>
      <c r="RGQ7" s="191"/>
      <c r="RGR7" s="191"/>
      <c r="RGT7" s="191"/>
      <c r="RGU7" s="191"/>
      <c r="RGV7" s="191"/>
      <c r="RGX7" s="191"/>
      <c r="RGY7" s="191"/>
      <c r="RGZ7" s="191"/>
      <c r="RHB7" s="191"/>
      <c r="RHC7" s="191"/>
      <c r="RHD7" s="191"/>
      <c r="RHF7" s="191"/>
      <c r="RHG7" s="191"/>
      <c r="RHH7" s="191"/>
      <c r="RHJ7" s="191"/>
      <c r="RHK7" s="191"/>
      <c r="RHL7" s="191"/>
      <c r="RHN7" s="191"/>
      <c r="RHO7" s="191"/>
      <c r="RHP7" s="191"/>
      <c r="RHR7" s="191"/>
      <c r="RHS7" s="191"/>
      <c r="RHT7" s="191"/>
      <c r="RHV7" s="191"/>
      <c r="RHW7" s="191"/>
      <c r="RHX7" s="191"/>
      <c r="RHZ7" s="191"/>
      <c r="RIA7" s="191"/>
      <c r="RIB7" s="191"/>
      <c r="RID7" s="191"/>
      <c r="RIE7" s="191"/>
      <c r="RIF7" s="191"/>
      <c r="RIH7" s="191"/>
      <c r="RII7" s="191"/>
      <c r="RIJ7" s="191"/>
      <c r="RIL7" s="191"/>
      <c r="RIM7" s="191"/>
      <c r="RIN7" s="191"/>
      <c r="RIP7" s="191"/>
      <c r="RIQ7" s="191"/>
      <c r="RIR7" s="191"/>
      <c r="RIT7" s="191"/>
      <c r="RIU7" s="191"/>
      <c r="RIV7" s="191"/>
      <c r="RIX7" s="191"/>
      <c r="RIY7" s="191"/>
      <c r="RIZ7" s="191"/>
      <c r="RJB7" s="191"/>
      <c r="RJC7" s="191"/>
      <c r="RJD7" s="191"/>
      <c r="RJF7" s="191"/>
      <c r="RJG7" s="191"/>
      <c r="RJH7" s="191"/>
      <c r="RJJ7" s="191"/>
      <c r="RJK7" s="191"/>
      <c r="RJL7" s="191"/>
      <c r="RJN7" s="191"/>
      <c r="RJO7" s="191"/>
      <c r="RJP7" s="191"/>
      <c r="RJR7" s="191"/>
      <c r="RJS7" s="191"/>
      <c r="RJT7" s="191"/>
      <c r="RJV7" s="191"/>
      <c r="RJW7" s="191"/>
      <c r="RJX7" s="191"/>
      <c r="RJZ7" s="191"/>
      <c r="RKA7" s="191"/>
      <c r="RKB7" s="191"/>
      <c r="RKD7" s="191"/>
      <c r="RKE7" s="191"/>
      <c r="RKF7" s="191"/>
      <c r="RKH7" s="191"/>
      <c r="RKI7" s="191"/>
      <c r="RKJ7" s="191"/>
      <c r="RKL7" s="191"/>
      <c r="RKM7" s="191"/>
      <c r="RKN7" s="191"/>
      <c r="RKP7" s="191"/>
      <c r="RKQ7" s="191"/>
      <c r="RKR7" s="191"/>
      <c r="RKT7" s="191"/>
      <c r="RKU7" s="191"/>
      <c r="RKV7" s="191"/>
      <c r="RKX7" s="191"/>
      <c r="RKY7" s="191"/>
      <c r="RKZ7" s="191"/>
      <c r="RLB7" s="191"/>
      <c r="RLC7" s="191"/>
      <c r="RLD7" s="191"/>
      <c r="RLF7" s="191"/>
      <c r="RLG7" s="191"/>
      <c r="RLH7" s="191"/>
      <c r="RLJ7" s="191"/>
      <c r="RLK7" s="191"/>
      <c r="RLL7" s="191"/>
      <c r="RLN7" s="191"/>
      <c r="RLO7" s="191"/>
      <c r="RLP7" s="191"/>
      <c r="RLR7" s="191"/>
      <c r="RLS7" s="191"/>
      <c r="RLT7" s="191"/>
      <c r="RLV7" s="191"/>
      <c r="RLW7" s="191"/>
      <c r="RLX7" s="191"/>
      <c r="RLZ7" s="191"/>
      <c r="RMA7" s="191"/>
      <c r="RMB7" s="191"/>
      <c r="RMD7" s="191"/>
      <c r="RME7" s="191"/>
      <c r="RMF7" s="191"/>
      <c r="RMH7" s="191"/>
      <c r="RMI7" s="191"/>
      <c r="RMJ7" s="191"/>
      <c r="RML7" s="191"/>
      <c r="RMM7" s="191"/>
      <c r="RMN7" s="191"/>
      <c r="RMP7" s="191"/>
      <c r="RMQ7" s="191"/>
      <c r="RMR7" s="191"/>
      <c r="RMT7" s="191"/>
      <c r="RMU7" s="191"/>
      <c r="RMV7" s="191"/>
      <c r="RMX7" s="191"/>
      <c r="RMY7" s="191"/>
      <c r="RMZ7" s="191"/>
      <c r="RNB7" s="191"/>
      <c r="RNC7" s="191"/>
      <c r="RND7" s="191"/>
      <c r="RNF7" s="191"/>
      <c r="RNG7" s="191"/>
      <c r="RNH7" s="191"/>
      <c r="RNJ7" s="191"/>
      <c r="RNK7" s="191"/>
      <c r="RNL7" s="191"/>
      <c r="RNN7" s="191"/>
      <c r="RNO7" s="191"/>
      <c r="RNP7" s="191"/>
      <c r="RNR7" s="191"/>
      <c r="RNS7" s="191"/>
      <c r="RNT7" s="191"/>
      <c r="RNV7" s="191"/>
      <c r="RNW7" s="191"/>
      <c r="RNX7" s="191"/>
      <c r="RNZ7" s="191"/>
      <c r="ROA7" s="191"/>
      <c r="ROB7" s="191"/>
      <c r="ROD7" s="191"/>
      <c r="ROE7" s="191"/>
      <c r="ROF7" s="191"/>
      <c r="ROH7" s="191"/>
      <c r="ROI7" s="191"/>
      <c r="ROJ7" s="191"/>
      <c r="ROL7" s="191"/>
      <c r="ROM7" s="191"/>
      <c r="RON7" s="191"/>
      <c r="ROP7" s="191"/>
      <c r="ROQ7" s="191"/>
      <c r="ROR7" s="191"/>
      <c r="ROT7" s="191"/>
      <c r="ROU7" s="191"/>
      <c r="ROV7" s="191"/>
      <c r="ROX7" s="191"/>
      <c r="ROY7" s="191"/>
      <c r="ROZ7" s="191"/>
      <c r="RPB7" s="191"/>
      <c r="RPC7" s="191"/>
      <c r="RPD7" s="191"/>
      <c r="RPF7" s="191"/>
      <c r="RPG7" s="191"/>
      <c r="RPH7" s="191"/>
      <c r="RPJ7" s="191"/>
      <c r="RPK7" s="191"/>
      <c r="RPL7" s="191"/>
      <c r="RPN7" s="191"/>
      <c r="RPO7" s="191"/>
      <c r="RPP7" s="191"/>
      <c r="RPR7" s="191"/>
      <c r="RPS7" s="191"/>
      <c r="RPT7" s="191"/>
      <c r="RPV7" s="191"/>
      <c r="RPW7" s="191"/>
      <c r="RPX7" s="191"/>
      <c r="RPZ7" s="191"/>
      <c r="RQA7" s="191"/>
      <c r="RQB7" s="191"/>
      <c r="RQD7" s="191"/>
      <c r="RQE7" s="191"/>
      <c r="RQF7" s="191"/>
      <c r="RQH7" s="191"/>
      <c r="RQI7" s="191"/>
      <c r="RQJ7" s="191"/>
      <c r="RQL7" s="191"/>
      <c r="RQM7" s="191"/>
      <c r="RQN7" s="191"/>
      <c r="RQP7" s="191"/>
      <c r="RQQ7" s="191"/>
      <c r="RQR7" s="191"/>
      <c r="RQT7" s="191"/>
      <c r="RQU7" s="191"/>
      <c r="RQV7" s="191"/>
      <c r="RQX7" s="191"/>
      <c r="RQY7" s="191"/>
      <c r="RQZ7" s="191"/>
      <c r="RRB7" s="191"/>
      <c r="RRC7" s="191"/>
      <c r="RRD7" s="191"/>
      <c r="RRF7" s="191"/>
      <c r="RRG7" s="191"/>
      <c r="RRH7" s="191"/>
      <c r="RRJ7" s="191"/>
      <c r="RRK7" s="191"/>
      <c r="RRL7" s="191"/>
      <c r="RRN7" s="191"/>
      <c r="RRO7" s="191"/>
      <c r="RRP7" s="191"/>
      <c r="RRR7" s="191"/>
      <c r="RRS7" s="191"/>
      <c r="RRT7" s="191"/>
      <c r="RRV7" s="191"/>
      <c r="RRW7" s="191"/>
      <c r="RRX7" s="191"/>
      <c r="RRZ7" s="191"/>
      <c r="RSA7" s="191"/>
      <c r="RSB7" s="191"/>
      <c r="RSD7" s="191"/>
      <c r="RSE7" s="191"/>
      <c r="RSF7" s="191"/>
      <c r="RSH7" s="191"/>
      <c r="RSI7" s="191"/>
      <c r="RSJ7" s="191"/>
      <c r="RSL7" s="191"/>
      <c r="RSM7" s="191"/>
      <c r="RSN7" s="191"/>
      <c r="RSP7" s="191"/>
      <c r="RSQ7" s="191"/>
      <c r="RSR7" s="191"/>
      <c r="RST7" s="191"/>
      <c r="RSU7" s="191"/>
      <c r="RSV7" s="191"/>
      <c r="RSX7" s="191"/>
      <c r="RSY7" s="191"/>
      <c r="RSZ7" s="191"/>
      <c r="RTB7" s="191"/>
      <c r="RTC7" s="191"/>
      <c r="RTD7" s="191"/>
      <c r="RTF7" s="191"/>
      <c r="RTG7" s="191"/>
      <c r="RTH7" s="191"/>
      <c r="RTJ7" s="191"/>
      <c r="RTK7" s="191"/>
      <c r="RTL7" s="191"/>
      <c r="RTN7" s="191"/>
      <c r="RTO7" s="191"/>
      <c r="RTP7" s="191"/>
      <c r="RTR7" s="191"/>
      <c r="RTS7" s="191"/>
      <c r="RTT7" s="191"/>
      <c r="RTV7" s="191"/>
      <c r="RTW7" s="191"/>
      <c r="RTX7" s="191"/>
      <c r="RTZ7" s="191"/>
      <c r="RUA7" s="191"/>
      <c r="RUB7" s="191"/>
      <c r="RUD7" s="191"/>
      <c r="RUE7" s="191"/>
      <c r="RUF7" s="191"/>
      <c r="RUH7" s="191"/>
      <c r="RUI7" s="191"/>
      <c r="RUJ7" s="191"/>
      <c r="RUL7" s="191"/>
      <c r="RUM7" s="191"/>
      <c r="RUN7" s="191"/>
      <c r="RUP7" s="191"/>
      <c r="RUQ7" s="191"/>
      <c r="RUR7" s="191"/>
      <c r="RUT7" s="191"/>
      <c r="RUU7" s="191"/>
      <c r="RUV7" s="191"/>
      <c r="RUX7" s="191"/>
      <c r="RUY7" s="191"/>
      <c r="RUZ7" s="191"/>
      <c r="RVB7" s="191"/>
      <c r="RVC7" s="191"/>
      <c r="RVD7" s="191"/>
      <c r="RVF7" s="191"/>
      <c r="RVG7" s="191"/>
      <c r="RVH7" s="191"/>
      <c r="RVJ7" s="191"/>
      <c r="RVK7" s="191"/>
      <c r="RVL7" s="191"/>
      <c r="RVN7" s="191"/>
      <c r="RVO7" s="191"/>
      <c r="RVP7" s="191"/>
      <c r="RVR7" s="191"/>
      <c r="RVS7" s="191"/>
      <c r="RVT7" s="191"/>
      <c r="RVV7" s="191"/>
      <c r="RVW7" s="191"/>
      <c r="RVX7" s="191"/>
      <c r="RVZ7" s="191"/>
      <c r="RWA7" s="191"/>
      <c r="RWB7" s="191"/>
      <c r="RWD7" s="191"/>
      <c r="RWE7" s="191"/>
      <c r="RWF7" s="191"/>
      <c r="RWH7" s="191"/>
      <c r="RWI7" s="191"/>
      <c r="RWJ7" s="191"/>
      <c r="RWL7" s="191"/>
      <c r="RWM7" s="191"/>
      <c r="RWN7" s="191"/>
      <c r="RWP7" s="191"/>
      <c r="RWQ7" s="191"/>
      <c r="RWR7" s="191"/>
      <c r="RWT7" s="191"/>
      <c r="RWU7" s="191"/>
      <c r="RWV7" s="191"/>
      <c r="RWX7" s="191"/>
      <c r="RWY7" s="191"/>
      <c r="RWZ7" s="191"/>
      <c r="RXB7" s="191"/>
      <c r="RXC7" s="191"/>
      <c r="RXD7" s="191"/>
      <c r="RXF7" s="191"/>
      <c r="RXG7" s="191"/>
      <c r="RXH7" s="191"/>
      <c r="RXJ7" s="191"/>
      <c r="RXK7" s="191"/>
      <c r="RXL7" s="191"/>
      <c r="RXN7" s="191"/>
      <c r="RXO7" s="191"/>
      <c r="RXP7" s="191"/>
      <c r="RXR7" s="191"/>
      <c r="RXS7" s="191"/>
      <c r="RXT7" s="191"/>
      <c r="RXV7" s="191"/>
      <c r="RXW7" s="191"/>
      <c r="RXX7" s="191"/>
      <c r="RXZ7" s="191"/>
      <c r="RYA7" s="191"/>
      <c r="RYB7" s="191"/>
      <c r="RYD7" s="191"/>
      <c r="RYE7" s="191"/>
      <c r="RYF7" s="191"/>
      <c r="RYH7" s="191"/>
      <c r="RYI7" s="191"/>
      <c r="RYJ7" s="191"/>
      <c r="RYL7" s="191"/>
      <c r="RYM7" s="191"/>
      <c r="RYN7" s="191"/>
      <c r="RYP7" s="191"/>
      <c r="RYQ7" s="191"/>
      <c r="RYR7" s="191"/>
      <c r="RYT7" s="191"/>
      <c r="RYU7" s="191"/>
      <c r="RYV7" s="191"/>
      <c r="RYX7" s="191"/>
      <c r="RYY7" s="191"/>
      <c r="RYZ7" s="191"/>
      <c r="RZB7" s="191"/>
      <c r="RZC7" s="191"/>
      <c r="RZD7" s="191"/>
      <c r="RZF7" s="191"/>
      <c r="RZG7" s="191"/>
      <c r="RZH7" s="191"/>
      <c r="RZJ7" s="191"/>
      <c r="RZK7" s="191"/>
      <c r="RZL7" s="191"/>
      <c r="RZN7" s="191"/>
      <c r="RZO7" s="191"/>
      <c r="RZP7" s="191"/>
      <c r="RZR7" s="191"/>
      <c r="RZS7" s="191"/>
      <c r="RZT7" s="191"/>
      <c r="RZV7" s="191"/>
      <c r="RZW7" s="191"/>
      <c r="RZX7" s="191"/>
      <c r="RZZ7" s="191"/>
      <c r="SAA7" s="191"/>
      <c r="SAB7" s="191"/>
      <c r="SAD7" s="191"/>
      <c r="SAE7" s="191"/>
      <c r="SAF7" s="191"/>
      <c r="SAH7" s="191"/>
      <c r="SAI7" s="191"/>
      <c r="SAJ7" s="191"/>
      <c r="SAL7" s="191"/>
      <c r="SAM7" s="191"/>
      <c r="SAN7" s="191"/>
      <c r="SAP7" s="191"/>
      <c r="SAQ7" s="191"/>
      <c r="SAR7" s="191"/>
      <c r="SAT7" s="191"/>
      <c r="SAU7" s="191"/>
      <c r="SAV7" s="191"/>
      <c r="SAX7" s="191"/>
      <c r="SAY7" s="191"/>
      <c r="SAZ7" s="191"/>
      <c r="SBB7" s="191"/>
      <c r="SBC7" s="191"/>
      <c r="SBD7" s="191"/>
      <c r="SBF7" s="191"/>
      <c r="SBG7" s="191"/>
      <c r="SBH7" s="191"/>
      <c r="SBJ7" s="191"/>
      <c r="SBK7" s="191"/>
      <c r="SBL7" s="191"/>
      <c r="SBN7" s="191"/>
      <c r="SBO7" s="191"/>
      <c r="SBP7" s="191"/>
      <c r="SBR7" s="191"/>
      <c r="SBS7" s="191"/>
      <c r="SBT7" s="191"/>
      <c r="SBV7" s="191"/>
      <c r="SBW7" s="191"/>
      <c r="SBX7" s="191"/>
      <c r="SBZ7" s="191"/>
      <c r="SCA7" s="191"/>
      <c r="SCB7" s="191"/>
      <c r="SCD7" s="191"/>
      <c r="SCE7" s="191"/>
      <c r="SCF7" s="191"/>
      <c r="SCH7" s="191"/>
      <c r="SCI7" s="191"/>
      <c r="SCJ7" s="191"/>
      <c r="SCL7" s="191"/>
      <c r="SCM7" s="191"/>
      <c r="SCN7" s="191"/>
      <c r="SCP7" s="191"/>
      <c r="SCQ7" s="191"/>
      <c r="SCR7" s="191"/>
      <c r="SCT7" s="191"/>
      <c r="SCU7" s="191"/>
      <c r="SCV7" s="191"/>
      <c r="SCX7" s="191"/>
      <c r="SCY7" s="191"/>
      <c r="SCZ7" s="191"/>
      <c r="SDB7" s="191"/>
      <c r="SDC7" s="191"/>
      <c r="SDD7" s="191"/>
      <c r="SDF7" s="191"/>
      <c r="SDG7" s="191"/>
      <c r="SDH7" s="191"/>
      <c r="SDJ7" s="191"/>
      <c r="SDK7" s="191"/>
      <c r="SDL7" s="191"/>
      <c r="SDN7" s="191"/>
      <c r="SDO7" s="191"/>
      <c r="SDP7" s="191"/>
      <c r="SDR7" s="191"/>
      <c r="SDS7" s="191"/>
      <c r="SDT7" s="191"/>
      <c r="SDV7" s="191"/>
      <c r="SDW7" s="191"/>
      <c r="SDX7" s="191"/>
      <c r="SDZ7" s="191"/>
      <c r="SEA7" s="191"/>
      <c r="SEB7" s="191"/>
      <c r="SED7" s="191"/>
      <c r="SEE7" s="191"/>
      <c r="SEF7" s="191"/>
      <c r="SEH7" s="191"/>
      <c r="SEI7" s="191"/>
      <c r="SEJ7" s="191"/>
      <c r="SEL7" s="191"/>
      <c r="SEM7" s="191"/>
      <c r="SEN7" s="191"/>
      <c r="SEP7" s="191"/>
      <c r="SEQ7" s="191"/>
      <c r="SER7" s="191"/>
      <c r="SET7" s="191"/>
      <c r="SEU7" s="191"/>
      <c r="SEV7" s="191"/>
      <c r="SEX7" s="191"/>
      <c r="SEY7" s="191"/>
      <c r="SEZ7" s="191"/>
      <c r="SFB7" s="191"/>
      <c r="SFC7" s="191"/>
      <c r="SFD7" s="191"/>
      <c r="SFF7" s="191"/>
      <c r="SFG7" s="191"/>
      <c r="SFH7" s="191"/>
      <c r="SFJ7" s="191"/>
      <c r="SFK7" s="191"/>
      <c r="SFL7" s="191"/>
      <c r="SFN7" s="191"/>
      <c r="SFO7" s="191"/>
      <c r="SFP7" s="191"/>
      <c r="SFR7" s="191"/>
      <c r="SFS7" s="191"/>
      <c r="SFT7" s="191"/>
      <c r="SFV7" s="191"/>
      <c r="SFW7" s="191"/>
      <c r="SFX7" s="191"/>
      <c r="SFZ7" s="191"/>
      <c r="SGA7" s="191"/>
      <c r="SGB7" s="191"/>
      <c r="SGD7" s="191"/>
      <c r="SGE7" s="191"/>
      <c r="SGF7" s="191"/>
      <c r="SGH7" s="191"/>
      <c r="SGI7" s="191"/>
      <c r="SGJ7" s="191"/>
      <c r="SGL7" s="191"/>
      <c r="SGM7" s="191"/>
      <c r="SGN7" s="191"/>
      <c r="SGP7" s="191"/>
      <c r="SGQ7" s="191"/>
      <c r="SGR7" s="191"/>
      <c r="SGT7" s="191"/>
      <c r="SGU7" s="191"/>
      <c r="SGV7" s="191"/>
      <c r="SGX7" s="191"/>
      <c r="SGY7" s="191"/>
      <c r="SGZ7" s="191"/>
      <c r="SHB7" s="191"/>
      <c r="SHC7" s="191"/>
      <c r="SHD7" s="191"/>
      <c r="SHF7" s="191"/>
      <c r="SHG7" s="191"/>
      <c r="SHH7" s="191"/>
      <c r="SHJ7" s="191"/>
      <c r="SHK7" s="191"/>
      <c r="SHL7" s="191"/>
      <c r="SHN7" s="191"/>
      <c r="SHO7" s="191"/>
      <c r="SHP7" s="191"/>
      <c r="SHR7" s="191"/>
      <c r="SHS7" s="191"/>
      <c r="SHT7" s="191"/>
      <c r="SHV7" s="191"/>
      <c r="SHW7" s="191"/>
      <c r="SHX7" s="191"/>
      <c r="SHZ7" s="191"/>
      <c r="SIA7" s="191"/>
      <c r="SIB7" s="191"/>
      <c r="SID7" s="191"/>
      <c r="SIE7" s="191"/>
      <c r="SIF7" s="191"/>
      <c r="SIH7" s="191"/>
      <c r="SII7" s="191"/>
      <c r="SIJ7" s="191"/>
      <c r="SIL7" s="191"/>
      <c r="SIM7" s="191"/>
      <c r="SIN7" s="191"/>
      <c r="SIP7" s="191"/>
      <c r="SIQ7" s="191"/>
      <c r="SIR7" s="191"/>
      <c r="SIT7" s="191"/>
      <c r="SIU7" s="191"/>
      <c r="SIV7" s="191"/>
      <c r="SIX7" s="191"/>
      <c r="SIY7" s="191"/>
      <c r="SIZ7" s="191"/>
      <c r="SJB7" s="191"/>
      <c r="SJC7" s="191"/>
      <c r="SJD7" s="191"/>
      <c r="SJF7" s="191"/>
      <c r="SJG7" s="191"/>
      <c r="SJH7" s="191"/>
      <c r="SJJ7" s="191"/>
      <c r="SJK7" s="191"/>
      <c r="SJL7" s="191"/>
      <c r="SJN7" s="191"/>
      <c r="SJO7" s="191"/>
      <c r="SJP7" s="191"/>
      <c r="SJR7" s="191"/>
      <c r="SJS7" s="191"/>
      <c r="SJT7" s="191"/>
      <c r="SJV7" s="191"/>
      <c r="SJW7" s="191"/>
      <c r="SJX7" s="191"/>
      <c r="SJZ7" s="191"/>
      <c r="SKA7" s="191"/>
      <c r="SKB7" s="191"/>
      <c r="SKD7" s="191"/>
      <c r="SKE7" s="191"/>
      <c r="SKF7" s="191"/>
      <c r="SKH7" s="191"/>
      <c r="SKI7" s="191"/>
      <c r="SKJ7" s="191"/>
      <c r="SKL7" s="191"/>
      <c r="SKM7" s="191"/>
      <c r="SKN7" s="191"/>
      <c r="SKP7" s="191"/>
      <c r="SKQ7" s="191"/>
      <c r="SKR7" s="191"/>
      <c r="SKT7" s="191"/>
      <c r="SKU7" s="191"/>
      <c r="SKV7" s="191"/>
      <c r="SKX7" s="191"/>
      <c r="SKY7" s="191"/>
      <c r="SKZ7" s="191"/>
      <c r="SLB7" s="191"/>
      <c r="SLC7" s="191"/>
      <c r="SLD7" s="191"/>
      <c r="SLF7" s="191"/>
      <c r="SLG7" s="191"/>
      <c r="SLH7" s="191"/>
      <c r="SLJ7" s="191"/>
      <c r="SLK7" s="191"/>
      <c r="SLL7" s="191"/>
      <c r="SLN7" s="191"/>
      <c r="SLO7" s="191"/>
      <c r="SLP7" s="191"/>
      <c r="SLR7" s="191"/>
      <c r="SLS7" s="191"/>
      <c r="SLT7" s="191"/>
      <c r="SLV7" s="191"/>
      <c r="SLW7" s="191"/>
      <c r="SLX7" s="191"/>
      <c r="SLZ7" s="191"/>
      <c r="SMA7" s="191"/>
      <c r="SMB7" s="191"/>
      <c r="SMD7" s="191"/>
      <c r="SME7" s="191"/>
      <c r="SMF7" s="191"/>
      <c r="SMH7" s="191"/>
      <c r="SMI7" s="191"/>
      <c r="SMJ7" s="191"/>
      <c r="SML7" s="191"/>
      <c r="SMM7" s="191"/>
      <c r="SMN7" s="191"/>
      <c r="SMP7" s="191"/>
      <c r="SMQ7" s="191"/>
      <c r="SMR7" s="191"/>
      <c r="SMT7" s="191"/>
      <c r="SMU7" s="191"/>
      <c r="SMV7" s="191"/>
      <c r="SMX7" s="191"/>
      <c r="SMY7" s="191"/>
      <c r="SMZ7" s="191"/>
      <c r="SNB7" s="191"/>
      <c r="SNC7" s="191"/>
      <c r="SND7" s="191"/>
      <c r="SNF7" s="191"/>
      <c r="SNG7" s="191"/>
      <c r="SNH7" s="191"/>
      <c r="SNJ7" s="191"/>
      <c r="SNK7" s="191"/>
      <c r="SNL7" s="191"/>
      <c r="SNN7" s="191"/>
      <c r="SNO7" s="191"/>
      <c r="SNP7" s="191"/>
      <c r="SNR7" s="191"/>
      <c r="SNS7" s="191"/>
      <c r="SNT7" s="191"/>
      <c r="SNV7" s="191"/>
      <c r="SNW7" s="191"/>
      <c r="SNX7" s="191"/>
      <c r="SNZ7" s="191"/>
      <c r="SOA7" s="191"/>
      <c r="SOB7" s="191"/>
      <c r="SOD7" s="191"/>
      <c r="SOE7" s="191"/>
      <c r="SOF7" s="191"/>
      <c r="SOH7" s="191"/>
      <c r="SOI7" s="191"/>
      <c r="SOJ7" s="191"/>
      <c r="SOL7" s="191"/>
      <c r="SOM7" s="191"/>
      <c r="SON7" s="191"/>
      <c r="SOP7" s="191"/>
      <c r="SOQ7" s="191"/>
      <c r="SOR7" s="191"/>
      <c r="SOT7" s="191"/>
      <c r="SOU7" s="191"/>
      <c r="SOV7" s="191"/>
      <c r="SOX7" s="191"/>
      <c r="SOY7" s="191"/>
      <c r="SOZ7" s="191"/>
      <c r="SPB7" s="191"/>
      <c r="SPC7" s="191"/>
      <c r="SPD7" s="191"/>
      <c r="SPF7" s="191"/>
      <c r="SPG7" s="191"/>
      <c r="SPH7" s="191"/>
      <c r="SPJ7" s="191"/>
      <c r="SPK7" s="191"/>
      <c r="SPL7" s="191"/>
      <c r="SPN7" s="191"/>
      <c r="SPO7" s="191"/>
      <c r="SPP7" s="191"/>
      <c r="SPR7" s="191"/>
      <c r="SPS7" s="191"/>
      <c r="SPT7" s="191"/>
      <c r="SPV7" s="191"/>
      <c r="SPW7" s="191"/>
      <c r="SPX7" s="191"/>
      <c r="SPZ7" s="191"/>
      <c r="SQA7" s="191"/>
      <c r="SQB7" s="191"/>
      <c r="SQD7" s="191"/>
      <c r="SQE7" s="191"/>
      <c r="SQF7" s="191"/>
      <c r="SQH7" s="191"/>
      <c r="SQI7" s="191"/>
      <c r="SQJ7" s="191"/>
      <c r="SQL7" s="191"/>
      <c r="SQM7" s="191"/>
      <c r="SQN7" s="191"/>
      <c r="SQP7" s="191"/>
      <c r="SQQ7" s="191"/>
      <c r="SQR7" s="191"/>
      <c r="SQT7" s="191"/>
      <c r="SQU7" s="191"/>
      <c r="SQV7" s="191"/>
      <c r="SQX7" s="191"/>
      <c r="SQY7" s="191"/>
      <c r="SQZ7" s="191"/>
      <c r="SRB7" s="191"/>
      <c r="SRC7" s="191"/>
      <c r="SRD7" s="191"/>
      <c r="SRF7" s="191"/>
      <c r="SRG7" s="191"/>
      <c r="SRH7" s="191"/>
      <c r="SRJ7" s="191"/>
      <c r="SRK7" s="191"/>
      <c r="SRL7" s="191"/>
      <c r="SRN7" s="191"/>
      <c r="SRO7" s="191"/>
      <c r="SRP7" s="191"/>
      <c r="SRR7" s="191"/>
      <c r="SRS7" s="191"/>
      <c r="SRT7" s="191"/>
      <c r="SRV7" s="191"/>
      <c r="SRW7" s="191"/>
      <c r="SRX7" s="191"/>
      <c r="SRZ7" s="191"/>
      <c r="SSA7" s="191"/>
      <c r="SSB7" s="191"/>
      <c r="SSD7" s="191"/>
      <c r="SSE7" s="191"/>
      <c r="SSF7" s="191"/>
      <c r="SSH7" s="191"/>
      <c r="SSI7" s="191"/>
      <c r="SSJ7" s="191"/>
      <c r="SSL7" s="191"/>
      <c r="SSM7" s="191"/>
      <c r="SSN7" s="191"/>
      <c r="SSP7" s="191"/>
      <c r="SSQ7" s="191"/>
      <c r="SSR7" s="191"/>
      <c r="SST7" s="191"/>
      <c r="SSU7" s="191"/>
      <c r="SSV7" s="191"/>
      <c r="SSX7" s="191"/>
      <c r="SSY7" s="191"/>
      <c r="SSZ7" s="191"/>
      <c r="STB7" s="191"/>
      <c r="STC7" s="191"/>
      <c r="STD7" s="191"/>
      <c r="STF7" s="191"/>
      <c r="STG7" s="191"/>
      <c r="STH7" s="191"/>
      <c r="STJ7" s="191"/>
      <c r="STK7" s="191"/>
      <c r="STL7" s="191"/>
      <c r="STN7" s="191"/>
      <c r="STO7" s="191"/>
      <c r="STP7" s="191"/>
      <c r="STR7" s="191"/>
      <c r="STS7" s="191"/>
      <c r="STT7" s="191"/>
      <c r="STV7" s="191"/>
      <c r="STW7" s="191"/>
      <c r="STX7" s="191"/>
      <c r="STZ7" s="191"/>
      <c r="SUA7" s="191"/>
      <c r="SUB7" s="191"/>
      <c r="SUD7" s="191"/>
      <c r="SUE7" s="191"/>
      <c r="SUF7" s="191"/>
      <c r="SUH7" s="191"/>
      <c r="SUI7" s="191"/>
      <c r="SUJ7" s="191"/>
      <c r="SUL7" s="191"/>
      <c r="SUM7" s="191"/>
      <c r="SUN7" s="191"/>
      <c r="SUP7" s="191"/>
      <c r="SUQ7" s="191"/>
      <c r="SUR7" s="191"/>
      <c r="SUT7" s="191"/>
      <c r="SUU7" s="191"/>
      <c r="SUV7" s="191"/>
      <c r="SUX7" s="191"/>
      <c r="SUY7" s="191"/>
      <c r="SUZ7" s="191"/>
      <c r="SVB7" s="191"/>
      <c r="SVC7" s="191"/>
      <c r="SVD7" s="191"/>
      <c r="SVF7" s="191"/>
      <c r="SVG7" s="191"/>
      <c r="SVH7" s="191"/>
      <c r="SVJ7" s="191"/>
      <c r="SVK7" s="191"/>
      <c r="SVL7" s="191"/>
      <c r="SVN7" s="191"/>
      <c r="SVO7" s="191"/>
      <c r="SVP7" s="191"/>
      <c r="SVR7" s="191"/>
      <c r="SVS7" s="191"/>
      <c r="SVT7" s="191"/>
      <c r="SVV7" s="191"/>
      <c r="SVW7" s="191"/>
      <c r="SVX7" s="191"/>
      <c r="SVZ7" s="191"/>
      <c r="SWA7" s="191"/>
      <c r="SWB7" s="191"/>
      <c r="SWD7" s="191"/>
      <c r="SWE7" s="191"/>
      <c r="SWF7" s="191"/>
      <c r="SWH7" s="191"/>
      <c r="SWI7" s="191"/>
      <c r="SWJ7" s="191"/>
      <c r="SWL7" s="191"/>
      <c r="SWM7" s="191"/>
      <c r="SWN7" s="191"/>
      <c r="SWP7" s="191"/>
      <c r="SWQ7" s="191"/>
      <c r="SWR7" s="191"/>
      <c r="SWT7" s="191"/>
      <c r="SWU7" s="191"/>
      <c r="SWV7" s="191"/>
      <c r="SWX7" s="191"/>
      <c r="SWY7" s="191"/>
      <c r="SWZ7" s="191"/>
      <c r="SXB7" s="191"/>
      <c r="SXC7" s="191"/>
      <c r="SXD7" s="191"/>
      <c r="SXF7" s="191"/>
      <c r="SXG7" s="191"/>
      <c r="SXH7" s="191"/>
      <c r="SXJ7" s="191"/>
      <c r="SXK7" s="191"/>
      <c r="SXL7" s="191"/>
      <c r="SXN7" s="191"/>
      <c r="SXO7" s="191"/>
      <c r="SXP7" s="191"/>
      <c r="SXR7" s="191"/>
      <c r="SXS7" s="191"/>
      <c r="SXT7" s="191"/>
      <c r="SXV7" s="191"/>
      <c r="SXW7" s="191"/>
      <c r="SXX7" s="191"/>
      <c r="SXZ7" s="191"/>
      <c r="SYA7" s="191"/>
      <c r="SYB7" s="191"/>
      <c r="SYD7" s="191"/>
      <c r="SYE7" s="191"/>
      <c r="SYF7" s="191"/>
      <c r="SYH7" s="191"/>
      <c r="SYI7" s="191"/>
      <c r="SYJ7" s="191"/>
      <c r="SYL7" s="191"/>
      <c r="SYM7" s="191"/>
      <c r="SYN7" s="191"/>
      <c r="SYP7" s="191"/>
      <c r="SYQ7" s="191"/>
      <c r="SYR7" s="191"/>
      <c r="SYT7" s="191"/>
      <c r="SYU7" s="191"/>
      <c r="SYV7" s="191"/>
      <c r="SYX7" s="191"/>
      <c r="SYY7" s="191"/>
      <c r="SYZ7" s="191"/>
      <c r="SZB7" s="191"/>
      <c r="SZC7" s="191"/>
      <c r="SZD7" s="191"/>
      <c r="SZF7" s="191"/>
      <c r="SZG7" s="191"/>
      <c r="SZH7" s="191"/>
      <c r="SZJ7" s="191"/>
      <c r="SZK7" s="191"/>
      <c r="SZL7" s="191"/>
      <c r="SZN7" s="191"/>
      <c r="SZO7" s="191"/>
      <c r="SZP7" s="191"/>
      <c r="SZR7" s="191"/>
      <c r="SZS7" s="191"/>
      <c r="SZT7" s="191"/>
      <c r="SZV7" s="191"/>
      <c r="SZW7" s="191"/>
      <c r="SZX7" s="191"/>
      <c r="SZZ7" s="191"/>
      <c r="TAA7" s="191"/>
      <c r="TAB7" s="191"/>
      <c r="TAD7" s="191"/>
      <c r="TAE7" s="191"/>
      <c r="TAF7" s="191"/>
      <c r="TAH7" s="191"/>
      <c r="TAI7" s="191"/>
      <c r="TAJ7" s="191"/>
      <c r="TAL7" s="191"/>
      <c r="TAM7" s="191"/>
      <c r="TAN7" s="191"/>
      <c r="TAP7" s="191"/>
      <c r="TAQ7" s="191"/>
      <c r="TAR7" s="191"/>
      <c r="TAT7" s="191"/>
      <c r="TAU7" s="191"/>
      <c r="TAV7" s="191"/>
      <c r="TAX7" s="191"/>
      <c r="TAY7" s="191"/>
      <c r="TAZ7" s="191"/>
      <c r="TBB7" s="191"/>
      <c r="TBC7" s="191"/>
      <c r="TBD7" s="191"/>
      <c r="TBF7" s="191"/>
      <c r="TBG7" s="191"/>
      <c r="TBH7" s="191"/>
      <c r="TBJ7" s="191"/>
      <c r="TBK7" s="191"/>
      <c r="TBL7" s="191"/>
      <c r="TBN7" s="191"/>
      <c r="TBO7" s="191"/>
      <c r="TBP7" s="191"/>
      <c r="TBR7" s="191"/>
      <c r="TBS7" s="191"/>
      <c r="TBT7" s="191"/>
      <c r="TBV7" s="191"/>
      <c r="TBW7" s="191"/>
      <c r="TBX7" s="191"/>
      <c r="TBZ7" s="191"/>
      <c r="TCA7" s="191"/>
      <c r="TCB7" s="191"/>
      <c r="TCD7" s="191"/>
      <c r="TCE7" s="191"/>
      <c r="TCF7" s="191"/>
      <c r="TCH7" s="191"/>
      <c r="TCI7" s="191"/>
      <c r="TCJ7" s="191"/>
      <c r="TCL7" s="191"/>
      <c r="TCM7" s="191"/>
      <c r="TCN7" s="191"/>
      <c r="TCP7" s="191"/>
      <c r="TCQ7" s="191"/>
      <c r="TCR7" s="191"/>
      <c r="TCT7" s="191"/>
      <c r="TCU7" s="191"/>
      <c r="TCV7" s="191"/>
      <c r="TCX7" s="191"/>
      <c r="TCY7" s="191"/>
      <c r="TCZ7" s="191"/>
      <c r="TDB7" s="191"/>
      <c r="TDC7" s="191"/>
      <c r="TDD7" s="191"/>
      <c r="TDF7" s="191"/>
      <c r="TDG7" s="191"/>
      <c r="TDH7" s="191"/>
      <c r="TDJ7" s="191"/>
      <c r="TDK7" s="191"/>
      <c r="TDL7" s="191"/>
      <c r="TDN7" s="191"/>
      <c r="TDO7" s="191"/>
      <c r="TDP7" s="191"/>
      <c r="TDR7" s="191"/>
      <c r="TDS7" s="191"/>
      <c r="TDT7" s="191"/>
      <c r="TDV7" s="191"/>
      <c r="TDW7" s="191"/>
      <c r="TDX7" s="191"/>
      <c r="TDZ7" s="191"/>
      <c r="TEA7" s="191"/>
      <c r="TEB7" s="191"/>
      <c r="TED7" s="191"/>
      <c r="TEE7" s="191"/>
      <c r="TEF7" s="191"/>
      <c r="TEH7" s="191"/>
      <c r="TEI7" s="191"/>
      <c r="TEJ7" s="191"/>
      <c r="TEL7" s="191"/>
      <c r="TEM7" s="191"/>
      <c r="TEN7" s="191"/>
      <c r="TEP7" s="191"/>
      <c r="TEQ7" s="191"/>
      <c r="TER7" s="191"/>
      <c r="TET7" s="191"/>
      <c r="TEU7" s="191"/>
      <c r="TEV7" s="191"/>
      <c r="TEX7" s="191"/>
      <c r="TEY7" s="191"/>
      <c r="TEZ7" s="191"/>
      <c r="TFB7" s="191"/>
      <c r="TFC7" s="191"/>
      <c r="TFD7" s="191"/>
      <c r="TFF7" s="191"/>
      <c r="TFG7" s="191"/>
      <c r="TFH7" s="191"/>
      <c r="TFJ7" s="191"/>
      <c r="TFK7" s="191"/>
      <c r="TFL7" s="191"/>
      <c r="TFN7" s="191"/>
      <c r="TFO7" s="191"/>
      <c r="TFP7" s="191"/>
      <c r="TFR7" s="191"/>
      <c r="TFS7" s="191"/>
      <c r="TFT7" s="191"/>
      <c r="TFV7" s="191"/>
      <c r="TFW7" s="191"/>
      <c r="TFX7" s="191"/>
      <c r="TFZ7" s="191"/>
      <c r="TGA7" s="191"/>
      <c r="TGB7" s="191"/>
      <c r="TGD7" s="191"/>
      <c r="TGE7" s="191"/>
      <c r="TGF7" s="191"/>
      <c r="TGH7" s="191"/>
      <c r="TGI7" s="191"/>
      <c r="TGJ7" s="191"/>
      <c r="TGL7" s="191"/>
      <c r="TGM7" s="191"/>
      <c r="TGN7" s="191"/>
      <c r="TGP7" s="191"/>
      <c r="TGQ7" s="191"/>
      <c r="TGR7" s="191"/>
      <c r="TGT7" s="191"/>
      <c r="TGU7" s="191"/>
      <c r="TGV7" s="191"/>
      <c r="TGX7" s="191"/>
      <c r="TGY7" s="191"/>
      <c r="TGZ7" s="191"/>
      <c r="THB7" s="191"/>
      <c r="THC7" s="191"/>
      <c r="THD7" s="191"/>
      <c r="THF7" s="191"/>
      <c r="THG7" s="191"/>
      <c r="THH7" s="191"/>
      <c r="THJ7" s="191"/>
      <c r="THK7" s="191"/>
      <c r="THL7" s="191"/>
      <c r="THN7" s="191"/>
      <c r="THO7" s="191"/>
      <c r="THP7" s="191"/>
      <c r="THR7" s="191"/>
      <c r="THS7" s="191"/>
      <c r="THT7" s="191"/>
      <c r="THV7" s="191"/>
      <c r="THW7" s="191"/>
      <c r="THX7" s="191"/>
      <c r="THZ7" s="191"/>
      <c r="TIA7" s="191"/>
      <c r="TIB7" s="191"/>
      <c r="TID7" s="191"/>
      <c r="TIE7" s="191"/>
      <c r="TIF7" s="191"/>
      <c r="TIH7" s="191"/>
      <c r="TII7" s="191"/>
      <c r="TIJ7" s="191"/>
      <c r="TIL7" s="191"/>
      <c r="TIM7" s="191"/>
      <c r="TIN7" s="191"/>
      <c r="TIP7" s="191"/>
      <c r="TIQ7" s="191"/>
      <c r="TIR7" s="191"/>
      <c r="TIT7" s="191"/>
      <c r="TIU7" s="191"/>
      <c r="TIV7" s="191"/>
      <c r="TIX7" s="191"/>
      <c r="TIY7" s="191"/>
      <c r="TIZ7" s="191"/>
      <c r="TJB7" s="191"/>
      <c r="TJC7" s="191"/>
      <c r="TJD7" s="191"/>
      <c r="TJF7" s="191"/>
      <c r="TJG7" s="191"/>
      <c r="TJH7" s="191"/>
      <c r="TJJ7" s="191"/>
      <c r="TJK7" s="191"/>
      <c r="TJL7" s="191"/>
      <c r="TJN7" s="191"/>
      <c r="TJO7" s="191"/>
      <c r="TJP7" s="191"/>
      <c r="TJR7" s="191"/>
      <c r="TJS7" s="191"/>
      <c r="TJT7" s="191"/>
      <c r="TJV7" s="191"/>
      <c r="TJW7" s="191"/>
      <c r="TJX7" s="191"/>
      <c r="TJZ7" s="191"/>
      <c r="TKA7" s="191"/>
      <c r="TKB7" s="191"/>
      <c r="TKD7" s="191"/>
      <c r="TKE7" s="191"/>
      <c r="TKF7" s="191"/>
      <c r="TKH7" s="191"/>
      <c r="TKI7" s="191"/>
      <c r="TKJ7" s="191"/>
      <c r="TKL7" s="191"/>
      <c r="TKM7" s="191"/>
      <c r="TKN7" s="191"/>
      <c r="TKP7" s="191"/>
      <c r="TKQ7" s="191"/>
      <c r="TKR7" s="191"/>
      <c r="TKT7" s="191"/>
      <c r="TKU7" s="191"/>
      <c r="TKV7" s="191"/>
      <c r="TKX7" s="191"/>
      <c r="TKY7" s="191"/>
      <c r="TKZ7" s="191"/>
      <c r="TLB7" s="191"/>
      <c r="TLC7" s="191"/>
      <c r="TLD7" s="191"/>
      <c r="TLF7" s="191"/>
      <c r="TLG7" s="191"/>
      <c r="TLH7" s="191"/>
      <c r="TLJ7" s="191"/>
      <c r="TLK7" s="191"/>
      <c r="TLL7" s="191"/>
      <c r="TLN7" s="191"/>
      <c r="TLO7" s="191"/>
      <c r="TLP7" s="191"/>
      <c r="TLR7" s="191"/>
      <c r="TLS7" s="191"/>
      <c r="TLT7" s="191"/>
      <c r="TLV7" s="191"/>
      <c r="TLW7" s="191"/>
      <c r="TLX7" s="191"/>
      <c r="TLZ7" s="191"/>
      <c r="TMA7" s="191"/>
      <c r="TMB7" s="191"/>
      <c r="TMD7" s="191"/>
      <c r="TME7" s="191"/>
      <c r="TMF7" s="191"/>
      <c r="TMH7" s="191"/>
      <c r="TMI7" s="191"/>
      <c r="TMJ7" s="191"/>
      <c r="TML7" s="191"/>
      <c r="TMM7" s="191"/>
      <c r="TMN7" s="191"/>
      <c r="TMP7" s="191"/>
      <c r="TMQ7" s="191"/>
      <c r="TMR7" s="191"/>
      <c r="TMT7" s="191"/>
      <c r="TMU7" s="191"/>
      <c r="TMV7" s="191"/>
      <c r="TMX7" s="191"/>
      <c r="TMY7" s="191"/>
      <c r="TMZ7" s="191"/>
      <c r="TNB7" s="191"/>
      <c r="TNC7" s="191"/>
      <c r="TND7" s="191"/>
      <c r="TNF7" s="191"/>
      <c r="TNG7" s="191"/>
      <c r="TNH7" s="191"/>
      <c r="TNJ7" s="191"/>
      <c r="TNK7" s="191"/>
      <c r="TNL7" s="191"/>
      <c r="TNN7" s="191"/>
      <c r="TNO7" s="191"/>
      <c r="TNP7" s="191"/>
      <c r="TNR7" s="191"/>
      <c r="TNS7" s="191"/>
      <c r="TNT7" s="191"/>
      <c r="TNV7" s="191"/>
      <c r="TNW7" s="191"/>
      <c r="TNX7" s="191"/>
      <c r="TNZ7" s="191"/>
      <c r="TOA7" s="191"/>
      <c r="TOB7" s="191"/>
      <c r="TOD7" s="191"/>
      <c r="TOE7" s="191"/>
      <c r="TOF7" s="191"/>
      <c r="TOH7" s="191"/>
      <c r="TOI7" s="191"/>
      <c r="TOJ7" s="191"/>
      <c r="TOL7" s="191"/>
      <c r="TOM7" s="191"/>
      <c r="TON7" s="191"/>
      <c r="TOP7" s="191"/>
      <c r="TOQ7" s="191"/>
      <c r="TOR7" s="191"/>
      <c r="TOT7" s="191"/>
      <c r="TOU7" s="191"/>
      <c r="TOV7" s="191"/>
      <c r="TOX7" s="191"/>
      <c r="TOY7" s="191"/>
      <c r="TOZ7" s="191"/>
      <c r="TPB7" s="191"/>
      <c r="TPC7" s="191"/>
      <c r="TPD7" s="191"/>
      <c r="TPF7" s="191"/>
      <c r="TPG7" s="191"/>
      <c r="TPH7" s="191"/>
      <c r="TPJ7" s="191"/>
      <c r="TPK7" s="191"/>
      <c r="TPL7" s="191"/>
      <c r="TPN7" s="191"/>
      <c r="TPO7" s="191"/>
      <c r="TPP7" s="191"/>
      <c r="TPR7" s="191"/>
      <c r="TPS7" s="191"/>
      <c r="TPT7" s="191"/>
      <c r="TPV7" s="191"/>
      <c r="TPW7" s="191"/>
      <c r="TPX7" s="191"/>
      <c r="TPZ7" s="191"/>
      <c r="TQA7" s="191"/>
      <c r="TQB7" s="191"/>
      <c r="TQD7" s="191"/>
      <c r="TQE7" s="191"/>
      <c r="TQF7" s="191"/>
      <c r="TQH7" s="191"/>
      <c r="TQI7" s="191"/>
      <c r="TQJ7" s="191"/>
      <c r="TQL7" s="191"/>
      <c r="TQM7" s="191"/>
      <c r="TQN7" s="191"/>
      <c r="TQP7" s="191"/>
      <c r="TQQ7" s="191"/>
      <c r="TQR7" s="191"/>
      <c r="TQT7" s="191"/>
      <c r="TQU7" s="191"/>
      <c r="TQV7" s="191"/>
      <c r="TQX7" s="191"/>
      <c r="TQY7" s="191"/>
      <c r="TQZ7" s="191"/>
      <c r="TRB7" s="191"/>
      <c r="TRC7" s="191"/>
      <c r="TRD7" s="191"/>
      <c r="TRF7" s="191"/>
      <c r="TRG7" s="191"/>
      <c r="TRH7" s="191"/>
      <c r="TRJ7" s="191"/>
      <c r="TRK7" s="191"/>
      <c r="TRL7" s="191"/>
      <c r="TRN7" s="191"/>
      <c r="TRO7" s="191"/>
      <c r="TRP7" s="191"/>
      <c r="TRR7" s="191"/>
      <c r="TRS7" s="191"/>
      <c r="TRT7" s="191"/>
      <c r="TRV7" s="191"/>
      <c r="TRW7" s="191"/>
      <c r="TRX7" s="191"/>
      <c r="TRZ7" s="191"/>
      <c r="TSA7" s="191"/>
      <c r="TSB7" s="191"/>
      <c r="TSD7" s="191"/>
      <c r="TSE7" s="191"/>
      <c r="TSF7" s="191"/>
      <c r="TSH7" s="191"/>
      <c r="TSI7" s="191"/>
      <c r="TSJ7" s="191"/>
      <c r="TSL7" s="191"/>
      <c r="TSM7" s="191"/>
      <c r="TSN7" s="191"/>
      <c r="TSP7" s="191"/>
      <c r="TSQ7" s="191"/>
      <c r="TSR7" s="191"/>
      <c r="TST7" s="191"/>
      <c r="TSU7" s="191"/>
      <c r="TSV7" s="191"/>
      <c r="TSX7" s="191"/>
      <c r="TSY7" s="191"/>
      <c r="TSZ7" s="191"/>
      <c r="TTB7" s="191"/>
      <c r="TTC7" s="191"/>
      <c r="TTD7" s="191"/>
      <c r="TTF7" s="191"/>
      <c r="TTG7" s="191"/>
      <c r="TTH7" s="191"/>
      <c r="TTJ7" s="191"/>
      <c r="TTK7" s="191"/>
      <c r="TTL7" s="191"/>
      <c r="TTN7" s="191"/>
      <c r="TTO7" s="191"/>
      <c r="TTP7" s="191"/>
      <c r="TTR7" s="191"/>
      <c r="TTS7" s="191"/>
      <c r="TTT7" s="191"/>
      <c r="TTV7" s="191"/>
      <c r="TTW7" s="191"/>
      <c r="TTX7" s="191"/>
      <c r="TTZ7" s="191"/>
      <c r="TUA7" s="191"/>
      <c r="TUB7" s="191"/>
      <c r="TUD7" s="191"/>
      <c r="TUE7" s="191"/>
      <c r="TUF7" s="191"/>
      <c r="TUH7" s="191"/>
      <c r="TUI7" s="191"/>
      <c r="TUJ7" s="191"/>
      <c r="TUL7" s="191"/>
      <c r="TUM7" s="191"/>
      <c r="TUN7" s="191"/>
      <c r="TUP7" s="191"/>
      <c r="TUQ7" s="191"/>
      <c r="TUR7" s="191"/>
      <c r="TUT7" s="191"/>
      <c r="TUU7" s="191"/>
      <c r="TUV7" s="191"/>
      <c r="TUX7" s="191"/>
      <c r="TUY7" s="191"/>
      <c r="TUZ7" s="191"/>
      <c r="TVB7" s="191"/>
      <c r="TVC7" s="191"/>
      <c r="TVD7" s="191"/>
      <c r="TVF7" s="191"/>
      <c r="TVG7" s="191"/>
      <c r="TVH7" s="191"/>
      <c r="TVJ7" s="191"/>
      <c r="TVK7" s="191"/>
      <c r="TVL7" s="191"/>
      <c r="TVN7" s="191"/>
      <c r="TVO7" s="191"/>
      <c r="TVP7" s="191"/>
      <c r="TVR7" s="191"/>
      <c r="TVS7" s="191"/>
      <c r="TVT7" s="191"/>
      <c r="TVV7" s="191"/>
      <c r="TVW7" s="191"/>
      <c r="TVX7" s="191"/>
      <c r="TVZ7" s="191"/>
      <c r="TWA7" s="191"/>
      <c r="TWB7" s="191"/>
      <c r="TWD7" s="191"/>
      <c r="TWE7" s="191"/>
      <c r="TWF7" s="191"/>
      <c r="TWH7" s="191"/>
      <c r="TWI7" s="191"/>
      <c r="TWJ7" s="191"/>
      <c r="TWL7" s="191"/>
      <c r="TWM7" s="191"/>
      <c r="TWN7" s="191"/>
      <c r="TWP7" s="191"/>
      <c r="TWQ7" s="191"/>
      <c r="TWR7" s="191"/>
      <c r="TWT7" s="191"/>
      <c r="TWU7" s="191"/>
      <c r="TWV7" s="191"/>
      <c r="TWX7" s="191"/>
      <c r="TWY7" s="191"/>
      <c r="TWZ7" s="191"/>
      <c r="TXB7" s="191"/>
      <c r="TXC7" s="191"/>
      <c r="TXD7" s="191"/>
      <c r="TXF7" s="191"/>
      <c r="TXG7" s="191"/>
      <c r="TXH7" s="191"/>
      <c r="TXJ7" s="191"/>
      <c r="TXK7" s="191"/>
      <c r="TXL7" s="191"/>
      <c r="TXN7" s="191"/>
      <c r="TXO7" s="191"/>
      <c r="TXP7" s="191"/>
      <c r="TXR7" s="191"/>
      <c r="TXS7" s="191"/>
      <c r="TXT7" s="191"/>
      <c r="TXV7" s="191"/>
      <c r="TXW7" s="191"/>
      <c r="TXX7" s="191"/>
      <c r="TXZ7" s="191"/>
      <c r="TYA7" s="191"/>
      <c r="TYB7" s="191"/>
      <c r="TYD7" s="191"/>
      <c r="TYE7" s="191"/>
      <c r="TYF7" s="191"/>
      <c r="TYH7" s="191"/>
      <c r="TYI7" s="191"/>
      <c r="TYJ7" s="191"/>
      <c r="TYL7" s="191"/>
      <c r="TYM7" s="191"/>
      <c r="TYN7" s="191"/>
      <c r="TYP7" s="191"/>
      <c r="TYQ7" s="191"/>
      <c r="TYR7" s="191"/>
      <c r="TYT7" s="191"/>
      <c r="TYU7" s="191"/>
      <c r="TYV7" s="191"/>
      <c r="TYX7" s="191"/>
      <c r="TYY7" s="191"/>
      <c r="TYZ7" s="191"/>
      <c r="TZB7" s="191"/>
      <c r="TZC7" s="191"/>
      <c r="TZD7" s="191"/>
      <c r="TZF7" s="191"/>
      <c r="TZG7" s="191"/>
      <c r="TZH7" s="191"/>
      <c r="TZJ7" s="191"/>
      <c r="TZK7" s="191"/>
      <c r="TZL7" s="191"/>
      <c r="TZN7" s="191"/>
      <c r="TZO7" s="191"/>
      <c r="TZP7" s="191"/>
      <c r="TZR7" s="191"/>
      <c r="TZS7" s="191"/>
      <c r="TZT7" s="191"/>
      <c r="TZV7" s="191"/>
      <c r="TZW7" s="191"/>
      <c r="TZX7" s="191"/>
      <c r="TZZ7" s="191"/>
      <c r="UAA7" s="191"/>
      <c r="UAB7" s="191"/>
      <c r="UAD7" s="191"/>
      <c r="UAE7" s="191"/>
      <c r="UAF7" s="191"/>
      <c r="UAH7" s="191"/>
      <c r="UAI7" s="191"/>
      <c r="UAJ7" s="191"/>
      <c r="UAL7" s="191"/>
      <c r="UAM7" s="191"/>
      <c r="UAN7" s="191"/>
      <c r="UAP7" s="191"/>
      <c r="UAQ7" s="191"/>
      <c r="UAR7" s="191"/>
      <c r="UAT7" s="191"/>
      <c r="UAU7" s="191"/>
      <c r="UAV7" s="191"/>
      <c r="UAX7" s="191"/>
      <c r="UAY7" s="191"/>
      <c r="UAZ7" s="191"/>
      <c r="UBB7" s="191"/>
      <c r="UBC7" s="191"/>
      <c r="UBD7" s="191"/>
      <c r="UBF7" s="191"/>
      <c r="UBG7" s="191"/>
      <c r="UBH7" s="191"/>
      <c r="UBJ7" s="191"/>
      <c r="UBK7" s="191"/>
      <c r="UBL7" s="191"/>
      <c r="UBN7" s="191"/>
      <c r="UBO7" s="191"/>
      <c r="UBP7" s="191"/>
      <c r="UBR7" s="191"/>
      <c r="UBS7" s="191"/>
      <c r="UBT7" s="191"/>
      <c r="UBV7" s="191"/>
      <c r="UBW7" s="191"/>
      <c r="UBX7" s="191"/>
      <c r="UBZ7" s="191"/>
      <c r="UCA7" s="191"/>
      <c r="UCB7" s="191"/>
      <c r="UCD7" s="191"/>
      <c r="UCE7" s="191"/>
      <c r="UCF7" s="191"/>
      <c r="UCH7" s="191"/>
      <c r="UCI7" s="191"/>
      <c r="UCJ7" s="191"/>
      <c r="UCL7" s="191"/>
      <c r="UCM7" s="191"/>
      <c r="UCN7" s="191"/>
      <c r="UCP7" s="191"/>
      <c r="UCQ7" s="191"/>
      <c r="UCR7" s="191"/>
      <c r="UCT7" s="191"/>
      <c r="UCU7" s="191"/>
      <c r="UCV7" s="191"/>
      <c r="UCX7" s="191"/>
      <c r="UCY7" s="191"/>
      <c r="UCZ7" s="191"/>
      <c r="UDB7" s="191"/>
      <c r="UDC7" s="191"/>
      <c r="UDD7" s="191"/>
      <c r="UDF7" s="191"/>
      <c r="UDG7" s="191"/>
      <c r="UDH7" s="191"/>
      <c r="UDJ7" s="191"/>
      <c r="UDK7" s="191"/>
      <c r="UDL7" s="191"/>
      <c r="UDN7" s="191"/>
      <c r="UDO7" s="191"/>
      <c r="UDP7" s="191"/>
      <c r="UDR7" s="191"/>
      <c r="UDS7" s="191"/>
      <c r="UDT7" s="191"/>
      <c r="UDV7" s="191"/>
      <c r="UDW7" s="191"/>
      <c r="UDX7" s="191"/>
      <c r="UDZ7" s="191"/>
      <c r="UEA7" s="191"/>
      <c r="UEB7" s="191"/>
      <c r="UED7" s="191"/>
      <c r="UEE7" s="191"/>
      <c r="UEF7" s="191"/>
      <c r="UEH7" s="191"/>
      <c r="UEI7" s="191"/>
      <c r="UEJ7" s="191"/>
      <c r="UEL7" s="191"/>
      <c r="UEM7" s="191"/>
      <c r="UEN7" s="191"/>
      <c r="UEP7" s="191"/>
      <c r="UEQ7" s="191"/>
      <c r="UER7" s="191"/>
      <c r="UET7" s="191"/>
      <c r="UEU7" s="191"/>
      <c r="UEV7" s="191"/>
      <c r="UEX7" s="191"/>
      <c r="UEY7" s="191"/>
      <c r="UEZ7" s="191"/>
      <c r="UFB7" s="191"/>
      <c r="UFC7" s="191"/>
      <c r="UFD7" s="191"/>
      <c r="UFF7" s="191"/>
      <c r="UFG7" s="191"/>
      <c r="UFH7" s="191"/>
      <c r="UFJ7" s="191"/>
      <c r="UFK7" s="191"/>
      <c r="UFL7" s="191"/>
      <c r="UFN7" s="191"/>
      <c r="UFO7" s="191"/>
      <c r="UFP7" s="191"/>
      <c r="UFR7" s="191"/>
      <c r="UFS7" s="191"/>
      <c r="UFT7" s="191"/>
      <c r="UFV7" s="191"/>
      <c r="UFW7" s="191"/>
      <c r="UFX7" s="191"/>
      <c r="UFZ7" s="191"/>
      <c r="UGA7" s="191"/>
      <c r="UGB7" s="191"/>
      <c r="UGD7" s="191"/>
      <c r="UGE7" s="191"/>
      <c r="UGF7" s="191"/>
      <c r="UGH7" s="191"/>
      <c r="UGI7" s="191"/>
      <c r="UGJ7" s="191"/>
      <c r="UGL7" s="191"/>
      <c r="UGM7" s="191"/>
      <c r="UGN7" s="191"/>
      <c r="UGP7" s="191"/>
      <c r="UGQ7" s="191"/>
      <c r="UGR7" s="191"/>
      <c r="UGT7" s="191"/>
      <c r="UGU7" s="191"/>
      <c r="UGV7" s="191"/>
      <c r="UGX7" s="191"/>
      <c r="UGY7" s="191"/>
      <c r="UGZ7" s="191"/>
      <c r="UHB7" s="191"/>
      <c r="UHC7" s="191"/>
      <c r="UHD7" s="191"/>
      <c r="UHF7" s="191"/>
      <c r="UHG7" s="191"/>
      <c r="UHH7" s="191"/>
      <c r="UHJ7" s="191"/>
      <c r="UHK7" s="191"/>
      <c r="UHL7" s="191"/>
      <c r="UHN7" s="191"/>
      <c r="UHO7" s="191"/>
      <c r="UHP7" s="191"/>
      <c r="UHR7" s="191"/>
      <c r="UHS7" s="191"/>
      <c r="UHT7" s="191"/>
      <c r="UHV7" s="191"/>
      <c r="UHW7" s="191"/>
      <c r="UHX7" s="191"/>
      <c r="UHZ7" s="191"/>
      <c r="UIA7" s="191"/>
      <c r="UIB7" s="191"/>
      <c r="UID7" s="191"/>
      <c r="UIE7" s="191"/>
      <c r="UIF7" s="191"/>
      <c r="UIH7" s="191"/>
      <c r="UII7" s="191"/>
      <c r="UIJ7" s="191"/>
      <c r="UIL7" s="191"/>
      <c r="UIM7" s="191"/>
      <c r="UIN7" s="191"/>
      <c r="UIP7" s="191"/>
      <c r="UIQ7" s="191"/>
      <c r="UIR7" s="191"/>
      <c r="UIT7" s="191"/>
      <c r="UIU7" s="191"/>
      <c r="UIV7" s="191"/>
      <c r="UIX7" s="191"/>
      <c r="UIY7" s="191"/>
      <c r="UIZ7" s="191"/>
      <c r="UJB7" s="191"/>
      <c r="UJC7" s="191"/>
      <c r="UJD7" s="191"/>
      <c r="UJF7" s="191"/>
      <c r="UJG7" s="191"/>
      <c r="UJH7" s="191"/>
      <c r="UJJ7" s="191"/>
      <c r="UJK7" s="191"/>
      <c r="UJL7" s="191"/>
      <c r="UJN7" s="191"/>
      <c r="UJO7" s="191"/>
      <c r="UJP7" s="191"/>
      <c r="UJR7" s="191"/>
      <c r="UJS7" s="191"/>
      <c r="UJT7" s="191"/>
      <c r="UJV7" s="191"/>
      <c r="UJW7" s="191"/>
      <c r="UJX7" s="191"/>
      <c r="UJZ7" s="191"/>
      <c r="UKA7" s="191"/>
      <c r="UKB7" s="191"/>
      <c r="UKD7" s="191"/>
      <c r="UKE7" s="191"/>
      <c r="UKF7" s="191"/>
      <c r="UKH7" s="191"/>
      <c r="UKI7" s="191"/>
      <c r="UKJ7" s="191"/>
      <c r="UKL7" s="191"/>
      <c r="UKM7" s="191"/>
      <c r="UKN7" s="191"/>
      <c r="UKP7" s="191"/>
      <c r="UKQ7" s="191"/>
      <c r="UKR7" s="191"/>
      <c r="UKT7" s="191"/>
      <c r="UKU7" s="191"/>
      <c r="UKV7" s="191"/>
      <c r="UKX7" s="191"/>
      <c r="UKY7" s="191"/>
      <c r="UKZ7" s="191"/>
      <c r="ULB7" s="191"/>
      <c r="ULC7" s="191"/>
      <c r="ULD7" s="191"/>
      <c r="ULF7" s="191"/>
      <c r="ULG7" s="191"/>
      <c r="ULH7" s="191"/>
      <c r="ULJ7" s="191"/>
      <c r="ULK7" s="191"/>
      <c r="ULL7" s="191"/>
      <c r="ULN7" s="191"/>
      <c r="ULO7" s="191"/>
      <c r="ULP7" s="191"/>
      <c r="ULR7" s="191"/>
      <c r="ULS7" s="191"/>
      <c r="ULT7" s="191"/>
      <c r="ULV7" s="191"/>
      <c r="ULW7" s="191"/>
      <c r="ULX7" s="191"/>
      <c r="ULZ7" s="191"/>
      <c r="UMA7" s="191"/>
      <c r="UMB7" s="191"/>
      <c r="UMD7" s="191"/>
      <c r="UME7" s="191"/>
      <c r="UMF7" s="191"/>
      <c r="UMH7" s="191"/>
      <c r="UMI7" s="191"/>
      <c r="UMJ7" s="191"/>
      <c r="UML7" s="191"/>
      <c r="UMM7" s="191"/>
      <c r="UMN7" s="191"/>
      <c r="UMP7" s="191"/>
      <c r="UMQ7" s="191"/>
      <c r="UMR7" s="191"/>
      <c r="UMT7" s="191"/>
      <c r="UMU7" s="191"/>
      <c r="UMV7" s="191"/>
      <c r="UMX7" s="191"/>
      <c r="UMY7" s="191"/>
      <c r="UMZ7" s="191"/>
      <c r="UNB7" s="191"/>
      <c r="UNC7" s="191"/>
      <c r="UND7" s="191"/>
      <c r="UNF7" s="191"/>
      <c r="UNG7" s="191"/>
      <c r="UNH7" s="191"/>
      <c r="UNJ7" s="191"/>
      <c r="UNK7" s="191"/>
      <c r="UNL7" s="191"/>
      <c r="UNN7" s="191"/>
      <c r="UNO7" s="191"/>
      <c r="UNP7" s="191"/>
      <c r="UNR7" s="191"/>
      <c r="UNS7" s="191"/>
      <c r="UNT7" s="191"/>
      <c r="UNV7" s="191"/>
      <c r="UNW7" s="191"/>
      <c r="UNX7" s="191"/>
      <c r="UNZ7" s="191"/>
      <c r="UOA7" s="191"/>
      <c r="UOB7" s="191"/>
      <c r="UOD7" s="191"/>
      <c r="UOE7" s="191"/>
      <c r="UOF7" s="191"/>
      <c r="UOH7" s="191"/>
      <c r="UOI7" s="191"/>
      <c r="UOJ7" s="191"/>
      <c r="UOL7" s="191"/>
      <c r="UOM7" s="191"/>
      <c r="UON7" s="191"/>
      <c r="UOP7" s="191"/>
      <c r="UOQ7" s="191"/>
      <c r="UOR7" s="191"/>
      <c r="UOT7" s="191"/>
      <c r="UOU7" s="191"/>
      <c r="UOV7" s="191"/>
      <c r="UOX7" s="191"/>
      <c r="UOY7" s="191"/>
      <c r="UOZ7" s="191"/>
      <c r="UPB7" s="191"/>
      <c r="UPC7" s="191"/>
      <c r="UPD7" s="191"/>
      <c r="UPF7" s="191"/>
      <c r="UPG7" s="191"/>
      <c r="UPH7" s="191"/>
      <c r="UPJ7" s="191"/>
      <c r="UPK7" s="191"/>
      <c r="UPL7" s="191"/>
      <c r="UPN7" s="191"/>
      <c r="UPO7" s="191"/>
      <c r="UPP7" s="191"/>
      <c r="UPR7" s="191"/>
      <c r="UPS7" s="191"/>
      <c r="UPT7" s="191"/>
      <c r="UPV7" s="191"/>
      <c r="UPW7" s="191"/>
      <c r="UPX7" s="191"/>
      <c r="UPZ7" s="191"/>
      <c r="UQA7" s="191"/>
      <c r="UQB7" s="191"/>
      <c r="UQD7" s="191"/>
      <c r="UQE7" s="191"/>
      <c r="UQF7" s="191"/>
      <c r="UQH7" s="191"/>
      <c r="UQI7" s="191"/>
      <c r="UQJ7" s="191"/>
      <c r="UQL7" s="191"/>
      <c r="UQM7" s="191"/>
      <c r="UQN7" s="191"/>
      <c r="UQP7" s="191"/>
      <c r="UQQ7" s="191"/>
      <c r="UQR7" s="191"/>
      <c r="UQT7" s="191"/>
      <c r="UQU7" s="191"/>
      <c r="UQV7" s="191"/>
      <c r="UQX7" s="191"/>
      <c r="UQY7" s="191"/>
      <c r="UQZ7" s="191"/>
      <c r="URB7" s="191"/>
      <c r="URC7" s="191"/>
      <c r="URD7" s="191"/>
      <c r="URF7" s="191"/>
      <c r="URG7" s="191"/>
      <c r="URH7" s="191"/>
      <c r="URJ7" s="191"/>
      <c r="URK7" s="191"/>
      <c r="URL7" s="191"/>
      <c r="URN7" s="191"/>
      <c r="URO7" s="191"/>
      <c r="URP7" s="191"/>
      <c r="URR7" s="191"/>
      <c r="URS7" s="191"/>
      <c r="URT7" s="191"/>
      <c r="URV7" s="191"/>
      <c r="URW7" s="191"/>
      <c r="URX7" s="191"/>
      <c r="URZ7" s="191"/>
      <c r="USA7" s="191"/>
      <c r="USB7" s="191"/>
      <c r="USD7" s="191"/>
      <c r="USE7" s="191"/>
      <c r="USF7" s="191"/>
      <c r="USH7" s="191"/>
      <c r="USI7" s="191"/>
      <c r="USJ7" s="191"/>
      <c r="USL7" s="191"/>
      <c r="USM7" s="191"/>
      <c r="USN7" s="191"/>
      <c r="USP7" s="191"/>
      <c r="USQ7" s="191"/>
      <c r="USR7" s="191"/>
      <c r="UST7" s="191"/>
      <c r="USU7" s="191"/>
      <c r="USV7" s="191"/>
      <c r="USX7" s="191"/>
      <c r="USY7" s="191"/>
      <c r="USZ7" s="191"/>
      <c r="UTB7" s="191"/>
      <c r="UTC7" s="191"/>
      <c r="UTD7" s="191"/>
      <c r="UTF7" s="191"/>
      <c r="UTG7" s="191"/>
      <c r="UTH7" s="191"/>
      <c r="UTJ7" s="191"/>
      <c r="UTK7" s="191"/>
      <c r="UTL7" s="191"/>
      <c r="UTN7" s="191"/>
      <c r="UTO7" s="191"/>
      <c r="UTP7" s="191"/>
      <c r="UTR7" s="191"/>
      <c r="UTS7" s="191"/>
      <c r="UTT7" s="191"/>
      <c r="UTV7" s="191"/>
      <c r="UTW7" s="191"/>
      <c r="UTX7" s="191"/>
      <c r="UTZ7" s="191"/>
      <c r="UUA7" s="191"/>
      <c r="UUB7" s="191"/>
      <c r="UUD7" s="191"/>
      <c r="UUE7" s="191"/>
      <c r="UUF7" s="191"/>
      <c r="UUH7" s="191"/>
      <c r="UUI7" s="191"/>
      <c r="UUJ7" s="191"/>
      <c r="UUL7" s="191"/>
      <c r="UUM7" s="191"/>
      <c r="UUN7" s="191"/>
      <c r="UUP7" s="191"/>
      <c r="UUQ7" s="191"/>
      <c r="UUR7" s="191"/>
      <c r="UUT7" s="191"/>
      <c r="UUU7" s="191"/>
      <c r="UUV7" s="191"/>
      <c r="UUX7" s="191"/>
      <c r="UUY7" s="191"/>
      <c r="UUZ7" s="191"/>
      <c r="UVB7" s="191"/>
      <c r="UVC7" s="191"/>
      <c r="UVD7" s="191"/>
      <c r="UVF7" s="191"/>
      <c r="UVG7" s="191"/>
      <c r="UVH7" s="191"/>
      <c r="UVJ7" s="191"/>
      <c r="UVK7" s="191"/>
      <c r="UVL7" s="191"/>
      <c r="UVN7" s="191"/>
      <c r="UVO7" s="191"/>
      <c r="UVP7" s="191"/>
      <c r="UVR7" s="191"/>
      <c r="UVS7" s="191"/>
      <c r="UVT7" s="191"/>
      <c r="UVV7" s="191"/>
      <c r="UVW7" s="191"/>
      <c r="UVX7" s="191"/>
      <c r="UVZ7" s="191"/>
      <c r="UWA7" s="191"/>
      <c r="UWB7" s="191"/>
      <c r="UWD7" s="191"/>
      <c r="UWE7" s="191"/>
      <c r="UWF7" s="191"/>
      <c r="UWH7" s="191"/>
      <c r="UWI7" s="191"/>
      <c r="UWJ7" s="191"/>
      <c r="UWL7" s="191"/>
      <c r="UWM7" s="191"/>
      <c r="UWN7" s="191"/>
      <c r="UWP7" s="191"/>
      <c r="UWQ7" s="191"/>
      <c r="UWR7" s="191"/>
      <c r="UWT7" s="191"/>
      <c r="UWU7" s="191"/>
      <c r="UWV7" s="191"/>
      <c r="UWX7" s="191"/>
      <c r="UWY7" s="191"/>
      <c r="UWZ7" s="191"/>
      <c r="UXB7" s="191"/>
      <c r="UXC7" s="191"/>
      <c r="UXD7" s="191"/>
      <c r="UXF7" s="191"/>
      <c r="UXG7" s="191"/>
      <c r="UXH7" s="191"/>
      <c r="UXJ7" s="191"/>
      <c r="UXK7" s="191"/>
      <c r="UXL7" s="191"/>
      <c r="UXN7" s="191"/>
      <c r="UXO7" s="191"/>
      <c r="UXP7" s="191"/>
      <c r="UXR7" s="191"/>
      <c r="UXS7" s="191"/>
      <c r="UXT7" s="191"/>
      <c r="UXV7" s="191"/>
      <c r="UXW7" s="191"/>
      <c r="UXX7" s="191"/>
      <c r="UXZ7" s="191"/>
      <c r="UYA7" s="191"/>
      <c r="UYB7" s="191"/>
      <c r="UYD7" s="191"/>
      <c r="UYE7" s="191"/>
      <c r="UYF7" s="191"/>
      <c r="UYH7" s="191"/>
      <c r="UYI7" s="191"/>
      <c r="UYJ7" s="191"/>
      <c r="UYL7" s="191"/>
      <c r="UYM7" s="191"/>
      <c r="UYN7" s="191"/>
      <c r="UYP7" s="191"/>
      <c r="UYQ7" s="191"/>
      <c r="UYR7" s="191"/>
      <c r="UYT7" s="191"/>
      <c r="UYU7" s="191"/>
      <c r="UYV7" s="191"/>
      <c r="UYX7" s="191"/>
      <c r="UYY7" s="191"/>
      <c r="UYZ7" s="191"/>
      <c r="UZB7" s="191"/>
      <c r="UZC7" s="191"/>
      <c r="UZD7" s="191"/>
      <c r="UZF7" s="191"/>
      <c r="UZG7" s="191"/>
      <c r="UZH7" s="191"/>
      <c r="UZJ7" s="191"/>
      <c r="UZK7" s="191"/>
      <c r="UZL7" s="191"/>
      <c r="UZN7" s="191"/>
      <c r="UZO7" s="191"/>
      <c r="UZP7" s="191"/>
      <c r="UZR7" s="191"/>
      <c r="UZS7" s="191"/>
      <c r="UZT7" s="191"/>
      <c r="UZV7" s="191"/>
      <c r="UZW7" s="191"/>
      <c r="UZX7" s="191"/>
      <c r="UZZ7" s="191"/>
      <c r="VAA7" s="191"/>
      <c r="VAB7" s="191"/>
      <c r="VAD7" s="191"/>
      <c r="VAE7" s="191"/>
      <c r="VAF7" s="191"/>
      <c r="VAH7" s="191"/>
      <c r="VAI7" s="191"/>
      <c r="VAJ7" s="191"/>
      <c r="VAL7" s="191"/>
      <c r="VAM7" s="191"/>
      <c r="VAN7" s="191"/>
      <c r="VAP7" s="191"/>
      <c r="VAQ7" s="191"/>
      <c r="VAR7" s="191"/>
      <c r="VAT7" s="191"/>
      <c r="VAU7" s="191"/>
      <c r="VAV7" s="191"/>
      <c r="VAX7" s="191"/>
      <c r="VAY7" s="191"/>
      <c r="VAZ7" s="191"/>
      <c r="VBB7" s="191"/>
      <c r="VBC7" s="191"/>
      <c r="VBD7" s="191"/>
      <c r="VBF7" s="191"/>
      <c r="VBG7" s="191"/>
      <c r="VBH7" s="191"/>
      <c r="VBJ7" s="191"/>
      <c r="VBK7" s="191"/>
      <c r="VBL7" s="191"/>
      <c r="VBN7" s="191"/>
      <c r="VBO7" s="191"/>
      <c r="VBP7" s="191"/>
      <c r="VBR7" s="191"/>
      <c r="VBS7" s="191"/>
      <c r="VBT7" s="191"/>
      <c r="VBV7" s="191"/>
      <c r="VBW7" s="191"/>
      <c r="VBX7" s="191"/>
      <c r="VBZ7" s="191"/>
      <c r="VCA7" s="191"/>
      <c r="VCB7" s="191"/>
      <c r="VCD7" s="191"/>
      <c r="VCE7" s="191"/>
      <c r="VCF7" s="191"/>
      <c r="VCH7" s="191"/>
      <c r="VCI7" s="191"/>
      <c r="VCJ7" s="191"/>
      <c r="VCL7" s="191"/>
      <c r="VCM7" s="191"/>
      <c r="VCN7" s="191"/>
      <c r="VCP7" s="191"/>
      <c r="VCQ7" s="191"/>
      <c r="VCR7" s="191"/>
      <c r="VCT7" s="191"/>
      <c r="VCU7" s="191"/>
      <c r="VCV7" s="191"/>
      <c r="VCX7" s="191"/>
      <c r="VCY7" s="191"/>
      <c r="VCZ7" s="191"/>
      <c r="VDB7" s="191"/>
      <c r="VDC7" s="191"/>
      <c r="VDD7" s="191"/>
      <c r="VDF7" s="191"/>
      <c r="VDG7" s="191"/>
      <c r="VDH7" s="191"/>
      <c r="VDJ7" s="191"/>
      <c r="VDK7" s="191"/>
      <c r="VDL7" s="191"/>
      <c r="VDN7" s="191"/>
      <c r="VDO7" s="191"/>
      <c r="VDP7" s="191"/>
      <c r="VDR7" s="191"/>
      <c r="VDS7" s="191"/>
      <c r="VDT7" s="191"/>
      <c r="VDV7" s="191"/>
      <c r="VDW7" s="191"/>
      <c r="VDX7" s="191"/>
      <c r="VDZ7" s="191"/>
      <c r="VEA7" s="191"/>
      <c r="VEB7" s="191"/>
      <c r="VED7" s="191"/>
      <c r="VEE7" s="191"/>
      <c r="VEF7" s="191"/>
      <c r="VEH7" s="191"/>
      <c r="VEI7" s="191"/>
      <c r="VEJ7" s="191"/>
      <c r="VEL7" s="191"/>
      <c r="VEM7" s="191"/>
      <c r="VEN7" s="191"/>
      <c r="VEP7" s="191"/>
      <c r="VEQ7" s="191"/>
      <c r="VER7" s="191"/>
      <c r="VET7" s="191"/>
      <c r="VEU7" s="191"/>
      <c r="VEV7" s="191"/>
      <c r="VEX7" s="191"/>
      <c r="VEY7" s="191"/>
      <c r="VEZ7" s="191"/>
      <c r="VFB7" s="191"/>
      <c r="VFC7" s="191"/>
      <c r="VFD7" s="191"/>
      <c r="VFF7" s="191"/>
      <c r="VFG7" s="191"/>
      <c r="VFH7" s="191"/>
      <c r="VFJ7" s="191"/>
      <c r="VFK7" s="191"/>
      <c r="VFL7" s="191"/>
      <c r="VFN7" s="191"/>
      <c r="VFO7" s="191"/>
      <c r="VFP7" s="191"/>
      <c r="VFR7" s="191"/>
      <c r="VFS7" s="191"/>
      <c r="VFT7" s="191"/>
      <c r="VFV7" s="191"/>
      <c r="VFW7" s="191"/>
      <c r="VFX7" s="191"/>
      <c r="VFZ7" s="191"/>
      <c r="VGA7" s="191"/>
      <c r="VGB7" s="191"/>
      <c r="VGD7" s="191"/>
      <c r="VGE7" s="191"/>
      <c r="VGF7" s="191"/>
      <c r="VGH7" s="191"/>
      <c r="VGI7" s="191"/>
      <c r="VGJ7" s="191"/>
      <c r="VGL7" s="191"/>
      <c r="VGM7" s="191"/>
      <c r="VGN7" s="191"/>
      <c r="VGP7" s="191"/>
      <c r="VGQ7" s="191"/>
      <c r="VGR7" s="191"/>
      <c r="VGT7" s="191"/>
      <c r="VGU7" s="191"/>
      <c r="VGV7" s="191"/>
      <c r="VGX7" s="191"/>
      <c r="VGY7" s="191"/>
      <c r="VGZ7" s="191"/>
      <c r="VHB7" s="191"/>
      <c r="VHC7" s="191"/>
      <c r="VHD7" s="191"/>
      <c r="VHF7" s="191"/>
      <c r="VHG7" s="191"/>
      <c r="VHH7" s="191"/>
      <c r="VHJ7" s="191"/>
      <c r="VHK7" s="191"/>
      <c r="VHL7" s="191"/>
      <c r="VHN7" s="191"/>
      <c r="VHO7" s="191"/>
      <c r="VHP7" s="191"/>
      <c r="VHR7" s="191"/>
      <c r="VHS7" s="191"/>
      <c r="VHT7" s="191"/>
      <c r="VHV7" s="191"/>
      <c r="VHW7" s="191"/>
      <c r="VHX7" s="191"/>
      <c r="VHZ7" s="191"/>
      <c r="VIA7" s="191"/>
      <c r="VIB7" s="191"/>
      <c r="VID7" s="191"/>
      <c r="VIE7" s="191"/>
      <c r="VIF7" s="191"/>
      <c r="VIH7" s="191"/>
      <c r="VII7" s="191"/>
      <c r="VIJ7" s="191"/>
      <c r="VIL7" s="191"/>
      <c r="VIM7" s="191"/>
      <c r="VIN7" s="191"/>
      <c r="VIP7" s="191"/>
      <c r="VIQ7" s="191"/>
      <c r="VIR7" s="191"/>
      <c r="VIT7" s="191"/>
      <c r="VIU7" s="191"/>
      <c r="VIV7" s="191"/>
      <c r="VIX7" s="191"/>
      <c r="VIY7" s="191"/>
      <c r="VIZ7" s="191"/>
      <c r="VJB7" s="191"/>
      <c r="VJC7" s="191"/>
      <c r="VJD7" s="191"/>
      <c r="VJF7" s="191"/>
      <c r="VJG7" s="191"/>
      <c r="VJH7" s="191"/>
      <c r="VJJ7" s="191"/>
      <c r="VJK7" s="191"/>
      <c r="VJL7" s="191"/>
      <c r="VJN7" s="191"/>
      <c r="VJO7" s="191"/>
      <c r="VJP7" s="191"/>
      <c r="VJR7" s="191"/>
      <c r="VJS7" s="191"/>
      <c r="VJT7" s="191"/>
      <c r="VJV7" s="191"/>
      <c r="VJW7" s="191"/>
      <c r="VJX7" s="191"/>
      <c r="VJZ7" s="191"/>
      <c r="VKA7" s="191"/>
      <c r="VKB7" s="191"/>
      <c r="VKD7" s="191"/>
      <c r="VKE7" s="191"/>
      <c r="VKF7" s="191"/>
      <c r="VKH7" s="191"/>
      <c r="VKI7" s="191"/>
      <c r="VKJ7" s="191"/>
      <c r="VKL7" s="191"/>
      <c r="VKM7" s="191"/>
      <c r="VKN7" s="191"/>
      <c r="VKP7" s="191"/>
      <c r="VKQ7" s="191"/>
      <c r="VKR7" s="191"/>
      <c r="VKT7" s="191"/>
      <c r="VKU7" s="191"/>
      <c r="VKV7" s="191"/>
      <c r="VKX7" s="191"/>
      <c r="VKY7" s="191"/>
      <c r="VKZ7" s="191"/>
      <c r="VLB7" s="191"/>
      <c r="VLC7" s="191"/>
      <c r="VLD7" s="191"/>
      <c r="VLF7" s="191"/>
      <c r="VLG7" s="191"/>
      <c r="VLH7" s="191"/>
      <c r="VLJ7" s="191"/>
      <c r="VLK7" s="191"/>
      <c r="VLL7" s="191"/>
      <c r="VLN7" s="191"/>
      <c r="VLO7" s="191"/>
      <c r="VLP7" s="191"/>
      <c r="VLR7" s="191"/>
      <c r="VLS7" s="191"/>
      <c r="VLT7" s="191"/>
      <c r="VLV7" s="191"/>
      <c r="VLW7" s="191"/>
      <c r="VLX7" s="191"/>
      <c r="VLZ7" s="191"/>
      <c r="VMA7" s="191"/>
      <c r="VMB7" s="191"/>
      <c r="VMD7" s="191"/>
      <c r="VME7" s="191"/>
      <c r="VMF7" s="191"/>
      <c r="VMH7" s="191"/>
      <c r="VMI7" s="191"/>
      <c r="VMJ7" s="191"/>
      <c r="VML7" s="191"/>
      <c r="VMM7" s="191"/>
      <c r="VMN7" s="191"/>
      <c r="VMP7" s="191"/>
      <c r="VMQ7" s="191"/>
      <c r="VMR7" s="191"/>
      <c r="VMT7" s="191"/>
      <c r="VMU7" s="191"/>
      <c r="VMV7" s="191"/>
      <c r="VMX7" s="191"/>
      <c r="VMY7" s="191"/>
      <c r="VMZ7" s="191"/>
      <c r="VNB7" s="191"/>
      <c r="VNC7" s="191"/>
      <c r="VND7" s="191"/>
      <c r="VNF7" s="191"/>
      <c r="VNG7" s="191"/>
      <c r="VNH7" s="191"/>
      <c r="VNJ7" s="191"/>
      <c r="VNK7" s="191"/>
      <c r="VNL7" s="191"/>
      <c r="VNN7" s="191"/>
      <c r="VNO7" s="191"/>
      <c r="VNP7" s="191"/>
      <c r="VNR7" s="191"/>
      <c r="VNS7" s="191"/>
      <c r="VNT7" s="191"/>
      <c r="VNV7" s="191"/>
      <c r="VNW7" s="191"/>
      <c r="VNX7" s="191"/>
      <c r="VNZ7" s="191"/>
      <c r="VOA7" s="191"/>
      <c r="VOB7" s="191"/>
      <c r="VOD7" s="191"/>
      <c r="VOE7" s="191"/>
      <c r="VOF7" s="191"/>
      <c r="VOH7" s="191"/>
      <c r="VOI7" s="191"/>
      <c r="VOJ7" s="191"/>
      <c r="VOL7" s="191"/>
      <c r="VOM7" s="191"/>
      <c r="VON7" s="191"/>
      <c r="VOP7" s="191"/>
      <c r="VOQ7" s="191"/>
      <c r="VOR7" s="191"/>
      <c r="VOT7" s="191"/>
      <c r="VOU7" s="191"/>
      <c r="VOV7" s="191"/>
      <c r="VOX7" s="191"/>
      <c r="VOY7" s="191"/>
      <c r="VOZ7" s="191"/>
      <c r="VPB7" s="191"/>
      <c r="VPC7" s="191"/>
      <c r="VPD7" s="191"/>
      <c r="VPF7" s="191"/>
      <c r="VPG7" s="191"/>
      <c r="VPH7" s="191"/>
      <c r="VPJ7" s="191"/>
      <c r="VPK7" s="191"/>
      <c r="VPL7" s="191"/>
      <c r="VPN7" s="191"/>
      <c r="VPO7" s="191"/>
      <c r="VPP7" s="191"/>
      <c r="VPR7" s="191"/>
      <c r="VPS7" s="191"/>
      <c r="VPT7" s="191"/>
      <c r="VPV7" s="191"/>
      <c r="VPW7" s="191"/>
      <c r="VPX7" s="191"/>
      <c r="VPZ7" s="191"/>
      <c r="VQA7" s="191"/>
      <c r="VQB7" s="191"/>
      <c r="VQD7" s="191"/>
      <c r="VQE7" s="191"/>
      <c r="VQF7" s="191"/>
      <c r="VQH7" s="191"/>
      <c r="VQI7" s="191"/>
      <c r="VQJ7" s="191"/>
      <c r="VQL7" s="191"/>
      <c r="VQM7" s="191"/>
      <c r="VQN7" s="191"/>
      <c r="VQP7" s="191"/>
      <c r="VQQ7" s="191"/>
      <c r="VQR7" s="191"/>
      <c r="VQT7" s="191"/>
      <c r="VQU7" s="191"/>
      <c r="VQV7" s="191"/>
      <c r="VQX7" s="191"/>
      <c r="VQY7" s="191"/>
      <c r="VQZ7" s="191"/>
      <c r="VRB7" s="191"/>
      <c r="VRC7" s="191"/>
      <c r="VRD7" s="191"/>
      <c r="VRF7" s="191"/>
      <c r="VRG7" s="191"/>
      <c r="VRH7" s="191"/>
      <c r="VRJ7" s="191"/>
      <c r="VRK7" s="191"/>
      <c r="VRL7" s="191"/>
      <c r="VRN7" s="191"/>
      <c r="VRO7" s="191"/>
      <c r="VRP7" s="191"/>
      <c r="VRR7" s="191"/>
      <c r="VRS7" s="191"/>
      <c r="VRT7" s="191"/>
      <c r="VRV7" s="191"/>
      <c r="VRW7" s="191"/>
      <c r="VRX7" s="191"/>
      <c r="VRZ7" s="191"/>
      <c r="VSA7" s="191"/>
      <c r="VSB7" s="191"/>
      <c r="VSD7" s="191"/>
      <c r="VSE7" s="191"/>
      <c r="VSF7" s="191"/>
      <c r="VSH7" s="191"/>
      <c r="VSI7" s="191"/>
      <c r="VSJ7" s="191"/>
      <c r="VSL7" s="191"/>
      <c r="VSM7" s="191"/>
      <c r="VSN7" s="191"/>
      <c r="VSP7" s="191"/>
      <c r="VSQ7" s="191"/>
      <c r="VSR7" s="191"/>
      <c r="VST7" s="191"/>
      <c r="VSU7" s="191"/>
      <c r="VSV7" s="191"/>
      <c r="VSX7" s="191"/>
      <c r="VSY7" s="191"/>
      <c r="VSZ7" s="191"/>
      <c r="VTB7" s="191"/>
      <c r="VTC7" s="191"/>
      <c r="VTD7" s="191"/>
      <c r="VTF7" s="191"/>
      <c r="VTG7" s="191"/>
      <c r="VTH7" s="191"/>
      <c r="VTJ7" s="191"/>
      <c r="VTK7" s="191"/>
      <c r="VTL7" s="191"/>
      <c r="VTN7" s="191"/>
      <c r="VTO7" s="191"/>
      <c r="VTP7" s="191"/>
      <c r="VTR7" s="191"/>
      <c r="VTS7" s="191"/>
      <c r="VTT7" s="191"/>
      <c r="VTV7" s="191"/>
      <c r="VTW7" s="191"/>
      <c r="VTX7" s="191"/>
      <c r="VTZ7" s="191"/>
      <c r="VUA7" s="191"/>
      <c r="VUB7" s="191"/>
      <c r="VUD7" s="191"/>
      <c r="VUE7" s="191"/>
      <c r="VUF7" s="191"/>
      <c r="VUH7" s="191"/>
      <c r="VUI7" s="191"/>
      <c r="VUJ7" s="191"/>
      <c r="VUL7" s="191"/>
      <c r="VUM7" s="191"/>
      <c r="VUN7" s="191"/>
      <c r="VUP7" s="191"/>
      <c r="VUQ7" s="191"/>
      <c r="VUR7" s="191"/>
      <c r="VUT7" s="191"/>
      <c r="VUU7" s="191"/>
      <c r="VUV7" s="191"/>
      <c r="VUX7" s="191"/>
      <c r="VUY7" s="191"/>
      <c r="VUZ7" s="191"/>
      <c r="VVB7" s="191"/>
      <c r="VVC7" s="191"/>
      <c r="VVD7" s="191"/>
      <c r="VVF7" s="191"/>
      <c r="VVG7" s="191"/>
      <c r="VVH7" s="191"/>
      <c r="VVJ7" s="191"/>
      <c r="VVK7" s="191"/>
      <c r="VVL7" s="191"/>
      <c r="VVN7" s="191"/>
      <c r="VVO7" s="191"/>
      <c r="VVP7" s="191"/>
      <c r="VVR7" s="191"/>
      <c r="VVS7" s="191"/>
      <c r="VVT7" s="191"/>
      <c r="VVV7" s="191"/>
      <c r="VVW7" s="191"/>
      <c r="VVX7" s="191"/>
      <c r="VVZ7" s="191"/>
      <c r="VWA7" s="191"/>
      <c r="VWB7" s="191"/>
      <c r="VWD7" s="191"/>
      <c r="VWE7" s="191"/>
      <c r="VWF7" s="191"/>
      <c r="VWH7" s="191"/>
      <c r="VWI7" s="191"/>
      <c r="VWJ7" s="191"/>
      <c r="VWL7" s="191"/>
      <c r="VWM7" s="191"/>
      <c r="VWN7" s="191"/>
      <c r="VWP7" s="191"/>
      <c r="VWQ7" s="191"/>
      <c r="VWR7" s="191"/>
      <c r="VWT7" s="191"/>
      <c r="VWU7" s="191"/>
      <c r="VWV7" s="191"/>
      <c r="VWX7" s="191"/>
      <c r="VWY7" s="191"/>
      <c r="VWZ7" s="191"/>
      <c r="VXB7" s="191"/>
      <c r="VXC7" s="191"/>
      <c r="VXD7" s="191"/>
      <c r="VXF7" s="191"/>
      <c r="VXG7" s="191"/>
      <c r="VXH7" s="191"/>
      <c r="VXJ7" s="191"/>
      <c r="VXK7" s="191"/>
      <c r="VXL7" s="191"/>
      <c r="VXN7" s="191"/>
      <c r="VXO7" s="191"/>
      <c r="VXP7" s="191"/>
      <c r="VXR7" s="191"/>
      <c r="VXS7" s="191"/>
      <c r="VXT7" s="191"/>
      <c r="VXV7" s="191"/>
      <c r="VXW7" s="191"/>
      <c r="VXX7" s="191"/>
      <c r="VXZ7" s="191"/>
      <c r="VYA7" s="191"/>
      <c r="VYB7" s="191"/>
      <c r="VYD7" s="191"/>
      <c r="VYE7" s="191"/>
      <c r="VYF7" s="191"/>
      <c r="VYH7" s="191"/>
      <c r="VYI7" s="191"/>
      <c r="VYJ7" s="191"/>
      <c r="VYL7" s="191"/>
      <c r="VYM7" s="191"/>
      <c r="VYN7" s="191"/>
      <c r="VYP7" s="191"/>
      <c r="VYQ7" s="191"/>
      <c r="VYR7" s="191"/>
      <c r="VYT7" s="191"/>
      <c r="VYU7" s="191"/>
      <c r="VYV7" s="191"/>
      <c r="VYX7" s="191"/>
      <c r="VYY7" s="191"/>
      <c r="VYZ7" s="191"/>
      <c r="VZB7" s="191"/>
      <c r="VZC7" s="191"/>
      <c r="VZD7" s="191"/>
      <c r="VZF7" s="191"/>
      <c r="VZG7" s="191"/>
      <c r="VZH7" s="191"/>
      <c r="VZJ7" s="191"/>
      <c r="VZK7" s="191"/>
      <c r="VZL7" s="191"/>
      <c r="VZN7" s="191"/>
      <c r="VZO7" s="191"/>
      <c r="VZP7" s="191"/>
      <c r="VZR7" s="191"/>
      <c r="VZS7" s="191"/>
      <c r="VZT7" s="191"/>
      <c r="VZV7" s="191"/>
      <c r="VZW7" s="191"/>
      <c r="VZX7" s="191"/>
      <c r="VZZ7" s="191"/>
      <c r="WAA7" s="191"/>
      <c r="WAB7" s="191"/>
      <c r="WAD7" s="191"/>
      <c r="WAE7" s="191"/>
      <c r="WAF7" s="191"/>
      <c r="WAH7" s="191"/>
      <c r="WAI7" s="191"/>
      <c r="WAJ7" s="191"/>
      <c r="WAL7" s="191"/>
      <c r="WAM7" s="191"/>
      <c r="WAN7" s="191"/>
      <c r="WAP7" s="191"/>
      <c r="WAQ7" s="191"/>
      <c r="WAR7" s="191"/>
      <c r="WAT7" s="191"/>
      <c r="WAU7" s="191"/>
      <c r="WAV7" s="191"/>
      <c r="WAX7" s="191"/>
      <c r="WAY7" s="191"/>
      <c r="WAZ7" s="191"/>
      <c r="WBB7" s="191"/>
      <c r="WBC7" s="191"/>
      <c r="WBD7" s="191"/>
      <c r="WBF7" s="191"/>
      <c r="WBG7" s="191"/>
      <c r="WBH7" s="191"/>
      <c r="WBJ7" s="191"/>
      <c r="WBK7" s="191"/>
      <c r="WBL7" s="191"/>
      <c r="WBN7" s="191"/>
      <c r="WBO7" s="191"/>
      <c r="WBP7" s="191"/>
      <c r="WBR7" s="191"/>
      <c r="WBS7" s="191"/>
      <c r="WBT7" s="191"/>
      <c r="WBV7" s="191"/>
      <c r="WBW7" s="191"/>
      <c r="WBX7" s="191"/>
      <c r="WBZ7" s="191"/>
      <c r="WCA7" s="191"/>
      <c r="WCB7" s="191"/>
      <c r="WCD7" s="191"/>
      <c r="WCE7" s="191"/>
      <c r="WCF7" s="191"/>
      <c r="WCH7" s="191"/>
      <c r="WCI7" s="191"/>
      <c r="WCJ7" s="191"/>
      <c r="WCL7" s="191"/>
      <c r="WCM7" s="191"/>
      <c r="WCN7" s="191"/>
      <c r="WCP7" s="191"/>
      <c r="WCQ7" s="191"/>
      <c r="WCR7" s="191"/>
      <c r="WCT7" s="191"/>
      <c r="WCU7" s="191"/>
      <c r="WCV7" s="191"/>
      <c r="WCX7" s="191"/>
      <c r="WCY7" s="191"/>
      <c r="WCZ7" s="191"/>
      <c r="WDB7" s="191"/>
      <c r="WDC7" s="191"/>
      <c r="WDD7" s="191"/>
      <c r="WDF7" s="191"/>
      <c r="WDG7" s="191"/>
      <c r="WDH7" s="191"/>
      <c r="WDJ7" s="191"/>
      <c r="WDK7" s="191"/>
      <c r="WDL7" s="191"/>
      <c r="WDN7" s="191"/>
      <c r="WDO7" s="191"/>
      <c r="WDP7" s="191"/>
      <c r="WDR7" s="191"/>
      <c r="WDS7" s="191"/>
      <c r="WDT7" s="191"/>
      <c r="WDV7" s="191"/>
      <c r="WDW7" s="191"/>
      <c r="WDX7" s="191"/>
      <c r="WDZ7" s="191"/>
      <c r="WEA7" s="191"/>
      <c r="WEB7" s="191"/>
      <c r="WED7" s="191"/>
      <c r="WEE7" s="191"/>
      <c r="WEF7" s="191"/>
      <c r="WEH7" s="191"/>
      <c r="WEI7" s="191"/>
      <c r="WEJ7" s="191"/>
      <c r="WEL7" s="191"/>
      <c r="WEM7" s="191"/>
      <c r="WEN7" s="191"/>
      <c r="WEP7" s="191"/>
      <c r="WEQ7" s="191"/>
      <c r="WER7" s="191"/>
      <c r="WET7" s="191"/>
      <c r="WEU7" s="191"/>
      <c r="WEV7" s="191"/>
      <c r="WEX7" s="191"/>
      <c r="WEY7" s="191"/>
      <c r="WEZ7" s="191"/>
      <c r="WFB7" s="191"/>
      <c r="WFC7" s="191"/>
      <c r="WFD7" s="191"/>
      <c r="WFF7" s="191"/>
      <c r="WFG7" s="191"/>
      <c r="WFH7" s="191"/>
      <c r="WFJ7" s="191"/>
      <c r="WFK7" s="191"/>
      <c r="WFL7" s="191"/>
      <c r="WFN7" s="191"/>
      <c r="WFO7" s="191"/>
      <c r="WFP7" s="191"/>
      <c r="WFR7" s="191"/>
      <c r="WFS7" s="191"/>
      <c r="WFT7" s="191"/>
      <c r="WFV7" s="191"/>
      <c r="WFW7" s="191"/>
      <c r="WFX7" s="191"/>
      <c r="WFZ7" s="191"/>
      <c r="WGA7" s="191"/>
      <c r="WGB7" s="191"/>
      <c r="WGD7" s="191"/>
      <c r="WGE7" s="191"/>
      <c r="WGF7" s="191"/>
      <c r="WGH7" s="191"/>
      <c r="WGI7" s="191"/>
      <c r="WGJ7" s="191"/>
      <c r="WGL7" s="191"/>
      <c r="WGM7" s="191"/>
      <c r="WGN7" s="191"/>
      <c r="WGP7" s="191"/>
      <c r="WGQ7" s="191"/>
      <c r="WGR7" s="191"/>
      <c r="WGT7" s="191"/>
      <c r="WGU7" s="191"/>
      <c r="WGV7" s="191"/>
      <c r="WGX7" s="191"/>
      <c r="WGY7" s="191"/>
      <c r="WGZ7" s="191"/>
      <c r="WHB7" s="191"/>
      <c r="WHC7" s="191"/>
      <c r="WHD7" s="191"/>
      <c r="WHF7" s="191"/>
      <c r="WHG7" s="191"/>
      <c r="WHH7" s="191"/>
      <c r="WHJ7" s="191"/>
      <c r="WHK7" s="191"/>
      <c r="WHL7" s="191"/>
      <c r="WHN7" s="191"/>
      <c r="WHO7" s="191"/>
      <c r="WHP7" s="191"/>
      <c r="WHR7" s="191"/>
      <c r="WHS7" s="191"/>
      <c r="WHT7" s="191"/>
      <c r="WHV7" s="191"/>
      <c r="WHW7" s="191"/>
      <c r="WHX7" s="191"/>
      <c r="WHZ7" s="191"/>
      <c r="WIA7" s="191"/>
      <c r="WIB7" s="191"/>
      <c r="WID7" s="191"/>
      <c r="WIE7" s="191"/>
      <c r="WIF7" s="191"/>
      <c r="WIH7" s="191"/>
      <c r="WII7" s="191"/>
      <c r="WIJ7" s="191"/>
      <c r="WIL7" s="191"/>
      <c r="WIM7" s="191"/>
      <c r="WIN7" s="191"/>
      <c r="WIP7" s="191"/>
      <c r="WIQ7" s="191"/>
      <c r="WIR7" s="191"/>
      <c r="WIT7" s="191"/>
      <c r="WIU7" s="191"/>
      <c r="WIV7" s="191"/>
      <c r="WIX7" s="191"/>
      <c r="WIY7" s="191"/>
      <c r="WIZ7" s="191"/>
      <c r="WJB7" s="191"/>
      <c r="WJC7" s="191"/>
      <c r="WJD7" s="191"/>
      <c r="WJF7" s="191"/>
      <c r="WJG7" s="191"/>
      <c r="WJH7" s="191"/>
      <c r="WJJ7" s="191"/>
      <c r="WJK7" s="191"/>
      <c r="WJL7" s="191"/>
      <c r="WJN7" s="191"/>
      <c r="WJO7" s="191"/>
      <c r="WJP7" s="191"/>
      <c r="WJR7" s="191"/>
      <c r="WJS7" s="191"/>
      <c r="WJT7" s="191"/>
      <c r="WJV7" s="191"/>
      <c r="WJW7" s="191"/>
      <c r="WJX7" s="191"/>
      <c r="WJZ7" s="191"/>
      <c r="WKA7" s="191"/>
      <c r="WKB7" s="191"/>
      <c r="WKD7" s="191"/>
      <c r="WKE7" s="191"/>
      <c r="WKF7" s="191"/>
      <c r="WKH7" s="191"/>
      <c r="WKI7" s="191"/>
      <c r="WKJ7" s="191"/>
      <c r="WKL7" s="191"/>
      <c r="WKM7" s="191"/>
      <c r="WKN7" s="191"/>
      <c r="WKP7" s="191"/>
      <c r="WKQ7" s="191"/>
      <c r="WKR7" s="191"/>
      <c r="WKT7" s="191"/>
      <c r="WKU7" s="191"/>
      <c r="WKV7" s="191"/>
      <c r="WKX7" s="191"/>
      <c r="WKY7" s="191"/>
      <c r="WKZ7" s="191"/>
      <c r="WLB7" s="191"/>
      <c r="WLC7" s="191"/>
      <c r="WLD7" s="191"/>
      <c r="WLF7" s="191"/>
      <c r="WLG7" s="191"/>
      <c r="WLH7" s="191"/>
      <c r="WLJ7" s="191"/>
      <c r="WLK7" s="191"/>
      <c r="WLL7" s="191"/>
      <c r="WLN7" s="191"/>
      <c r="WLO7" s="191"/>
      <c r="WLP7" s="191"/>
      <c r="WLR7" s="191"/>
      <c r="WLS7" s="191"/>
      <c r="WLT7" s="191"/>
      <c r="WLV7" s="191"/>
      <c r="WLW7" s="191"/>
      <c r="WLX7" s="191"/>
      <c r="WLZ7" s="191"/>
      <c r="WMA7" s="191"/>
      <c r="WMB7" s="191"/>
      <c r="WMD7" s="191"/>
      <c r="WME7" s="191"/>
      <c r="WMF7" s="191"/>
      <c r="WMH7" s="191"/>
      <c r="WMI7" s="191"/>
      <c r="WMJ7" s="191"/>
      <c r="WML7" s="191"/>
      <c r="WMM7" s="191"/>
      <c r="WMN7" s="191"/>
      <c r="WMP7" s="191"/>
      <c r="WMQ7" s="191"/>
      <c r="WMR7" s="191"/>
      <c r="WMT7" s="191"/>
      <c r="WMU7" s="191"/>
      <c r="WMV7" s="191"/>
      <c r="WMX7" s="191"/>
      <c r="WMY7" s="191"/>
      <c r="WMZ7" s="191"/>
      <c r="WNB7" s="191"/>
      <c r="WNC7" s="191"/>
      <c r="WND7" s="191"/>
      <c r="WNF7" s="191"/>
      <c r="WNG7" s="191"/>
      <c r="WNH7" s="191"/>
      <c r="WNJ7" s="191"/>
      <c r="WNK7" s="191"/>
      <c r="WNL7" s="191"/>
      <c r="WNN7" s="191"/>
      <c r="WNO7" s="191"/>
      <c r="WNP7" s="191"/>
      <c r="WNR7" s="191"/>
      <c r="WNS7" s="191"/>
      <c r="WNT7" s="191"/>
      <c r="WNV7" s="191"/>
      <c r="WNW7" s="191"/>
      <c r="WNX7" s="191"/>
      <c r="WNZ7" s="191"/>
      <c r="WOA7" s="191"/>
      <c r="WOB7" s="191"/>
      <c r="WOD7" s="191"/>
      <c r="WOE7" s="191"/>
      <c r="WOF7" s="191"/>
      <c r="WOH7" s="191"/>
      <c r="WOI7" s="191"/>
      <c r="WOJ7" s="191"/>
      <c r="WOL7" s="191"/>
      <c r="WOM7" s="191"/>
      <c r="WON7" s="191"/>
      <c r="WOP7" s="191"/>
      <c r="WOQ7" s="191"/>
      <c r="WOR7" s="191"/>
      <c r="WOT7" s="191"/>
      <c r="WOU7" s="191"/>
      <c r="WOV7" s="191"/>
      <c r="WOX7" s="191"/>
      <c r="WOY7" s="191"/>
      <c r="WOZ7" s="191"/>
      <c r="WPB7" s="191"/>
      <c r="WPC7" s="191"/>
      <c r="WPD7" s="191"/>
      <c r="WPF7" s="191"/>
      <c r="WPG7" s="191"/>
      <c r="WPH7" s="191"/>
      <c r="WPJ7" s="191"/>
      <c r="WPK7" s="191"/>
      <c r="WPL7" s="191"/>
      <c r="WPN7" s="191"/>
      <c r="WPO7" s="191"/>
      <c r="WPP7" s="191"/>
      <c r="WPR7" s="191"/>
      <c r="WPS7" s="191"/>
      <c r="WPT7" s="191"/>
      <c r="WPV7" s="191"/>
      <c r="WPW7" s="191"/>
      <c r="WPX7" s="191"/>
      <c r="WPZ7" s="191"/>
      <c r="WQA7" s="191"/>
      <c r="WQB7" s="191"/>
      <c r="WQD7" s="191"/>
      <c r="WQE7" s="191"/>
      <c r="WQF7" s="191"/>
      <c r="WQH7" s="191"/>
      <c r="WQI7" s="191"/>
      <c r="WQJ7" s="191"/>
      <c r="WQL7" s="191"/>
      <c r="WQM7" s="191"/>
      <c r="WQN7" s="191"/>
      <c r="WQP7" s="191"/>
      <c r="WQQ7" s="191"/>
      <c r="WQR7" s="191"/>
      <c r="WQT7" s="191"/>
      <c r="WQU7" s="191"/>
      <c r="WQV7" s="191"/>
      <c r="WQX7" s="191"/>
      <c r="WQY7" s="191"/>
      <c r="WQZ7" s="191"/>
      <c r="WRB7" s="191"/>
      <c r="WRC7" s="191"/>
      <c r="WRD7" s="191"/>
      <c r="WRF7" s="191"/>
      <c r="WRG7" s="191"/>
      <c r="WRH7" s="191"/>
      <c r="WRJ7" s="191"/>
      <c r="WRK7" s="191"/>
      <c r="WRL7" s="191"/>
      <c r="WRN7" s="191"/>
      <c r="WRO7" s="191"/>
      <c r="WRP7" s="191"/>
      <c r="WRR7" s="191"/>
      <c r="WRS7" s="191"/>
      <c r="WRT7" s="191"/>
      <c r="WRV7" s="191"/>
      <c r="WRW7" s="191"/>
      <c r="WRX7" s="191"/>
      <c r="WRZ7" s="191"/>
      <c r="WSA7" s="191"/>
      <c r="WSB7" s="191"/>
      <c r="WSD7" s="191"/>
      <c r="WSE7" s="191"/>
      <c r="WSF7" s="191"/>
      <c r="WSH7" s="191"/>
      <c r="WSI7" s="191"/>
      <c r="WSJ7" s="191"/>
      <c r="WSL7" s="191"/>
      <c r="WSM7" s="191"/>
      <c r="WSN7" s="191"/>
      <c r="WSP7" s="191"/>
      <c r="WSQ7" s="191"/>
      <c r="WSR7" s="191"/>
      <c r="WST7" s="191"/>
      <c r="WSU7" s="191"/>
      <c r="WSV7" s="191"/>
      <c r="WSX7" s="191"/>
      <c r="WSY7" s="191"/>
      <c r="WSZ7" s="191"/>
      <c r="WTB7" s="191"/>
      <c r="WTC7" s="191"/>
      <c r="WTD7" s="191"/>
      <c r="WTF7" s="191"/>
      <c r="WTG7" s="191"/>
      <c r="WTH7" s="191"/>
      <c r="WTJ7" s="191"/>
      <c r="WTK7" s="191"/>
      <c r="WTL7" s="191"/>
      <c r="WTN7" s="191"/>
      <c r="WTO7" s="191"/>
      <c r="WTP7" s="191"/>
      <c r="WTR7" s="191"/>
      <c r="WTS7" s="191"/>
      <c r="WTT7" s="191"/>
      <c r="WTV7" s="191"/>
      <c r="WTW7" s="191"/>
      <c r="WTX7" s="191"/>
      <c r="WTZ7" s="191"/>
      <c r="WUA7" s="191"/>
      <c r="WUB7" s="191"/>
      <c r="WUD7" s="191"/>
      <c r="WUE7" s="191"/>
      <c r="WUF7" s="191"/>
      <c r="WUH7" s="191"/>
      <c r="WUI7" s="191"/>
      <c r="WUJ7" s="191"/>
      <c r="WUL7" s="191"/>
      <c r="WUM7" s="191"/>
      <c r="WUN7" s="191"/>
      <c r="WUP7" s="191"/>
      <c r="WUQ7" s="191"/>
      <c r="WUR7" s="191"/>
      <c r="WUT7" s="191"/>
      <c r="WUU7" s="191"/>
      <c r="WUV7" s="191"/>
      <c r="WUX7" s="191"/>
      <c r="WUY7" s="191"/>
      <c r="WUZ7" s="191"/>
      <c r="WVB7" s="191"/>
      <c r="WVC7" s="191"/>
      <c r="WVD7" s="191"/>
      <c r="WVF7" s="191"/>
      <c r="WVG7" s="191"/>
      <c r="WVH7" s="191"/>
      <c r="WVJ7" s="191"/>
      <c r="WVK7" s="191"/>
      <c r="WVL7" s="191"/>
      <c r="WVN7" s="191"/>
      <c r="WVO7" s="191"/>
      <c r="WVP7" s="191"/>
      <c r="WVR7" s="191"/>
      <c r="WVS7" s="191"/>
      <c r="WVT7" s="191"/>
      <c r="WVV7" s="191"/>
      <c r="WVW7" s="191"/>
      <c r="WVX7" s="191"/>
      <c r="WVZ7" s="191"/>
      <c r="WWA7" s="191"/>
      <c r="WWB7" s="191"/>
      <c r="WWD7" s="191"/>
      <c r="WWE7" s="191"/>
      <c r="WWF7" s="191"/>
      <c r="WWH7" s="191"/>
      <c r="WWI7" s="191"/>
      <c r="WWJ7" s="191"/>
      <c r="WWL7" s="191"/>
      <c r="WWM7" s="191"/>
      <c r="WWN7" s="191"/>
      <c r="WWP7" s="191"/>
      <c r="WWQ7" s="191"/>
      <c r="WWR7" s="191"/>
      <c r="WWT7" s="191"/>
      <c r="WWU7" s="191"/>
      <c r="WWV7" s="191"/>
      <c r="WWX7" s="191"/>
      <c r="WWY7" s="191"/>
      <c r="WWZ7" s="191"/>
      <c r="WXB7" s="191"/>
      <c r="WXC7" s="191"/>
      <c r="WXD7" s="191"/>
      <c r="WXF7" s="191"/>
      <c r="WXG7" s="191"/>
      <c r="WXH7" s="191"/>
      <c r="WXJ7" s="191"/>
      <c r="WXK7" s="191"/>
      <c r="WXL7" s="191"/>
      <c r="WXN7" s="191"/>
      <c r="WXO7" s="191"/>
      <c r="WXP7" s="191"/>
      <c r="WXR7" s="191"/>
      <c r="WXS7" s="191"/>
      <c r="WXT7" s="191"/>
      <c r="WXV7" s="191"/>
      <c r="WXW7" s="191"/>
      <c r="WXX7" s="191"/>
      <c r="WXZ7" s="191"/>
      <c r="WYA7" s="191"/>
      <c r="WYB7" s="191"/>
      <c r="WYD7" s="191"/>
      <c r="WYE7" s="191"/>
      <c r="WYF7" s="191"/>
      <c r="WYH7" s="191"/>
      <c r="WYI7" s="191"/>
      <c r="WYJ7" s="191"/>
      <c r="WYL7" s="191"/>
      <c r="WYM7" s="191"/>
      <c r="WYN7" s="191"/>
      <c r="WYP7" s="191"/>
      <c r="WYQ7" s="191"/>
      <c r="WYR7" s="191"/>
      <c r="WYT7" s="191"/>
      <c r="WYU7" s="191"/>
      <c r="WYV7" s="191"/>
      <c r="WYX7" s="191"/>
      <c r="WYY7" s="191"/>
      <c r="WYZ7" s="191"/>
      <c r="WZB7" s="191"/>
      <c r="WZC7" s="191"/>
      <c r="WZD7" s="191"/>
      <c r="WZF7" s="191"/>
      <c r="WZG7" s="191"/>
      <c r="WZH7" s="191"/>
      <c r="WZJ7" s="191"/>
      <c r="WZK7" s="191"/>
      <c r="WZL7" s="191"/>
      <c r="WZN7" s="191"/>
      <c r="WZO7" s="191"/>
      <c r="WZP7" s="191"/>
      <c r="WZR7" s="191"/>
      <c r="WZS7" s="191"/>
      <c r="WZT7" s="191"/>
      <c r="WZV7" s="191"/>
      <c r="WZW7" s="191"/>
      <c r="WZX7" s="191"/>
      <c r="WZZ7" s="191"/>
      <c r="XAA7" s="191"/>
      <c r="XAB7" s="191"/>
      <c r="XAD7" s="191"/>
      <c r="XAE7" s="191"/>
      <c r="XAF7" s="191"/>
      <c r="XAH7" s="191"/>
      <c r="XAI7" s="191"/>
      <c r="XAJ7" s="191"/>
      <c r="XAL7" s="191"/>
      <c r="XAM7" s="191"/>
      <c r="XAN7" s="191"/>
      <c r="XAP7" s="191"/>
      <c r="XAQ7" s="191"/>
      <c r="XAR7" s="191"/>
      <c r="XAT7" s="191"/>
      <c r="XAU7" s="191"/>
      <c r="XAV7" s="191"/>
      <c r="XAX7" s="191"/>
      <c r="XAY7" s="191"/>
      <c r="XAZ7" s="191"/>
      <c r="XBB7" s="191"/>
      <c r="XBC7" s="191"/>
      <c r="XBD7" s="191"/>
      <c r="XBF7" s="191"/>
      <c r="XBG7" s="191"/>
      <c r="XBH7" s="191"/>
      <c r="XBJ7" s="191"/>
      <c r="XBK7" s="191"/>
      <c r="XBL7" s="191"/>
      <c r="XBN7" s="191"/>
      <c r="XBO7" s="191"/>
      <c r="XBP7" s="191"/>
      <c r="XBR7" s="191"/>
      <c r="XBS7" s="191"/>
      <c r="XBT7" s="191"/>
      <c r="XBV7" s="191"/>
      <c r="XBW7" s="191"/>
      <c r="XBX7" s="191"/>
      <c r="XBZ7" s="191"/>
      <c r="XCA7" s="191"/>
      <c r="XCB7" s="191"/>
      <c r="XCD7" s="191"/>
      <c r="XCE7" s="191"/>
      <c r="XCF7" s="191"/>
      <c r="XCH7" s="191"/>
      <c r="XCI7" s="191"/>
      <c r="XCJ7" s="191"/>
      <c r="XCL7" s="191"/>
      <c r="XCM7" s="191"/>
      <c r="XCN7" s="191"/>
      <c r="XCP7" s="191"/>
      <c r="XCQ7" s="191"/>
      <c r="XCR7" s="191"/>
      <c r="XCT7" s="191"/>
      <c r="XCU7" s="191"/>
      <c r="XCV7" s="191"/>
      <c r="XCX7" s="191"/>
      <c r="XCY7" s="191"/>
      <c r="XCZ7" s="191"/>
      <c r="XDB7" s="191"/>
      <c r="XDC7" s="191"/>
      <c r="XDD7" s="191"/>
      <c r="XDF7" s="191"/>
      <c r="XDG7" s="191"/>
      <c r="XDH7" s="191"/>
      <c r="XDJ7" s="191"/>
      <c r="XDK7" s="191"/>
      <c r="XDL7" s="191"/>
      <c r="XDN7" s="191"/>
      <c r="XDO7" s="191"/>
      <c r="XDP7" s="191"/>
      <c r="XDR7" s="191"/>
      <c r="XDS7" s="191"/>
      <c r="XDT7" s="191"/>
      <c r="XDV7" s="191"/>
      <c r="XDW7" s="191"/>
      <c r="XDX7" s="191"/>
      <c r="XDZ7" s="191"/>
      <c r="XEA7" s="191"/>
      <c r="XEB7" s="191"/>
      <c r="XED7" s="191"/>
      <c r="XEE7" s="191"/>
      <c r="XEF7" s="191"/>
      <c r="XEH7" s="191"/>
      <c r="XEI7" s="191"/>
      <c r="XEJ7" s="191"/>
      <c r="XEL7" s="191"/>
      <c r="XEM7" s="191"/>
      <c r="XEN7" s="191"/>
      <c r="XEP7" s="191"/>
      <c r="XEQ7" s="191"/>
      <c r="XER7" s="191"/>
      <c r="XET7" s="191"/>
      <c r="XEU7" s="191"/>
      <c r="XEV7" s="191"/>
      <c r="XEX7" s="191"/>
      <c r="XEY7" s="191"/>
      <c r="XEZ7" s="191"/>
      <c r="XFB7" s="191"/>
      <c r="XFC7" s="191"/>
      <c r="XFD7" s="191"/>
    </row>
    <row r="8" spans="1:1024 1026:2048 2050:3072 3074:4096 4098:5120 5122:6144 6146:7168 7170:8192 8194:9216 9218:10240 10242:11264 11266:12288 12290:13312 13314:14336 14338:15360 15362:16384" ht="16.2" thickBot="1" x14ac:dyDescent="0.35">
      <c r="A8" t="s">
        <v>28</v>
      </c>
      <c r="B8" s="194">
        <f>'For Employee'!E21</f>
        <v>4.5546384</v>
      </c>
      <c r="C8" s="194">
        <f>'For Employee'!F21</f>
        <v>4.3893390000000005</v>
      </c>
      <c r="D8" s="194">
        <f>'For Employee'!G21</f>
        <v>7.5705162000000001</v>
      </c>
      <c r="E8" s="194">
        <f>'For Employee'!H21</f>
        <v>7.7055985500000004</v>
      </c>
      <c r="F8" s="194">
        <f>'For Employee'!I21</f>
        <v>8.0056460400000002</v>
      </c>
      <c r="G8" s="194">
        <f>'For Employee'!J21</f>
        <v>8.6720761</v>
      </c>
      <c r="H8" s="194">
        <f>'For Employee'!K21</f>
        <v>7.9119280285714293</v>
      </c>
      <c r="I8" s="194">
        <f>'For Employee'!L21</f>
        <v>8.1180660000000007</v>
      </c>
      <c r="J8" s="194">
        <f>'For Employee'!M21</f>
        <v>8.1459954666666654</v>
      </c>
      <c r="K8" s="194">
        <f>'For Employee'!N21</f>
        <v>7.797659519999999</v>
      </c>
      <c r="L8" s="194">
        <f>'For Employee'!O21</f>
        <v>7.2905481818181812</v>
      </c>
      <c r="M8" s="194">
        <f>'For Employee'!P21</f>
        <v>7.5790550499999991</v>
      </c>
    </row>
    <row r="9" spans="1:1024 1026:2048 2050:3072 3074:4096 4098:5120 5122:6144 6146:7168 7170:8192 8194:9216 9218:10240 10242:11264 11266:12288 12290:13312 13314:14336 14338:15360 15362:16384" ht="16.2" thickTop="1" x14ac:dyDescent="0.3">
      <c r="A9" s="189" t="s">
        <v>294</v>
      </c>
      <c r="B9" s="190">
        <v>1</v>
      </c>
      <c r="C9" s="190">
        <v>1</v>
      </c>
      <c r="D9" s="190">
        <v>1</v>
      </c>
      <c r="E9" s="190">
        <v>1</v>
      </c>
      <c r="F9" s="190">
        <v>1</v>
      </c>
      <c r="G9" s="190">
        <v>1</v>
      </c>
      <c r="H9" s="190">
        <v>1</v>
      </c>
      <c r="I9" s="190">
        <v>1</v>
      </c>
      <c r="J9" s="190">
        <v>1</v>
      </c>
      <c r="K9" s="190">
        <v>1</v>
      </c>
      <c r="L9" s="190">
        <v>1</v>
      </c>
      <c r="M9" s="190">
        <v>1</v>
      </c>
    </row>
    <row r="12" spans="1:1024 1026:2048 2050:3072 3074:4096 4098:5120 5122:6144 6146:7168 7170:8192 8194:9216 9218:10240 10242:11264 11266:12288 12290:13312 13314:14336 14338:15360 15362:16384" ht="17.399999999999999" x14ac:dyDescent="0.3">
      <c r="A12" s="20" t="s">
        <v>230</v>
      </c>
    </row>
    <row r="14" spans="1:1024 1026:2048 2050:3072 3074:4096 4098:5120 5122:6144 6146:7168 7170:8192 8194:9216 9218:10240 10242:11264 11266:12288 12290:13312 13314:14336 14338:15360 15362:16384" x14ac:dyDescent="0.3">
      <c r="B14" s="52" t="s">
        <v>229</v>
      </c>
      <c r="C14" s="19" t="s">
        <v>228</v>
      </c>
      <c r="D14" s="19" t="s">
        <v>17</v>
      </c>
      <c r="E14" s="19" t="s">
        <v>18</v>
      </c>
      <c r="F14" s="19" t="s">
        <v>19</v>
      </c>
      <c r="G14" s="19" t="s">
        <v>20</v>
      </c>
      <c r="H14" s="19" t="s">
        <v>21</v>
      </c>
      <c r="I14" s="19" t="s">
        <v>22</v>
      </c>
      <c r="J14" s="19" t="s">
        <v>6</v>
      </c>
      <c r="K14" s="19" t="s">
        <v>23</v>
      </c>
      <c r="L14" s="19" t="s">
        <v>24</v>
      </c>
      <c r="M14" s="19" t="s">
        <v>25</v>
      </c>
    </row>
    <row r="15" spans="1:1024 1026:2048 2050:3072 3074:4096 4098:5120 5122:6144 6146:7168 7170:8192 8194:9216 9218:10240 10242:11264 11266:12288 12290:13312 13314:14336 14338:15360 15362:16384" x14ac:dyDescent="0.3">
      <c r="A15" s="192" t="s">
        <v>295</v>
      </c>
      <c r="B15" s="193">
        <v>0.3</v>
      </c>
      <c r="C15" s="193">
        <v>0.3</v>
      </c>
      <c r="D15" s="193">
        <v>0.3</v>
      </c>
      <c r="E15" s="193">
        <v>0.3</v>
      </c>
      <c r="F15" s="193">
        <v>0.3</v>
      </c>
      <c r="G15" s="193">
        <v>0.3</v>
      </c>
      <c r="H15" s="193">
        <v>0.3</v>
      </c>
      <c r="I15" s="193">
        <v>0.3</v>
      </c>
      <c r="J15" s="193">
        <v>0.3</v>
      </c>
      <c r="K15" s="193">
        <v>0.3</v>
      </c>
      <c r="L15" s="193">
        <v>0.3</v>
      </c>
      <c r="M15" s="193">
        <v>0.3</v>
      </c>
    </row>
    <row r="16" spans="1:1024 1026:2048 2050:3072 3074:4096 4098:5120 5122:6144 6146:7168 7170:8192 8194:9216 9218:10240 10242:11264 11266:12288 12290:13312 13314:14336 14338:15360 15362:16384" x14ac:dyDescent="0.3">
      <c r="A16" s="192" t="s">
        <v>296</v>
      </c>
      <c r="B16" s="193">
        <v>0.3</v>
      </c>
      <c r="C16" s="193">
        <v>0.3</v>
      </c>
      <c r="D16" s="193">
        <v>0.3</v>
      </c>
      <c r="E16" s="193">
        <v>0.3</v>
      </c>
      <c r="F16" s="193">
        <v>0.3</v>
      </c>
      <c r="G16" s="193">
        <v>0.3</v>
      </c>
      <c r="H16" s="193">
        <v>0.3</v>
      </c>
      <c r="I16" s="193">
        <v>0.3</v>
      </c>
      <c r="J16" s="193">
        <v>0.3</v>
      </c>
      <c r="K16" s="193">
        <v>0.3</v>
      </c>
      <c r="L16" s="193">
        <v>0.3</v>
      </c>
      <c r="M16" s="193">
        <v>0.3</v>
      </c>
    </row>
    <row r="17" spans="1:1024 1026:2048 2050:3072 3074:4096 4098:5120 5122:6144 6146:7168 7170:8192 8194:9216 9218:10240 10242:11264 11266:12288 12290:13312 13314:14336 14338:15360 15362:16384" x14ac:dyDescent="0.3">
      <c r="A17" s="195" t="s">
        <v>298</v>
      </c>
      <c r="B17" s="193">
        <v>0.3</v>
      </c>
      <c r="C17" s="193">
        <v>0.3</v>
      </c>
      <c r="D17" s="193">
        <v>0.3</v>
      </c>
      <c r="E17" s="193">
        <v>0.3</v>
      </c>
      <c r="F17" s="193">
        <v>0.3</v>
      </c>
      <c r="G17" s="193">
        <v>0.3</v>
      </c>
      <c r="H17" s="193">
        <v>0.3</v>
      </c>
      <c r="I17" s="193">
        <v>0.3</v>
      </c>
      <c r="J17" s="193">
        <v>0.3</v>
      </c>
      <c r="K17" s="193">
        <v>0.3</v>
      </c>
      <c r="L17" s="193">
        <v>0.3</v>
      </c>
      <c r="M17" s="193">
        <v>0.3</v>
      </c>
    </row>
    <row r="18" spans="1:1024 1026:2048 2050:3072 3074:4096 4098:5120 5122:6144 6146:7168 7170:8192 8194:9216 9218:10240 10242:11264 11266:12288 12290:13312 13314:14336 14338:15360 15362:16384" x14ac:dyDescent="0.3">
      <c r="A18" s="196" t="s">
        <v>297</v>
      </c>
      <c r="B18" s="193">
        <v>0.3</v>
      </c>
      <c r="C18" s="193">
        <v>0.3</v>
      </c>
      <c r="D18" s="193">
        <v>0.3</v>
      </c>
      <c r="E18" s="193">
        <v>0.3</v>
      </c>
      <c r="F18" s="193">
        <v>0.3</v>
      </c>
      <c r="G18" s="193">
        <v>0.3</v>
      </c>
      <c r="H18" s="193">
        <v>0.3</v>
      </c>
      <c r="I18" s="193">
        <v>0.3</v>
      </c>
      <c r="J18" s="193">
        <v>0.3</v>
      </c>
      <c r="K18" s="193">
        <v>0.3</v>
      </c>
      <c r="L18" s="193">
        <v>0.3</v>
      </c>
      <c r="M18" s="193">
        <v>0.3</v>
      </c>
    </row>
    <row r="19" spans="1:1024 1026:2048 2050:3072 3074:4096 4098:5120 5122:6144 6146:7168 7170:8192 8194:9216 9218:10240 10242:11264 11266:12288 12290:13312 13314:14336 14338:15360 15362:16384" ht="16.2" thickBot="1" x14ac:dyDescent="0.35">
      <c r="A19" t="s">
        <v>28</v>
      </c>
      <c r="B19" s="194">
        <f>'For Employee'!E32</f>
        <v>0.45546384000000001</v>
      </c>
      <c r="C19" s="194">
        <f>'For Employee'!F32</f>
        <v>0.43893389999999999</v>
      </c>
      <c r="D19" s="194">
        <f>'For Employee'!G32</f>
        <v>0.75705162000000004</v>
      </c>
      <c r="E19" s="194">
        <f>'For Employee'!H32</f>
        <v>0.77055985500000002</v>
      </c>
      <c r="F19" s="194">
        <f>'For Employee'!I32</f>
        <v>0.80056460399999996</v>
      </c>
      <c r="G19" s="194">
        <f>'For Employee'!J32</f>
        <v>0.86720761000000002</v>
      </c>
      <c r="H19" s="194">
        <f>'For Employee'!K32</f>
        <v>0.79119280285714289</v>
      </c>
      <c r="I19" s="194">
        <f>'For Employee'!L32</f>
        <v>0.81180660000000004</v>
      </c>
      <c r="J19" s="194">
        <f>'For Employee'!M32</f>
        <v>0.81459954666666667</v>
      </c>
      <c r="K19" s="194">
        <f>'For Employee'!N32</f>
        <v>0.7797659520000001</v>
      </c>
      <c r="L19" s="194">
        <f>'For Employee'!O32</f>
        <v>0.72905481818181828</v>
      </c>
      <c r="M19" s="194">
        <f>'For Employee'!P32</f>
        <v>0.75790550499999998</v>
      </c>
    </row>
    <row r="20" spans="1:1024 1026:2048 2050:3072 3074:4096 4098:5120 5122:6144 6146:7168 7170:8192 8194:9216 9218:10240 10242:11264 11266:12288 12290:13312 13314:14336 14338:15360 15362:16384" ht="16.2" thickTop="1" x14ac:dyDescent="0.3">
      <c r="A20" s="189" t="s">
        <v>294</v>
      </c>
      <c r="B20" s="190">
        <v>1</v>
      </c>
      <c r="C20" s="190">
        <v>1</v>
      </c>
      <c r="D20" s="190">
        <v>1</v>
      </c>
      <c r="E20" s="190">
        <v>1</v>
      </c>
      <c r="F20" s="190">
        <v>1</v>
      </c>
      <c r="G20" s="190">
        <v>1</v>
      </c>
      <c r="H20" s="190">
        <v>1</v>
      </c>
      <c r="I20" s="190">
        <v>1</v>
      </c>
      <c r="J20" s="190">
        <v>1</v>
      </c>
      <c r="K20" s="190">
        <v>1</v>
      </c>
      <c r="L20" s="190">
        <v>1</v>
      </c>
      <c r="M20" s="190">
        <v>1</v>
      </c>
    </row>
    <row r="23" spans="1:1024 1026:2048 2050:3072 3074:4096 4098:5120 5122:6144 6146:7168 7170:8192 8194:9216 9218:10240 10242:11264 11266:12288 12290:13312 13314:14336 14338:15360 15362:16384" ht="17.399999999999999" x14ac:dyDescent="0.3">
      <c r="A23" s="20" t="s">
        <v>37</v>
      </c>
    </row>
    <row r="25" spans="1:1024 1026:2048 2050:3072 3074:4096 4098:5120 5122:6144 6146:7168 7170:8192 8194:9216 9218:10240 10242:11264 11266:12288 12290:13312 13314:14336 14338:15360 15362:16384" x14ac:dyDescent="0.3">
      <c r="B25" s="52" t="s">
        <v>229</v>
      </c>
      <c r="C25" s="19" t="s">
        <v>228</v>
      </c>
      <c r="D25" s="19" t="s">
        <v>17</v>
      </c>
      <c r="E25" s="19" t="s">
        <v>18</v>
      </c>
      <c r="F25" s="19" t="s">
        <v>19</v>
      </c>
      <c r="G25" s="19" t="s">
        <v>20</v>
      </c>
      <c r="H25" s="19" t="s">
        <v>21</v>
      </c>
      <c r="I25" s="19" t="s">
        <v>22</v>
      </c>
      <c r="J25" s="19" t="s">
        <v>6</v>
      </c>
      <c r="K25" s="19" t="s">
        <v>23</v>
      </c>
      <c r="L25" s="19" t="s">
        <v>24</v>
      </c>
      <c r="M25" s="19" t="s">
        <v>25</v>
      </c>
    </row>
    <row r="26" spans="1:1024 1026:2048 2050:3072 3074:4096 4098:5120 5122:6144 6146:7168 7170:8192 8194:9216 9218:10240 10242:11264 11266:12288 12290:13312 13314:14336 14338:15360 15362:16384" x14ac:dyDescent="0.3">
      <c r="A26" s="192" t="s">
        <v>295</v>
      </c>
      <c r="B26" s="193">
        <v>0.7</v>
      </c>
      <c r="C26" s="193">
        <v>0.7</v>
      </c>
      <c r="D26" s="193">
        <v>0.7</v>
      </c>
      <c r="E26" s="193">
        <v>0.7</v>
      </c>
      <c r="F26" s="193">
        <v>0.7</v>
      </c>
      <c r="G26" s="193">
        <v>0.7</v>
      </c>
      <c r="H26" s="193">
        <v>0.7</v>
      </c>
      <c r="I26" s="193">
        <v>0.7</v>
      </c>
      <c r="J26" s="193">
        <v>0.7</v>
      </c>
      <c r="K26" s="193">
        <v>0.7</v>
      </c>
      <c r="L26" s="193">
        <v>0.7</v>
      </c>
      <c r="M26" s="193">
        <v>0.7</v>
      </c>
    </row>
    <row r="27" spans="1:1024 1026:2048 2050:3072 3074:4096 4098:5120 5122:6144 6146:7168 7170:8192 8194:9216 9218:10240 10242:11264 11266:12288 12290:13312 13314:14336 14338:15360 15362:16384" x14ac:dyDescent="0.3">
      <c r="A27" s="192" t="s">
        <v>296</v>
      </c>
      <c r="B27" s="193">
        <v>0.8</v>
      </c>
      <c r="C27" s="193">
        <v>0.8</v>
      </c>
      <c r="D27" s="193">
        <v>0.8</v>
      </c>
      <c r="E27" s="193">
        <v>0.8</v>
      </c>
      <c r="F27" s="193">
        <v>0.8</v>
      </c>
      <c r="G27" s="193">
        <v>0.8</v>
      </c>
      <c r="H27" s="193">
        <v>0.8</v>
      </c>
      <c r="I27" s="193">
        <v>0.8</v>
      </c>
      <c r="J27" s="193">
        <v>0.8</v>
      </c>
      <c r="K27" s="193">
        <v>0.8</v>
      </c>
      <c r="L27" s="193">
        <v>0.8</v>
      </c>
      <c r="M27" s="193">
        <v>0.8</v>
      </c>
    </row>
    <row r="28" spans="1:1024 1026:2048 2050:3072 3074:4096 4098:5120 5122:6144 6146:7168 7170:8192 8194:9216 9218:10240 10242:11264 11266:12288 12290:13312 13314:14336 14338:15360 15362:16384" s="61" customFormat="1" x14ac:dyDescent="0.3">
      <c r="A28" s="195" t="s">
        <v>298</v>
      </c>
      <c r="B28" s="193">
        <v>3.5</v>
      </c>
      <c r="C28" s="193">
        <v>3.5</v>
      </c>
      <c r="D28" s="193">
        <v>3.5</v>
      </c>
      <c r="E28" s="193">
        <v>3.5</v>
      </c>
      <c r="F28" s="193">
        <v>3.5</v>
      </c>
      <c r="G28" s="193">
        <v>3.5</v>
      </c>
      <c r="H28" s="193">
        <v>3.5</v>
      </c>
      <c r="I28" s="193">
        <v>3.5</v>
      </c>
      <c r="J28" s="193">
        <v>3.5</v>
      </c>
      <c r="K28" s="193">
        <v>3.5</v>
      </c>
      <c r="L28" s="193">
        <v>3.5</v>
      </c>
      <c r="M28" s="193">
        <v>3.5</v>
      </c>
      <c r="N28" s="191"/>
      <c r="O28" s="191"/>
      <c r="P28" s="191"/>
      <c r="R28" s="191"/>
      <c r="S28" s="191"/>
      <c r="T28" s="191"/>
      <c r="V28" s="191"/>
      <c r="W28" s="191"/>
      <c r="X28" s="191"/>
      <c r="Z28" s="191"/>
      <c r="AA28" s="191"/>
      <c r="AB28" s="191"/>
      <c r="AD28" s="191"/>
      <c r="AE28" s="191"/>
      <c r="AF28" s="191"/>
      <c r="AH28" s="191"/>
      <c r="AI28" s="191"/>
      <c r="AJ28" s="191"/>
      <c r="AL28" s="191"/>
      <c r="AM28" s="191"/>
      <c r="AN28" s="191"/>
      <c r="AP28" s="191"/>
      <c r="AQ28" s="191"/>
      <c r="AR28" s="191"/>
      <c r="AT28" s="191"/>
      <c r="AU28" s="191"/>
      <c r="AV28" s="191"/>
      <c r="AX28" s="191"/>
      <c r="AY28" s="191"/>
      <c r="AZ28" s="191"/>
      <c r="BB28" s="191"/>
      <c r="BC28" s="191"/>
      <c r="BD28" s="191"/>
      <c r="BF28" s="191"/>
      <c r="BG28" s="191"/>
      <c r="BH28" s="191"/>
      <c r="BJ28" s="191"/>
      <c r="BK28" s="191"/>
      <c r="BL28" s="191"/>
      <c r="BN28" s="191"/>
      <c r="BO28" s="191"/>
      <c r="BP28" s="191"/>
      <c r="BR28" s="191"/>
      <c r="BS28" s="191"/>
      <c r="BT28" s="191"/>
      <c r="BV28" s="191"/>
      <c r="BW28" s="191"/>
      <c r="BX28" s="191"/>
      <c r="BZ28" s="191"/>
      <c r="CA28" s="191"/>
      <c r="CB28" s="191"/>
      <c r="CD28" s="191"/>
      <c r="CE28" s="191"/>
      <c r="CF28" s="191"/>
      <c r="CH28" s="191"/>
      <c r="CI28" s="191"/>
      <c r="CJ28" s="191"/>
      <c r="CL28" s="191"/>
      <c r="CM28" s="191"/>
      <c r="CN28" s="191"/>
      <c r="CP28" s="191"/>
      <c r="CQ28" s="191"/>
      <c r="CR28" s="191"/>
      <c r="CT28" s="191"/>
      <c r="CU28" s="191"/>
      <c r="CV28" s="191"/>
      <c r="CX28" s="191"/>
      <c r="CY28" s="191"/>
      <c r="CZ28" s="191"/>
      <c r="DB28" s="191"/>
      <c r="DC28" s="191"/>
      <c r="DD28" s="191"/>
      <c r="DF28" s="191"/>
      <c r="DG28" s="191"/>
      <c r="DH28" s="191"/>
      <c r="DJ28" s="191"/>
      <c r="DK28" s="191"/>
      <c r="DL28" s="191"/>
      <c r="DN28" s="191"/>
      <c r="DO28" s="191"/>
      <c r="DP28" s="191"/>
      <c r="DR28" s="191"/>
      <c r="DS28" s="191"/>
      <c r="DT28" s="191"/>
      <c r="DV28" s="191"/>
      <c r="DW28" s="191"/>
      <c r="DX28" s="191"/>
      <c r="DZ28" s="191"/>
      <c r="EA28" s="191"/>
      <c r="EB28" s="191"/>
      <c r="ED28" s="191"/>
      <c r="EE28" s="191"/>
      <c r="EF28" s="191"/>
      <c r="EH28" s="191"/>
      <c r="EI28" s="191"/>
      <c r="EJ28" s="191"/>
      <c r="EL28" s="191"/>
      <c r="EM28" s="191"/>
      <c r="EN28" s="191"/>
      <c r="EP28" s="191"/>
      <c r="EQ28" s="191"/>
      <c r="ER28" s="191"/>
      <c r="ET28" s="191"/>
      <c r="EU28" s="191"/>
      <c r="EV28" s="191"/>
      <c r="EX28" s="191"/>
      <c r="EY28" s="191"/>
      <c r="EZ28" s="191"/>
      <c r="FB28" s="191"/>
      <c r="FC28" s="191"/>
      <c r="FD28" s="191"/>
      <c r="FF28" s="191"/>
      <c r="FG28" s="191"/>
      <c r="FH28" s="191"/>
      <c r="FJ28" s="191"/>
      <c r="FK28" s="191"/>
      <c r="FL28" s="191"/>
      <c r="FN28" s="191"/>
      <c r="FO28" s="191"/>
      <c r="FP28" s="191"/>
      <c r="FR28" s="191"/>
      <c r="FS28" s="191"/>
      <c r="FT28" s="191"/>
      <c r="FV28" s="191"/>
      <c r="FW28" s="191"/>
      <c r="FX28" s="191"/>
      <c r="FZ28" s="191"/>
      <c r="GA28" s="191"/>
      <c r="GB28" s="191"/>
      <c r="GD28" s="191"/>
      <c r="GE28" s="191"/>
      <c r="GF28" s="191"/>
      <c r="GH28" s="191"/>
      <c r="GI28" s="191"/>
      <c r="GJ28" s="191"/>
      <c r="GL28" s="191"/>
      <c r="GM28" s="191"/>
      <c r="GN28" s="191"/>
      <c r="GP28" s="191"/>
      <c r="GQ28" s="191"/>
      <c r="GR28" s="191"/>
      <c r="GT28" s="191"/>
      <c r="GU28" s="191"/>
      <c r="GV28" s="191"/>
      <c r="GX28" s="191"/>
      <c r="GY28" s="191"/>
      <c r="GZ28" s="191"/>
      <c r="HB28" s="191"/>
      <c r="HC28" s="191"/>
      <c r="HD28" s="191"/>
      <c r="HF28" s="191"/>
      <c r="HG28" s="191"/>
      <c r="HH28" s="191"/>
      <c r="HJ28" s="191"/>
      <c r="HK28" s="191"/>
      <c r="HL28" s="191"/>
      <c r="HN28" s="191"/>
      <c r="HO28" s="191"/>
      <c r="HP28" s="191"/>
      <c r="HR28" s="191"/>
      <c r="HS28" s="191"/>
      <c r="HT28" s="191"/>
      <c r="HV28" s="191"/>
      <c r="HW28" s="191"/>
      <c r="HX28" s="191"/>
      <c r="HZ28" s="191"/>
      <c r="IA28" s="191"/>
      <c r="IB28" s="191"/>
      <c r="ID28" s="191"/>
      <c r="IE28" s="191"/>
      <c r="IF28" s="191"/>
      <c r="IH28" s="191"/>
      <c r="II28" s="191"/>
      <c r="IJ28" s="191"/>
      <c r="IL28" s="191"/>
      <c r="IM28" s="191"/>
      <c r="IN28" s="191"/>
      <c r="IP28" s="191"/>
      <c r="IQ28" s="191"/>
      <c r="IR28" s="191"/>
      <c r="IT28" s="191"/>
      <c r="IU28" s="191"/>
      <c r="IV28" s="191"/>
      <c r="IX28" s="191"/>
      <c r="IY28" s="191"/>
      <c r="IZ28" s="191"/>
      <c r="JB28" s="191"/>
      <c r="JC28" s="191"/>
      <c r="JD28" s="191"/>
      <c r="JF28" s="191"/>
      <c r="JG28" s="191"/>
      <c r="JH28" s="191"/>
      <c r="JJ28" s="191"/>
      <c r="JK28" s="191"/>
      <c r="JL28" s="191"/>
      <c r="JN28" s="191"/>
      <c r="JO28" s="191"/>
      <c r="JP28" s="191"/>
      <c r="JR28" s="191"/>
      <c r="JS28" s="191"/>
      <c r="JT28" s="191"/>
      <c r="JV28" s="191"/>
      <c r="JW28" s="191"/>
      <c r="JX28" s="191"/>
      <c r="JZ28" s="191"/>
      <c r="KA28" s="191"/>
      <c r="KB28" s="191"/>
      <c r="KD28" s="191"/>
      <c r="KE28" s="191"/>
      <c r="KF28" s="191"/>
      <c r="KH28" s="191"/>
      <c r="KI28" s="191"/>
      <c r="KJ28" s="191"/>
      <c r="KL28" s="191"/>
      <c r="KM28" s="191"/>
      <c r="KN28" s="191"/>
      <c r="KP28" s="191"/>
      <c r="KQ28" s="191"/>
      <c r="KR28" s="191"/>
      <c r="KT28" s="191"/>
      <c r="KU28" s="191"/>
      <c r="KV28" s="191"/>
      <c r="KX28" s="191"/>
      <c r="KY28" s="191"/>
      <c r="KZ28" s="191"/>
      <c r="LB28" s="191"/>
      <c r="LC28" s="191"/>
      <c r="LD28" s="191"/>
      <c r="LF28" s="191"/>
      <c r="LG28" s="191"/>
      <c r="LH28" s="191"/>
      <c r="LJ28" s="191"/>
      <c r="LK28" s="191"/>
      <c r="LL28" s="191"/>
      <c r="LN28" s="191"/>
      <c r="LO28" s="191"/>
      <c r="LP28" s="191"/>
      <c r="LR28" s="191"/>
      <c r="LS28" s="191"/>
      <c r="LT28" s="191"/>
      <c r="LV28" s="191"/>
      <c r="LW28" s="191"/>
      <c r="LX28" s="191"/>
      <c r="LZ28" s="191"/>
      <c r="MA28" s="191"/>
      <c r="MB28" s="191"/>
      <c r="MD28" s="191"/>
      <c r="ME28" s="191"/>
      <c r="MF28" s="191"/>
      <c r="MH28" s="191"/>
      <c r="MI28" s="191"/>
      <c r="MJ28" s="191"/>
      <c r="ML28" s="191"/>
      <c r="MM28" s="191"/>
      <c r="MN28" s="191"/>
      <c r="MP28" s="191"/>
      <c r="MQ28" s="191"/>
      <c r="MR28" s="191"/>
      <c r="MT28" s="191"/>
      <c r="MU28" s="191"/>
      <c r="MV28" s="191"/>
      <c r="MX28" s="191"/>
      <c r="MY28" s="191"/>
      <c r="MZ28" s="191"/>
      <c r="NB28" s="191"/>
      <c r="NC28" s="191"/>
      <c r="ND28" s="191"/>
      <c r="NF28" s="191"/>
      <c r="NG28" s="191"/>
      <c r="NH28" s="191"/>
      <c r="NJ28" s="191"/>
      <c r="NK28" s="191"/>
      <c r="NL28" s="191"/>
      <c r="NN28" s="191"/>
      <c r="NO28" s="191"/>
      <c r="NP28" s="191"/>
      <c r="NR28" s="191"/>
      <c r="NS28" s="191"/>
      <c r="NT28" s="191"/>
      <c r="NV28" s="191"/>
      <c r="NW28" s="191"/>
      <c r="NX28" s="191"/>
      <c r="NZ28" s="191"/>
      <c r="OA28" s="191"/>
      <c r="OB28" s="191"/>
      <c r="OD28" s="191"/>
      <c r="OE28" s="191"/>
      <c r="OF28" s="191"/>
      <c r="OH28" s="191"/>
      <c r="OI28" s="191"/>
      <c r="OJ28" s="191"/>
      <c r="OL28" s="191"/>
      <c r="OM28" s="191"/>
      <c r="ON28" s="191"/>
      <c r="OP28" s="191"/>
      <c r="OQ28" s="191"/>
      <c r="OR28" s="191"/>
      <c r="OT28" s="191"/>
      <c r="OU28" s="191"/>
      <c r="OV28" s="191"/>
      <c r="OX28" s="191"/>
      <c r="OY28" s="191"/>
      <c r="OZ28" s="191"/>
      <c r="PB28" s="191"/>
      <c r="PC28" s="191"/>
      <c r="PD28" s="191"/>
      <c r="PF28" s="191"/>
      <c r="PG28" s="191"/>
      <c r="PH28" s="191"/>
      <c r="PJ28" s="191"/>
      <c r="PK28" s="191"/>
      <c r="PL28" s="191"/>
      <c r="PN28" s="191"/>
      <c r="PO28" s="191"/>
      <c r="PP28" s="191"/>
      <c r="PR28" s="191"/>
      <c r="PS28" s="191"/>
      <c r="PT28" s="191"/>
      <c r="PV28" s="191"/>
      <c r="PW28" s="191"/>
      <c r="PX28" s="191"/>
      <c r="PZ28" s="191"/>
      <c r="QA28" s="191"/>
      <c r="QB28" s="191"/>
      <c r="QD28" s="191"/>
      <c r="QE28" s="191"/>
      <c r="QF28" s="191"/>
      <c r="QH28" s="191"/>
      <c r="QI28" s="191"/>
      <c r="QJ28" s="191"/>
      <c r="QL28" s="191"/>
      <c r="QM28" s="191"/>
      <c r="QN28" s="191"/>
      <c r="QP28" s="191"/>
      <c r="QQ28" s="191"/>
      <c r="QR28" s="191"/>
      <c r="QT28" s="191"/>
      <c r="QU28" s="191"/>
      <c r="QV28" s="191"/>
      <c r="QX28" s="191"/>
      <c r="QY28" s="191"/>
      <c r="QZ28" s="191"/>
      <c r="RB28" s="191"/>
      <c r="RC28" s="191"/>
      <c r="RD28" s="191"/>
      <c r="RF28" s="191"/>
      <c r="RG28" s="191"/>
      <c r="RH28" s="191"/>
      <c r="RJ28" s="191"/>
      <c r="RK28" s="191"/>
      <c r="RL28" s="191"/>
      <c r="RN28" s="191"/>
      <c r="RO28" s="191"/>
      <c r="RP28" s="191"/>
      <c r="RR28" s="191"/>
      <c r="RS28" s="191"/>
      <c r="RT28" s="191"/>
      <c r="RV28" s="191"/>
      <c r="RW28" s="191"/>
      <c r="RX28" s="191"/>
      <c r="RZ28" s="191"/>
      <c r="SA28" s="191"/>
      <c r="SB28" s="191"/>
      <c r="SD28" s="191"/>
      <c r="SE28" s="191"/>
      <c r="SF28" s="191"/>
      <c r="SH28" s="191"/>
      <c r="SI28" s="191"/>
      <c r="SJ28" s="191"/>
      <c r="SL28" s="191"/>
      <c r="SM28" s="191"/>
      <c r="SN28" s="191"/>
      <c r="SP28" s="191"/>
      <c r="SQ28" s="191"/>
      <c r="SR28" s="191"/>
      <c r="ST28" s="191"/>
      <c r="SU28" s="191"/>
      <c r="SV28" s="191"/>
      <c r="SX28" s="191"/>
      <c r="SY28" s="191"/>
      <c r="SZ28" s="191"/>
      <c r="TB28" s="191"/>
      <c r="TC28" s="191"/>
      <c r="TD28" s="191"/>
      <c r="TF28" s="191"/>
      <c r="TG28" s="191"/>
      <c r="TH28" s="191"/>
      <c r="TJ28" s="191"/>
      <c r="TK28" s="191"/>
      <c r="TL28" s="191"/>
      <c r="TN28" s="191"/>
      <c r="TO28" s="191"/>
      <c r="TP28" s="191"/>
      <c r="TR28" s="191"/>
      <c r="TS28" s="191"/>
      <c r="TT28" s="191"/>
      <c r="TV28" s="191"/>
      <c r="TW28" s="191"/>
      <c r="TX28" s="191"/>
      <c r="TZ28" s="191"/>
      <c r="UA28" s="191"/>
      <c r="UB28" s="191"/>
      <c r="UD28" s="191"/>
      <c r="UE28" s="191"/>
      <c r="UF28" s="191"/>
      <c r="UH28" s="191"/>
      <c r="UI28" s="191"/>
      <c r="UJ28" s="191"/>
      <c r="UL28" s="191"/>
      <c r="UM28" s="191"/>
      <c r="UN28" s="191"/>
      <c r="UP28" s="191"/>
      <c r="UQ28" s="191"/>
      <c r="UR28" s="191"/>
      <c r="UT28" s="191"/>
      <c r="UU28" s="191"/>
      <c r="UV28" s="191"/>
      <c r="UX28" s="191"/>
      <c r="UY28" s="191"/>
      <c r="UZ28" s="191"/>
      <c r="VB28" s="191"/>
      <c r="VC28" s="191"/>
      <c r="VD28" s="191"/>
      <c r="VF28" s="191"/>
      <c r="VG28" s="191"/>
      <c r="VH28" s="191"/>
      <c r="VJ28" s="191"/>
      <c r="VK28" s="191"/>
      <c r="VL28" s="191"/>
      <c r="VN28" s="191"/>
      <c r="VO28" s="191"/>
      <c r="VP28" s="191"/>
      <c r="VR28" s="191"/>
      <c r="VS28" s="191"/>
      <c r="VT28" s="191"/>
      <c r="VV28" s="191"/>
      <c r="VW28" s="191"/>
      <c r="VX28" s="191"/>
      <c r="VZ28" s="191"/>
      <c r="WA28" s="191"/>
      <c r="WB28" s="191"/>
      <c r="WD28" s="191"/>
      <c r="WE28" s="191"/>
      <c r="WF28" s="191"/>
      <c r="WH28" s="191"/>
      <c r="WI28" s="191"/>
      <c r="WJ28" s="191"/>
      <c r="WL28" s="191"/>
      <c r="WM28" s="191"/>
      <c r="WN28" s="191"/>
      <c r="WP28" s="191"/>
      <c r="WQ28" s="191"/>
      <c r="WR28" s="191"/>
      <c r="WT28" s="191"/>
      <c r="WU28" s="191"/>
      <c r="WV28" s="191"/>
      <c r="WX28" s="191"/>
      <c r="WY28" s="191"/>
      <c r="WZ28" s="191"/>
      <c r="XB28" s="191"/>
      <c r="XC28" s="191"/>
      <c r="XD28" s="191"/>
      <c r="XF28" s="191"/>
      <c r="XG28" s="191"/>
      <c r="XH28" s="191"/>
      <c r="XJ28" s="191"/>
      <c r="XK28" s="191"/>
      <c r="XL28" s="191"/>
      <c r="XN28" s="191"/>
      <c r="XO28" s="191"/>
      <c r="XP28" s="191"/>
      <c r="XR28" s="191"/>
      <c r="XS28" s="191"/>
      <c r="XT28" s="191"/>
      <c r="XV28" s="191"/>
      <c r="XW28" s="191"/>
      <c r="XX28" s="191"/>
      <c r="XZ28" s="191"/>
      <c r="YA28" s="191"/>
      <c r="YB28" s="191"/>
      <c r="YD28" s="191"/>
      <c r="YE28" s="191"/>
      <c r="YF28" s="191"/>
      <c r="YH28" s="191"/>
      <c r="YI28" s="191"/>
      <c r="YJ28" s="191"/>
      <c r="YL28" s="191"/>
      <c r="YM28" s="191"/>
      <c r="YN28" s="191"/>
      <c r="YP28" s="191"/>
      <c r="YQ28" s="191"/>
      <c r="YR28" s="191"/>
      <c r="YT28" s="191"/>
      <c r="YU28" s="191"/>
      <c r="YV28" s="191"/>
      <c r="YX28" s="191"/>
      <c r="YY28" s="191"/>
      <c r="YZ28" s="191"/>
      <c r="ZB28" s="191"/>
      <c r="ZC28" s="191"/>
      <c r="ZD28" s="191"/>
      <c r="ZF28" s="191"/>
      <c r="ZG28" s="191"/>
      <c r="ZH28" s="191"/>
      <c r="ZJ28" s="191"/>
      <c r="ZK28" s="191"/>
      <c r="ZL28" s="191"/>
      <c r="ZN28" s="191"/>
      <c r="ZO28" s="191"/>
      <c r="ZP28" s="191"/>
      <c r="ZR28" s="191"/>
      <c r="ZS28" s="191"/>
      <c r="ZT28" s="191"/>
      <c r="ZV28" s="191"/>
      <c r="ZW28" s="191"/>
      <c r="ZX28" s="191"/>
      <c r="ZZ28" s="191"/>
      <c r="AAA28" s="191"/>
      <c r="AAB28" s="191"/>
      <c r="AAD28" s="191"/>
      <c r="AAE28" s="191"/>
      <c r="AAF28" s="191"/>
      <c r="AAH28" s="191"/>
      <c r="AAI28" s="191"/>
      <c r="AAJ28" s="191"/>
      <c r="AAL28" s="191"/>
      <c r="AAM28" s="191"/>
      <c r="AAN28" s="191"/>
      <c r="AAP28" s="191"/>
      <c r="AAQ28" s="191"/>
      <c r="AAR28" s="191"/>
      <c r="AAT28" s="191"/>
      <c r="AAU28" s="191"/>
      <c r="AAV28" s="191"/>
      <c r="AAX28" s="191"/>
      <c r="AAY28" s="191"/>
      <c r="AAZ28" s="191"/>
      <c r="ABB28" s="191"/>
      <c r="ABC28" s="191"/>
      <c r="ABD28" s="191"/>
      <c r="ABF28" s="191"/>
      <c r="ABG28" s="191"/>
      <c r="ABH28" s="191"/>
      <c r="ABJ28" s="191"/>
      <c r="ABK28" s="191"/>
      <c r="ABL28" s="191"/>
      <c r="ABN28" s="191"/>
      <c r="ABO28" s="191"/>
      <c r="ABP28" s="191"/>
      <c r="ABR28" s="191"/>
      <c r="ABS28" s="191"/>
      <c r="ABT28" s="191"/>
      <c r="ABV28" s="191"/>
      <c r="ABW28" s="191"/>
      <c r="ABX28" s="191"/>
      <c r="ABZ28" s="191"/>
      <c r="ACA28" s="191"/>
      <c r="ACB28" s="191"/>
      <c r="ACD28" s="191"/>
      <c r="ACE28" s="191"/>
      <c r="ACF28" s="191"/>
      <c r="ACH28" s="191"/>
      <c r="ACI28" s="191"/>
      <c r="ACJ28" s="191"/>
      <c r="ACL28" s="191"/>
      <c r="ACM28" s="191"/>
      <c r="ACN28" s="191"/>
      <c r="ACP28" s="191"/>
      <c r="ACQ28" s="191"/>
      <c r="ACR28" s="191"/>
      <c r="ACT28" s="191"/>
      <c r="ACU28" s="191"/>
      <c r="ACV28" s="191"/>
      <c r="ACX28" s="191"/>
      <c r="ACY28" s="191"/>
      <c r="ACZ28" s="191"/>
      <c r="ADB28" s="191"/>
      <c r="ADC28" s="191"/>
      <c r="ADD28" s="191"/>
      <c r="ADF28" s="191"/>
      <c r="ADG28" s="191"/>
      <c r="ADH28" s="191"/>
      <c r="ADJ28" s="191"/>
      <c r="ADK28" s="191"/>
      <c r="ADL28" s="191"/>
      <c r="ADN28" s="191"/>
      <c r="ADO28" s="191"/>
      <c r="ADP28" s="191"/>
      <c r="ADR28" s="191"/>
      <c r="ADS28" s="191"/>
      <c r="ADT28" s="191"/>
      <c r="ADV28" s="191"/>
      <c r="ADW28" s="191"/>
      <c r="ADX28" s="191"/>
      <c r="ADZ28" s="191"/>
      <c r="AEA28" s="191"/>
      <c r="AEB28" s="191"/>
      <c r="AED28" s="191"/>
      <c r="AEE28" s="191"/>
      <c r="AEF28" s="191"/>
      <c r="AEH28" s="191"/>
      <c r="AEI28" s="191"/>
      <c r="AEJ28" s="191"/>
      <c r="AEL28" s="191"/>
      <c r="AEM28" s="191"/>
      <c r="AEN28" s="191"/>
      <c r="AEP28" s="191"/>
      <c r="AEQ28" s="191"/>
      <c r="AER28" s="191"/>
      <c r="AET28" s="191"/>
      <c r="AEU28" s="191"/>
      <c r="AEV28" s="191"/>
      <c r="AEX28" s="191"/>
      <c r="AEY28" s="191"/>
      <c r="AEZ28" s="191"/>
      <c r="AFB28" s="191"/>
      <c r="AFC28" s="191"/>
      <c r="AFD28" s="191"/>
      <c r="AFF28" s="191"/>
      <c r="AFG28" s="191"/>
      <c r="AFH28" s="191"/>
      <c r="AFJ28" s="191"/>
      <c r="AFK28" s="191"/>
      <c r="AFL28" s="191"/>
      <c r="AFN28" s="191"/>
      <c r="AFO28" s="191"/>
      <c r="AFP28" s="191"/>
      <c r="AFR28" s="191"/>
      <c r="AFS28" s="191"/>
      <c r="AFT28" s="191"/>
      <c r="AFV28" s="191"/>
      <c r="AFW28" s="191"/>
      <c r="AFX28" s="191"/>
      <c r="AFZ28" s="191"/>
      <c r="AGA28" s="191"/>
      <c r="AGB28" s="191"/>
      <c r="AGD28" s="191"/>
      <c r="AGE28" s="191"/>
      <c r="AGF28" s="191"/>
      <c r="AGH28" s="191"/>
      <c r="AGI28" s="191"/>
      <c r="AGJ28" s="191"/>
      <c r="AGL28" s="191"/>
      <c r="AGM28" s="191"/>
      <c r="AGN28" s="191"/>
      <c r="AGP28" s="191"/>
      <c r="AGQ28" s="191"/>
      <c r="AGR28" s="191"/>
      <c r="AGT28" s="191"/>
      <c r="AGU28" s="191"/>
      <c r="AGV28" s="191"/>
      <c r="AGX28" s="191"/>
      <c r="AGY28" s="191"/>
      <c r="AGZ28" s="191"/>
      <c r="AHB28" s="191"/>
      <c r="AHC28" s="191"/>
      <c r="AHD28" s="191"/>
      <c r="AHF28" s="191"/>
      <c r="AHG28" s="191"/>
      <c r="AHH28" s="191"/>
      <c r="AHJ28" s="191"/>
      <c r="AHK28" s="191"/>
      <c r="AHL28" s="191"/>
      <c r="AHN28" s="191"/>
      <c r="AHO28" s="191"/>
      <c r="AHP28" s="191"/>
      <c r="AHR28" s="191"/>
      <c r="AHS28" s="191"/>
      <c r="AHT28" s="191"/>
      <c r="AHV28" s="191"/>
      <c r="AHW28" s="191"/>
      <c r="AHX28" s="191"/>
      <c r="AHZ28" s="191"/>
      <c r="AIA28" s="191"/>
      <c r="AIB28" s="191"/>
      <c r="AID28" s="191"/>
      <c r="AIE28" s="191"/>
      <c r="AIF28" s="191"/>
      <c r="AIH28" s="191"/>
      <c r="AII28" s="191"/>
      <c r="AIJ28" s="191"/>
      <c r="AIL28" s="191"/>
      <c r="AIM28" s="191"/>
      <c r="AIN28" s="191"/>
      <c r="AIP28" s="191"/>
      <c r="AIQ28" s="191"/>
      <c r="AIR28" s="191"/>
      <c r="AIT28" s="191"/>
      <c r="AIU28" s="191"/>
      <c r="AIV28" s="191"/>
      <c r="AIX28" s="191"/>
      <c r="AIY28" s="191"/>
      <c r="AIZ28" s="191"/>
      <c r="AJB28" s="191"/>
      <c r="AJC28" s="191"/>
      <c r="AJD28" s="191"/>
      <c r="AJF28" s="191"/>
      <c r="AJG28" s="191"/>
      <c r="AJH28" s="191"/>
      <c r="AJJ28" s="191"/>
      <c r="AJK28" s="191"/>
      <c r="AJL28" s="191"/>
      <c r="AJN28" s="191"/>
      <c r="AJO28" s="191"/>
      <c r="AJP28" s="191"/>
      <c r="AJR28" s="191"/>
      <c r="AJS28" s="191"/>
      <c r="AJT28" s="191"/>
      <c r="AJV28" s="191"/>
      <c r="AJW28" s="191"/>
      <c r="AJX28" s="191"/>
      <c r="AJZ28" s="191"/>
      <c r="AKA28" s="191"/>
      <c r="AKB28" s="191"/>
      <c r="AKD28" s="191"/>
      <c r="AKE28" s="191"/>
      <c r="AKF28" s="191"/>
      <c r="AKH28" s="191"/>
      <c r="AKI28" s="191"/>
      <c r="AKJ28" s="191"/>
      <c r="AKL28" s="191"/>
      <c r="AKM28" s="191"/>
      <c r="AKN28" s="191"/>
      <c r="AKP28" s="191"/>
      <c r="AKQ28" s="191"/>
      <c r="AKR28" s="191"/>
      <c r="AKT28" s="191"/>
      <c r="AKU28" s="191"/>
      <c r="AKV28" s="191"/>
      <c r="AKX28" s="191"/>
      <c r="AKY28" s="191"/>
      <c r="AKZ28" s="191"/>
      <c r="ALB28" s="191"/>
      <c r="ALC28" s="191"/>
      <c r="ALD28" s="191"/>
      <c r="ALF28" s="191"/>
      <c r="ALG28" s="191"/>
      <c r="ALH28" s="191"/>
      <c r="ALJ28" s="191"/>
      <c r="ALK28" s="191"/>
      <c r="ALL28" s="191"/>
      <c r="ALN28" s="191"/>
      <c r="ALO28" s="191"/>
      <c r="ALP28" s="191"/>
      <c r="ALR28" s="191"/>
      <c r="ALS28" s="191"/>
      <c r="ALT28" s="191"/>
      <c r="ALV28" s="191"/>
      <c r="ALW28" s="191"/>
      <c r="ALX28" s="191"/>
      <c r="ALZ28" s="191"/>
      <c r="AMA28" s="191"/>
      <c r="AMB28" s="191"/>
      <c r="AMD28" s="191"/>
      <c r="AME28" s="191"/>
      <c r="AMF28" s="191"/>
      <c r="AMH28" s="191"/>
      <c r="AMI28" s="191"/>
      <c r="AMJ28" s="191"/>
      <c r="AML28" s="191"/>
      <c r="AMM28" s="191"/>
      <c r="AMN28" s="191"/>
      <c r="AMP28" s="191"/>
      <c r="AMQ28" s="191"/>
      <c r="AMR28" s="191"/>
      <c r="AMT28" s="191"/>
      <c r="AMU28" s="191"/>
      <c r="AMV28" s="191"/>
      <c r="AMX28" s="191"/>
      <c r="AMY28" s="191"/>
      <c r="AMZ28" s="191"/>
      <c r="ANB28" s="191"/>
      <c r="ANC28" s="191"/>
      <c r="AND28" s="191"/>
      <c r="ANF28" s="191"/>
      <c r="ANG28" s="191"/>
      <c r="ANH28" s="191"/>
      <c r="ANJ28" s="191"/>
      <c r="ANK28" s="191"/>
      <c r="ANL28" s="191"/>
      <c r="ANN28" s="191"/>
      <c r="ANO28" s="191"/>
      <c r="ANP28" s="191"/>
      <c r="ANR28" s="191"/>
      <c r="ANS28" s="191"/>
      <c r="ANT28" s="191"/>
      <c r="ANV28" s="191"/>
      <c r="ANW28" s="191"/>
      <c r="ANX28" s="191"/>
      <c r="ANZ28" s="191"/>
      <c r="AOA28" s="191"/>
      <c r="AOB28" s="191"/>
      <c r="AOD28" s="191"/>
      <c r="AOE28" s="191"/>
      <c r="AOF28" s="191"/>
      <c r="AOH28" s="191"/>
      <c r="AOI28" s="191"/>
      <c r="AOJ28" s="191"/>
      <c r="AOL28" s="191"/>
      <c r="AOM28" s="191"/>
      <c r="AON28" s="191"/>
      <c r="AOP28" s="191"/>
      <c r="AOQ28" s="191"/>
      <c r="AOR28" s="191"/>
      <c r="AOT28" s="191"/>
      <c r="AOU28" s="191"/>
      <c r="AOV28" s="191"/>
      <c r="AOX28" s="191"/>
      <c r="AOY28" s="191"/>
      <c r="AOZ28" s="191"/>
      <c r="APB28" s="191"/>
      <c r="APC28" s="191"/>
      <c r="APD28" s="191"/>
      <c r="APF28" s="191"/>
      <c r="APG28" s="191"/>
      <c r="APH28" s="191"/>
      <c r="APJ28" s="191"/>
      <c r="APK28" s="191"/>
      <c r="APL28" s="191"/>
      <c r="APN28" s="191"/>
      <c r="APO28" s="191"/>
      <c r="APP28" s="191"/>
      <c r="APR28" s="191"/>
      <c r="APS28" s="191"/>
      <c r="APT28" s="191"/>
      <c r="APV28" s="191"/>
      <c r="APW28" s="191"/>
      <c r="APX28" s="191"/>
      <c r="APZ28" s="191"/>
      <c r="AQA28" s="191"/>
      <c r="AQB28" s="191"/>
      <c r="AQD28" s="191"/>
      <c r="AQE28" s="191"/>
      <c r="AQF28" s="191"/>
      <c r="AQH28" s="191"/>
      <c r="AQI28" s="191"/>
      <c r="AQJ28" s="191"/>
      <c r="AQL28" s="191"/>
      <c r="AQM28" s="191"/>
      <c r="AQN28" s="191"/>
      <c r="AQP28" s="191"/>
      <c r="AQQ28" s="191"/>
      <c r="AQR28" s="191"/>
      <c r="AQT28" s="191"/>
      <c r="AQU28" s="191"/>
      <c r="AQV28" s="191"/>
      <c r="AQX28" s="191"/>
      <c r="AQY28" s="191"/>
      <c r="AQZ28" s="191"/>
      <c r="ARB28" s="191"/>
      <c r="ARC28" s="191"/>
      <c r="ARD28" s="191"/>
      <c r="ARF28" s="191"/>
      <c r="ARG28" s="191"/>
      <c r="ARH28" s="191"/>
      <c r="ARJ28" s="191"/>
      <c r="ARK28" s="191"/>
      <c r="ARL28" s="191"/>
      <c r="ARN28" s="191"/>
      <c r="ARO28" s="191"/>
      <c r="ARP28" s="191"/>
      <c r="ARR28" s="191"/>
      <c r="ARS28" s="191"/>
      <c r="ART28" s="191"/>
      <c r="ARV28" s="191"/>
      <c r="ARW28" s="191"/>
      <c r="ARX28" s="191"/>
      <c r="ARZ28" s="191"/>
      <c r="ASA28" s="191"/>
      <c r="ASB28" s="191"/>
      <c r="ASD28" s="191"/>
      <c r="ASE28" s="191"/>
      <c r="ASF28" s="191"/>
      <c r="ASH28" s="191"/>
      <c r="ASI28" s="191"/>
      <c r="ASJ28" s="191"/>
      <c r="ASL28" s="191"/>
      <c r="ASM28" s="191"/>
      <c r="ASN28" s="191"/>
      <c r="ASP28" s="191"/>
      <c r="ASQ28" s="191"/>
      <c r="ASR28" s="191"/>
      <c r="AST28" s="191"/>
      <c r="ASU28" s="191"/>
      <c r="ASV28" s="191"/>
      <c r="ASX28" s="191"/>
      <c r="ASY28" s="191"/>
      <c r="ASZ28" s="191"/>
      <c r="ATB28" s="191"/>
      <c r="ATC28" s="191"/>
      <c r="ATD28" s="191"/>
      <c r="ATF28" s="191"/>
      <c r="ATG28" s="191"/>
      <c r="ATH28" s="191"/>
      <c r="ATJ28" s="191"/>
      <c r="ATK28" s="191"/>
      <c r="ATL28" s="191"/>
      <c r="ATN28" s="191"/>
      <c r="ATO28" s="191"/>
      <c r="ATP28" s="191"/>
      <c r="ATR28" s="191"/>
      <c r="ATS28" s="191"/>
      <c r="ATT28" s="191"/>
      <c r="ATV28" s="191"/>
      <c r="ATW28" s="191"/>
      <c r="ATX28" s="191"/>
      <c r="ATZ28" s="191"/>
      <c r="AUA28" s="191"/>
      <c r="AUB28" s="191"/>
      <c r="AUD28" s="191"/>
      <c r="AUE28" s="191"/>
      <c r="AUF28" s="191"/>
      <c r="AUH28" s="191"/>
      <c r="AUI28" s="191"/>
      <c r="AUJ28" s="191"/>
      <c r="AUL28" s="191"/>
      <c r="AUM28" s="191"/>
      <c r="AUN28" s="191"/>
      <c r="AUP28" s="191"/>
      <c r="AUQ28" s="191"/>
      <c r="AUR28" s="191"/>
      <c r="AUT28" s="191"/>
      <c r="AUU28" s="191"/>
      <c r="AUV28" s="191"/>
      <c r="AUX28" s="191"/>
      <c r="AUY28" s="191"/>
      <c r="AUZ28" s="191"/>
      <c r="AVB28" s="191"/>
      <c r="AVC28" s="191"/>
      <c r="AVD28" s="191"/>
      <c r="AVF28" s="191"/>
      <c r="AVG28" s="191"/>
      <c r="AVH28" s="191"/>
      <c r="AVJ28" s="191"/>
      <c r="AVK28" s="191"/>
      <c r="AVL28" s="191"/>
      <c r="AVN28" s="191"/>
      <c r="AVO28" s="191"/>
      <c r="AVP28" s="191"/>
      <c r="AVR28" s="191"/>
      <c r="AVS28" s="191"/>
      <c r="AVT28" s="191"/>
      <c r="AVV28" s="191"/>
      <c r="AVW28" s="191"/>
      <c r="AVX28" s="191"/>
      <c r="AVZ28" s="191"/>
      <c r="AWA28" s="191"/>
      <c r="AWB28" s="191"/>
      <c r="AWD28" s="191"/>
      <c r="AWE28" s="191"/>
      <c r="AWF28" s="191"/>
      <c r="AWH28" s="191"/>
      <c r="AWI28" s="191"/>
      <c r="AWJ28" s="191"/>
      <c r="AWL28" s="191"/>
      <c r="AWM28" s="191"/>
      <c r="AWN28" s="191"/>
      <c r="AWP28" s="191"/>
      <c r="AWQ28" s="191"/>
      <c r="AWR28" s="191"/>
      <c r="AWT28" s="191"/>
      <c r="AWU28" s="191"/>
      <c r="AWV28" s="191"/>
      <c r="AWX28" s="191"/>
      <c r="AWY28" s="191"/>
      <c r="AWZ28" s="191"/>
      <c r="AXB28" s="191"/>
      <c r="AXC28" s="191"/>
      <c r="AXD28" s="191"/>
      <c r="AXF28" s="191"/>
      <c r="AXG28" s="191"/>
      <c r="AXH28" s="191"/>
      <c r="AXJ28" s="191"/>
      <c r="AXK28" s="191"/>
      <c r="AXL28" s="191"/>
      <c r="AXN28" s="191"/>
      <c r="AXO28" s="191"/>
      <c r="AXP28" s="191"/>
      <c r="AXR28" s="191"/>
      <c r="AXS28" s="191"/>
      <c r="AXT28" s="191"/>
      <c r="AXV28" s="191"/>
      <c r="AXW28" s="191"/>
      <c r="AXX28" s="191"/>
      <c r="AXZ28" s="191"/>
      <c r="AYA28" s="191"/>
      <c r="AYB28" s="191"/>
      <c r="AYD28" s="191"/>
      <c r="AYE28" s="191"/>
      <c r="AYF28" s="191"/>
      <c r="AYH28" s="191"/>
      <c r="AYI28" s="191"/>
      <c r="AYJ28" s="191"/>
      <c r="AYL28" s="191"/>
      <c r="AYM28" s="191"/>
      <c r="AYN28" s="191"/>
      <c r="AYP28" s="191"/>
      <c r="AYQ28" s="191"/>
      <c r="AYR28" s="191"/>
      <c r="AYT28" s="191"/>
      <c r="AYU28" s="191"/>
      <c r="AYV28" s="191"/>
      <c r="AYX28" s="191"/>
      <c r="AYY28" s="191"/>
      <c r="AYZ28" s="191"/>
      <c r="AZB28" s="191"/>
      <c r="AZC28" s="191"/>
      <c r="AZD28" s="191"/>
      <c r="AZF28" s="191"/>
      <c r="AZG28" s="191"/>
      <c r="AZH28" s="191"/>
      <c r="AZJ28" s="191"/>
      <c r="AZK28" s="191"/>
      <c r="AZL28" s="191"/>
      <c r="AZN28" s="191"/>
      <c r="AZO28" s="191"/>
      <c r="AZP28" s="191"/>
      <c r="AZR28" s="191"/>
      <c r="AZS28" s="191"/>
      <c r="AZT28" s="191"/>
      <c r="AZV28" s="191"/>
      <c r="AZW28" s="191"/>
      <c r="AZX28" s="191"/>
      <c r="AZZ28" s="191"/>
      <c r="BAA28" s="191"/>
      <c r="BAB28" s="191"/>
      <c r="BAD28" s="191"/>
      <c r="BAE28" s="191"/>
      <c r="BAF28" s="191"/>
      <c r="BAH28" s="191"/>
      <c r="BAI28" s="191"/>
      <c r="BAJ28" s="191"/>
      <c r="BAL28" s="191"/>
      <c r="BAM28" s="191"/>
      <c r="BAN28" s="191"/>
      <c r="BAP28" s="191"/>
      <c r="BAQ28" s="191"/>
      <c r="BAR28" s="191"/>
      <c r="BAT28" s="191"/>
      <c r="BAU28" s="191"/>
      <c r="BAV28" s="191"/>
      <c r="BAX28" s="191"/>
      <c r="BAY28" s="191"/>
      <c r="BAZ28" s="191"/>
      <c r="BBB28" s="191"/>
      <c r="BBC28" s="191"/>
      <c r="BBD28" s="191"/>
      <c r="BBF28" s="191"/>
      <c r="BBG28" s="191"/>
      <c r="BBH28" s="191"/>
      <c r="BBJ28" s="191"/>
      <c r="BBK28" s="191"/>
      <c r="BBL28" s="191"/>
      <c r="BBN28" s="191"/>
      <c r="BBO28" s="191"/>
      <c r="BBP28" s="191"/>
      <c r="BBR28" s="191"/>
      <c r="BBS28" s="191"/>
      <c r="BBT28" s="191"/>
      <c r="BBV28" s="191"/>
      <c r="BBW28" s="191"/>
      <c r="BBX28" s="191"/>
      <c r="BBZ28" s="191"/>
      <c r="BCA28" s="191"/>
      <c r="BCB28" s="191"/>
      <c r="BCD28" s="191"/>
      <c r="BCE28" s="191"/>
      <c r="BCF28" s="191"/>
      <c r="BCH28" s="191"/>
      <c r="BCI28" s="191"/>
      <c r="BCJ28" s="191"/>
      <c r="BCL28" s="191"/>
      <c r="BCM28" s="191"/>
      <c r="BCN28" s="191"/>
      <c r="BCP28" s="191"/>
      <c r="BCQ28" s="191"/>
      <c r="BCR28" s="191"/>
      <c r="BCT28" s="191"/>
      <c r="BCU28" s="191"/>
      <c r="BCV28" s="191"/>
      <c r="BCX28" s="191"/>
      <c r="BCY28" s="191"/>
      <c r="BCZ28" s="191"/>
      <c r="BDB28" s="191"/>
      <c r="BDC28" s="191"/>
      <c r="BDD28" s="191"/>
      <c r="BDF28" s="191"/>
      <c r="BDG28" s="191"/>
      <c r="BDH28" s="191"/>
      <c r="BDJ28" s="191"/>
      <c r="BDK28" s="191"/>
      <c r="BDL28" s="191"/>
      <c r="BDN28" s="191"/>
      <c r="BDO28" s="191"/>
      <c r="BDP28" s="191"/>
      <c r="BDR28" s="191"/>
      <c r="BDS28" s="191"/>
      <c r="BDT28" s="191"/>
      <c r="BDV28" s="191"/>
      <c r="BDW28" s="191"/>
      <c r="BDX28" s="191"/>
      <c r="BDZ28" s="191"/>
      <c r="BEA28" s="191"/>
      <c r="BEB28" s="191"/>
      <c r="BED28" s="191"/>
      <c r="BEE28" s="191"/>
      <c r="BEF28" s="191"/>
      <c r="BEH28" s="191"/>
      <c r="BEI28" s="191"/>
      <c r="BEJ28" s="191"/>
      <c r="BEL28" s="191"/>
      <c r="BEM28" s="191"/>
      <c r="BEN28" s="191"/>
      <c r="BEP28" s="191"/>
      <c r="BEQ28" s="191"/>
      <c r="BER28" s="191"/>
      <c r="BET28" s="191"/>
      <c r="BEU28" s="191"/>
      <c r="BEV28" s="191"/>
      <c r="BEX28" s="191"/>
      <c r="BEY28" s="191"/>
      <c r="BEZ28" s="191"/>
      <c r="BFB28" s="191"/>
      <c r="BFC28" s="191"/>
      <c r="BFD28" s="191"/>
      <c r="BFF28" s="191"/>
      <c r="BFG28" s="191"/>
      <c r="BFH28" s="191"/>
      <c r="BFJ28" s="191"/>
      <c r="BFK28" s="191"/>
      <c r="BFL28" s="191"/>
      <c r="BFN28" s="191"/>
      <c r="BFO28" s="191"/>
      <c r="BFP28" s="191"/>
      <c r="BFR28" s="191"/>
      <c r="BFS28" s="191"/>
      <c r="BFT28" s="191"/>
      <c r="BFV28" s="191"/>
      <c r="BFW28" s="191"/>
      <c r="BFX28" s="191"/>
      <c r="BFZ28" s="191"/>
      <c r="BGA28" s="191"/>
      <c r="BGB28" s="191"/>
      <c r="BGD28" s="191"/>
      <c r="BGE28" s="191"/>
      <c r="BGF28" s="191"/>
      <c r="BGH28" s="191"/>
      <c r="BGI28" s="191"/>
      <c r="BGJ28" s="191"/>
      <c r="BGL28" s="191"/>
      <c r="BGM28" s="191"/>
      <c r="BGN28" s="191"/>
      <c r="BGP28" s="191"/>
      <c r="BGQ28" s="191"/>
      <c r="BGR28" s="191"/>
      <c r="BGT28" s="191"/>
      <c r="BGU28" s="191"/>
      <c r="BGV28" s="191"/>
      <c r="BGX28" s="191"/>
      <c r="BGY28" s="191"/>
      <c r="BGZ28" s="191"/>
      <c r="BHB28" s="191"/>
      <c r="BHC28" s="191"/>
      <c r="BHD28" s="191"/>
      <c r="BHF28" s="191"/>
      <c r="BHG28" s="191"/>
      <c r="BHH28" s="191"/>
      <c r="BHJ28" s="191"/>
      <c r="BHK28" s="191"/>
      <c r="BHL28" s="191"/>
      <c r="BHN28" s="191"/>
      <c r="BHO28" s="191"/>
      <c r="BHP28" s="191"/>
      <c r="BHR28" s="191"/>
      <c r="BHS28" s="191"/>
      <c r="BHT28" s="191"/>
      <c r="BHV28" s="191"/>
      <c r="BHW28" s="191"/>
      <c r="BHX28" s="191"/>
      <c r="BHZ28" s="191"/>
      <c r="BIA28" s="191"/>
      <c r="BIB28" s="191"/>
      <c r="BID28" s="191"/>
      <c r="BIE28" s="191"/>
      <c r="BIF28" s="191"/>
      <c r="BIH28" s="191"/>
      <c r="BII28" s="191"/>
      <c r="BIJ28" s="191"/>
      <c r="BIL28" s="191"/>
      <c r="BIM28" s="191"/>
      <c r="BIN28" s="191"/>
      <c r="BIP28" s="191"/>
      <c r="BIQ28" s="191"/>
      <c r="BIR28" s="191"/>
      <c r="BIT28" s="191"/>
      <c r="BIU28" s="191"/>
      <c r="BIV28" s="191"/>
      <c r="BIX28" s="191"/>
      <c r="BIY28" s="191"/>
      <c r="BIZ28" s="191"/>
      <c r="BJB28" s="191"/>
      <c r="BJC28" s="191"/>
      <c r="BJD28" s="191"/>
      <c r="BJF28" s="191"/>
      <c r="BJG28" s="191"/>
      <c r="BJH28" s="191"/>
      <c r="BJJ28" s="191"/>
      <c r="BJK28" s="191"/>
      <c r="BJL28" s="191"/>
      <c r="BJN28" s="191"/>
      <c r="BJO28" s="191"/>
      <c r="BJP28" s="191"/>
      <c r="BJR28" s="191"/>
      <c r="BJS28" s="191"/>
      <c r="BJT28" s="191"/>
      <c r="BJV28" s="191"/>
      <c r="BJW28" s="191"/>
      <c r="BJX28" s="191"/>
      <c r="BJZ28" s="191"/>
      <c r="BKA28" s="191"/>
      <c r="BKB28" s="191"/>
      <c r="BKD28" s="191"/>
      <c r="BKE28" s="191"/>
      <c r="BKF28" s="191"/>
      <c r="BKH28" s="191"/>
      <c r="BKI28" s="191"/>
      <c r="BKJ28" s="191"/>
      <c r="BKL28" s="191"/>
      <c r="BKM28" s="191"/>
      <c r="BKN28" s="191"/>
      <c r="BKP28" s="191"/>
      <c r="BKQ28" s="191"/>
      <c r="BKR28" s="191"/>
      <c r="BKT28" s="191"/>
      <c r="BKU28" s="191"/>
      <c r="BKV28" s="191"/>
      <c r="BKX28" s="191"/>
      <c r="BKY28" s="191"/>
      <c r="BKZ28" s="191"/>
      <c r="BLB28" s="191"/>
      <c r="BLC28" s="191"/>
      <c r="BLD28" s="191"/>
      <c r="BLF28" s="191"/>
      <c r="BLG28" s="191"/>
      <c r="BLH28" s="191"/>
      <c r="BLJ28" s="191"/>
      <c r="BLK28" s="191"/>
      <c r="BLL28" s="191"/>
      <c r="BLN28" s="191"/>
      <c r="BLO28" s="191"/>
      <c r="BLP28" s="191"/>
      <c r="BLR28" s="191"/>
      <c r="BLS28" s="191"/>
      <c r="BLT28" s="191"/>
      <c r="BLV28" s="191"/>
      <c r="BLW28" s="191"/>
      <c r="BLX28" s="191"/>
      <c r="BLZ28" s="191"/>
      <c r="BMA28" s="191"/>
      <c r="BMB28" s="191"/>
      <c r="BMD28" s="191"/>
      <c r="BME28" s="191"/>
      <c r="BMF28" s="191"/>
      <c r="BMH28" s="191"/>
      <c r="BMI28" s="191"/>
      <c r="BMJ28" s="191"/>
      <c r="BML28" s="191"/>
      <c r="BMM28" s="191"/>
      <c r="BMN28" s="191"/>
      <c r="BMP28" s="191"/>
      <c r="BMQ28" s="191"/>
      <c r="BMR28" s="191"/>
      <c r="BMT28" s="191"/>
      <c r="BMU28" s="191"/>
      <c r="BMV28" s="191"/>
      <c r="BMX28" s="191"/>
      <c r="BMY28" s="191"/>
      <c r="BMZ28" s="191"/>
      <c r="BNB28" s="191"/>
      <c r="BNC28" s="191"/>
      <c r="BND28" s="191"/>
      <c r="BNF28" s="191"/>
      <c r="BNG28" s="191"/>
      <c r="BNH28" s="191"/>
      <c r="BNJ28" s="191"/>
      <c r="BNK28" s="191"/>
      <c r="BNL28" s="191"/>
      <c r="BNN28" s="191"/>
      <c r="BNO28" s="191"/>
      <c r="BNP28" s="191"/>
      <c r="BNR28" s="191"/>
      <c r="BNS28" s="191"/>
      <c r="BNT28" s="191"/>
      <c r="BNV28" s="191"/>
      <c r="BNW28" s="191"/>
      <c r="BNX28" s="191"/>
      <c r="BNZ28" s="191"/>
      <c r="BOA28" s="191"/>
      <c r="BOB28" s="191"/>
      <c r="BOD28" s="191"/>
      <c r="BOE28" s="191"/>
      <c r="BOF28" s="191"/>
      <c r="BOH28" s="191"/>
      <c r="BOI28" s="191"/>
      <c r="BOJ28" s="191"/>
      <c r="BOL28" s="191"/>
      <c r="BOM28" s="191"/>
      <c r="BON28" s="191"/>
      <c r="BOP28" s="191"/>
      <c r="BOQ28" s="191"/>
      <c r="BOR28" s="191"/>
      <c r="BOT28" s="191"/>
      <c r="BOU28" s="191"/>
      <c r="BOV28" s="191"/>
      <c r="BOX28" s="191"/>
      <c r="BOY28" s="191"/>
      <c r="BOZ28" s="191"/>
      <c r="BPB28" s="191"/>
      <c r="BPC28" s="191"/>
      <c r="BPD28" s="191"/>
      <c r="BPF28" s="191"/>
      <c r="BPG28" s="191"/>
      <c r="BPH28" s="191"/>
      <c r="BPJ28" s="191"/>
      <c r="BPK28" s="191"/>
      <c r="BPL28" s="191"/>
      <c r="BPN28" s="191"/>
      <c r="BPO28" s="191"/>
      <c r="BPP28" s="191"/>
      <c r="BPR28" s="191"/>
      <c r="BPS28" s="191"/>
      <c r="BPT28" s="191"/>
      <c r="BPV28" s="191"/>
      <c r="BPW28" s="191"/>
      <c r="BPX28" s="191"/>
      <c r="BPZ28" s="191"/>
      <c r="BQA28" s="191"/>
      <c r="BQB28" s="191"/>
      <c r="BQD28" s="191"/>
      <c r="BQE28" s="191"/>
      <c r="BQF28" s="191"/>
      <c r="BQH28" s="191"/>
      <c r="BQI28" s="191"/>
      <c r="BQJ28" s="191"/>
      <c r="BQL28" s="191"/>
      <c r="BQM28" s="191"/>
      <c r="BQN28" s="191"/>
      <c r="BQP28" s="191"/>
      <c r="BQQ28" s="191"/>
      <c r="BQR28" s="191"/>
      <c r="BQT28" s="191"/>
      <c r="BQU28" s="191"/>
      <c r="BQV28" s="191"/>
      <c r="BQX28" s="191"/>
      <c r="BQY28" s="191"/>
      <c r="BQZ28" s="191"/>
      <c r="BRB28" s="191"/>
      <c r="BRC28" s="191"/>
      <c r="BRD28" s="191"/>
      <c r="BRF28" s="191"/>
      <c r="BRG28" s="191"/>
      <c r="BRH28" s="191"/>
      <c r="BRJ28" s="191"/>
      <c r="BRK28" s="191"/>
      <c r="BRL28" s="191"/>
      <c r="BRN28" s="191"/>
      <c r="BRO28" s="191"/>
      <c r="BRP28" s="191"/>
      <c r="BRR28" s="191"/>
      <c r="BRS28" s="191"/>
      <c r="BRT28" s="191"/>
      <c r="BRV28" s="191"/>
      <c r="BRW28" s="191"/>
      <c r="BRX28" s="191"/>
      <c r="BRZ28" s="191"/>
      <c r="BSA28" s="191"/>
      <c r="BSB28" s="191"/>
      <c r="BSD28" s="191"/>
      <c r="BSE28" s="191"/>
      <c r="BSF28" s="191"/>
      <c r="BSH28" s="191"/>
      <c r="BSI28" s="191"/>
      <c r="BSJ28" s="191"/>
      <c r="BSL28" s="191"/>
      <c r="BSM28" s="191"/>
      <c r="BSN28" s="191"/>
      <c r="BSP28" s="191"/>
      <c r="BSQ28" s="191"/>
      <c r="BSR28" s="191"/>
      <c r="BST28" s="191"/>
      <c r="BSU28" s="191"/>
      <c r="BSV28" s="191"/>
      <c r="BSX28" s="191"/>
      <c r="BSY28" s="191"/>
      <c r="BSZ28" s="191"/>
      <c r="BTB28" s="191"/>
      <c r="BTC28" s="191"/>
      <c r="BTD28" s="191"/>
      <c r="BTF28" s="191"/>
      <c r="BTG28" s="191"/>
      <c r="BTH28" s="191"/>
      <c r="BTJ28" s="191"/>
      <c r="BTK28" s="191"/>
      <c r="BTL28" s="191"/>
      <c r="BTN28" s="191"/>
      <c r="BTO28" s="191"/>
      <c r="BTP28" s="191"/>
      <c r="BTR28" s="191"/>
      <c r="BTS28" s="191"/>
      <c r="BTT28" s="191"/>
      <c r="BTV28" s="191"/>
      <c r="BTW28" s="191"/>
      <c r="BTX28" s="191"/>
      <c r="BTZ28" s="191"/>
      <c r="BUA28" s="191"/>
      <c r="BUB28" s="191"/>
      <c r="BUD28" s="191"/>
      <c r="BUE28" s="191"/>
      <c r="BUF28" s="191"/>
      <c r="BUH28" s="191"/>
      <c r="BUI28" s="191"/>
      <c r="BUJ28" s="191"/>
      <c r="BUL28" s="191"/>
      <c r="BUM28" s="191"/>
      <c r="BUN28" s="191"/>
      <c r="BUP28" s="191"/>
      <c r="BUQ28" s="191"/>
      <c r="BUR28" s="191"/>
      <c r="BUT28" s="191"/>
      <c r="BUU28" s="191"/>
      <c r="BUV28" s="191"/>
      <c r="BUX28" s="191"/>
      <c r="BUY28" s="191"/>
      <c r="BUZ28" s="191"/>
      <c r="BVB28" s="191"/>
      <c r="BVC28" s="191"/>
      <c r="BVD28" s="191"/>
      <c r="BVF28" s="191"/>
      <c r="BVG28" s="191"/>
      <c r="BVH28" s="191"/>
      <c r="BVJ28" s="191"/>
      <c r="BVK28" s="191"/>
      <c r="BVL28" s="191"/>
      <c r="BVN28" s="191"/>
      <c r="BVO28" s="191"/>
      <c r="BVP28" s="191"/>
      <c r="BVR28" s="191"/>
      <c r="BVS28" s="191"/>
      <c r="BVT28" s="191"/>
      <c r="BVV28" s="191"/>
      <c r="BVW28" s="191"/>
      <c r="BVX28" s="191"/>
      <c r="BVZ28" s="191"/>
      <c r="BWA28" s="191"/>
      <c r="BWB28" s="191"/>
      <c r="BWD28" s="191"/>
      <c r="BWE28" s="191"/>
      <c r="BWF28" s="191"/>
      <c r="BWH28" s="191"/>
      <c r="BWI28" s="191"/>
      <c r="BWJ28" s="191"/>
      <c r="BWL28" s="191"/>
      <c r="BWM28" s="191"/>
      <c r="BWN28" s="191"/>
      <c r="BWP28" s="191"/>
      <c r="BWQ28" s="191"/>
      <c r="BWR28" s="191"/>
      <c r="BWT28" s="191"/>
      <c r="BWU28" s="191"/>
      <c r="BWV28" s="191"/>
      <c r="BWX28" s="191"/>
      <c r="BWY28" s="191"/>
      <c r="BWZ28" s="191"/>
      <c r="BXB28" s="191"/>
      <c r="BXC28" s="191"/>
      <c r="BXD28" s="191"/>
      <c r="BXF28" s="191"/>
      <c r="BXG28" s="191"/>
      <c r="BXH28" s="191"/>
      <c r="BXJ28" s="191"/>
      <c r="BXK28" s="191"/>
      <c r="BXL28" s="191"/>
      <c r="BXN28" s="191"/>
      <c r="BXO28" s="191"/>
      <c r="BXP28" s="191"/>
      <c r="BXR28" s="191"/>
      <c r="BXS28" s="191"/>
      <c r="BXT28" s="191"/>
      <c r="BXV28" s="191"/>
      <c r="BXW28" s="191"/>
      <c r="BXX28" s="191"/>
      <c r="BXZ28" s="191"/>
      <c r="BYA28" s="191"/>
      <c r="BYB28" s="191"/>
      <c r="BYD28" s="191"/>
      <c r="BYE28" s="191"/>
      <c r="BYF28" s="191"/>
      <c r="BYH28" s="191"/>
      <c r="BYI28" s="191"/>
      <c r="BYJ28" s="191"/>
      <c r="BYL28" s="191"/>
      <c r="BYM28" s="191"/>
      <c r="BYN28" s="191"/>
      <c r="BYP28" s="191"/>
      <c r="BYQ28" s="191"/>
      <c r="BYR28" s="191"/>
      <c r="BYT28" s="191"/>
      <c r="BYU28" s="191"/>
      <c r="BYV28" s="191"/>
      <c r="BYX28" s="191"/>
      <c r="BYY28" s="191"/>
      <c r="BYZ28" s="191"/>
      <c r="BZB28" s="191"/>
      <c r="BZC28" s="191"/>
      <c r="BZD28" s="191"/>
      <c r="BZF28" s="191"/>
      <c r="BZG28" s="191"/>
      <c r="BZH28" s="191"/>
      <c r="BZJ28" s="191"/>
      <c r="BZK28" s="191"/>
      <c r="BZL28" s="191"/>
      <c r="BZN28" s="191"/>
      <c r="BZO28" s="191"/>
      <c r="BZP28" s="191"/>
      <c r="BZR28" s="191"/>
      <c r="BZS28" s="191"/>
      <c r="BZT28" s="191"/>
      <c r="BZV28" s="191"/>
      <c r="BZW28" s="191"/>
      <c r="BZX28" s="191"/>
      <c r="BZZ28" s="191"/>
      <c r="CAA28" s="191"/>
      <c r="CAB28" s="191"/>
      <c r="CAD28" s="191"/>
      <c r="CAE28" s="191"/>
      <c r="CAF28" s="191"/>
      <c r="CAH28" s="191"/>
      <c r="CAI28" s="191"/>
      <c r="CAJ28" s="191"/>
      <c r="CAL28" s="191"/>
      <c r="CAM28" s="191"/>
      <c r="CAN28" s="191"/>
      <c r="CAP28" s="191"/>
      <c r="CAQ28" s="191"/>
      <c r="CAR28" s="191"/>
      <c r="CAT28" s="191"/>
      <c r="CAU28" s="191"/>
      <c r="CAV28" s="191"/>
      <c r="CAX28" s="191"/>
      <c r="CAY28" s="191"/>
      <c r="CAZ28" s="191"/>
      <c r="CBB28" s="191"/>
      <c r="CBC28" s="191"/>
      <c r="CBD28" s="191"/>
      <c r="CBF28" s="191"/>
      <c r="CBG28" s="191"/>
      <c r="CBH28" s="191"/>
      <c r="CBJ28" s="191"/>
      <c r="CBK28" s="191"/>
      <c r="CBL28" s="191"/>
      <c r="CBN28" s="191"/>
      <c r="CBO28" s="191"/>
      <c r="CBP28" s="191"/>
      <c r="CBR28" s="191"/>
      <c r="CBS28" s="191"/>
      <c r="CBT28" s="191"/>
      <c r="CBV28" s="191"/>
      <c r="CBW28" s="191"/>
      <c r="CBX28" s="191"/>
      <c r="CBZ28" s="191"/>
      <c r="CCA28" s="191"/>
      <c r="CCB28" s="191"/>
      <c r="CCD28" s="191"/>
      <c r="CCE28" s="191"/>
      <c r="CCF28" s="191"/>
      <c r="CCH28" s="191"/>
      <c r="CCI28" s="191"/>
      <c r="CCJ28" s="191"/>
      <c r="CCL28" s="191"/>
      <c r="CCM28" s="191"/>
      <c r="CCN28" s="191"/>
      <c r="CCP28" s="191"/>
      <c r="CCQ28" s="191"/>
      <c r="CCR28" s="191"/>
      <c r="CCT28" s="191"/>
      <c r="CCU28" s="191"/>
      <c r="CCV28" s="191"/>
      <c r="CCX28" s="191"/>
      <c r="CCY28" s="191"/>
      <c r="CCZ28" s="191"/>
      <c r="CDB28" s="191"/>
      <c r="CDC28" s="191"/>
      <c r="CDD28" s="191"/>
      <c r="CDF28" s="191"/>
      <c r="CDG28" s="191"/>
      <c r="CDH28" s="191"/>
      <c r="CDJ28" s="191"/>
      <c r="CDK28" s="191"/>
      <c r="CDL28" s="191"/>
      <c r="CDN28" s="191"/>
      <c r="CDO28" s="191"/>
      <c r="CDP28" s="191"/>
      <c r="CDR28" s="191"/>
      <c r="CDS28" s="191"/>
      <c r="CDT28" s="191"/>
      <c r="CDV28" s="191"/>
      <c r="CDW28" s="191"/>
      <c r="CDX28" s="191"/>
      <c r="CDZ28" s="191"/>
      <c r="CEA28" s="191"/>
      <c r="CEB28" s="191"/>
      <c r="CED28" s="191"/>
      <c r="CEE28" s="191"/>
      <c r="CEF28" s="191"/>
      <c r="CEH28" s="191"/>
      <c r="CEI28" s="191"/>
      <c r="CEJ28" s="191"/>
      <c r="CEL28" s="191"/>
      <c r="CEM28" s="191"/>
      <c r="CEN28" s="191"/>
      <c r="CEP28" s="191"/>
      <c r="CEQ28" s="191"/>
      <c r="CER28" s="191"/>
      <c r="CET28" s="191"/>
      <c r="CEU28" s="191"/>
      <c r="CEV28" s="191"/>
      <c r="CEX28" s="191"/>
      <c r="CEY28" s="191"/>
      <c r="CEZ28" s="191"/>
      <c r="CFB28" s="191"/>
      <c r="CFC28" s="191"/>
      <c r="CFD28" s="191"/>
      <c r="CFF28" s="191"/>
      <c r="CFG28" s="191"/>
      <c r="CFH28" s="191"/>
      <c r="CFJ28" s="191"/>
      <c r="CFK28" s="191"/>
      <c r="CFL28" s="191"/>
      <c r="CFN28" s="191"/>
      <c r="CFO28" s="191"/>
      <c r="CFP28" s="191"/>
      <c r="CFR28" s="191"/>
      <c r="CFS28" s="191"/>
      <c r="CFT28" s="191"/>
      <c r="CFV28" s="191"/>
      <c r="CFW28" s="191"/>
      <c r="CFX28" s="191"/>
      <c r="CFZ28" s="191"/>
      <c r="CGA28" s="191"/>
      <c r="CGB28" s="191"/>
      <c r="CGD28" s="191"/>
      <c r="CGE28" s="191"/>
      <c r="CGF28" s="191"/>
      <c r="CGH28" s="191"/>
      <c r="CGI28" s="191"/>
      <c r="CGJ28" s="191"/>
      <c r="CGL28" s="191"/>
      <c r="CGM28" s="191"/>
      <c r="CGN28" s="191"/>
      <c r="CGP28" s="191"/>
      <c r="CGQ28" s="191"/>
      <c r="CGR28" s="191"/>
      <c r="CGT28" s="191"/>
      <c r="CGU28" s="191"/>
      <c r="CGV28" s="191"/>
      <c r="CGX28" s="191"/>
      <c r="CGY28" s="191"/>
      <c r="CGZ28" s="191"/>
      <c r="CHB28" s="191"/>
      <c r="CHC28" s="191"/>
      <c r="CHD28" s="191"/>
      <c r="CHF28" s="191"/>
      <c r="CHG28" s="191"/>
      <c r="CHH28" s="191"/>
      <c r="CHJ28" s="191"/>
      <c r="CHK28" s="191"/>
      <c r="CHL28" s="191"/>
      <c r="CHN28" s="191"/>
      <c r="CHO28" s="191"/>
      <c r="CHP28" s="191"/>
      <c r="CHR28" s="191"/>
      <c r="CHS28" s="191"/>
      <c r="CHT28" s="191"/>
      <c r="CHV28" s="191"/>
      <c r="CHW28" s="191"/>
      <c r="CHX28" s="191"/>
      <c r="CHZ28" s="191"/>
      <c r="CIA28" s="191"/>
      <c r="CIB28" s="191"/>
      <c r="CID28" s="191"/>
      <c r="CIE28" s="191"/>
      <c r="CIF28" s="191"/>
      <c r="CIH28" s="191"/>
      <c r="CII28" s="191"/>
      <c r="CIJ28" s="191"/>
      <c r="CIL28" s="191"/>
      <c r="CIM28" s="191"/>
      <c r="CIN28" s="191"/>
      <c r="CIP28" s="191"/>
      <c r="CIQ28" s="191"/>
      <c r="CIR28" s="191"/>
      <c r="CIT28" s="191"/>
      <c r="CIU28" s="191"/>
      <c r="CIV28" s="191"/>
      <c r="CIX28" s="191"/>
      <c r="CIY28" s="191"/>
      <c r="CIZ28" s="191"/>
      <c r="CJB28" s="191"/>
      <c r="CJC28" s="191"/>
      <c r="CJD28" s="191"/>
      <c r="CJF28" s="191"/>
      <c r="CJG28" s="191"/>
      <c r="CJH28" s="191"/>
      <c r="CJJ28" s="191"/>
      <c r="CJK28" s="191"/>
      <c r="CJL28" s="191"/>
      <c r="CJN28" s="191"/>
      <c r="CJO28" s="191"/>
      <c r="CJP28" s="191"/>
      <c r="CJR28" s="191"/>
      <c r="CJS28" s="191"/>
      <c r="CJT28" s="191"/>
      <c r="CJV28" s="191"/>
      <c r="CJW28" s="191"/>
      <c r="CJX28" s="191"/>
      <c r="CJZ28" s="191"/>
      <c r="CKA28" s="191"/>
      <c r="CKB28" s="191"/>
      <c r="CKD28" s="191"/>
      <c r="CKE28" s="191"/>
      <c r="CKF28" s="191"/>
      <c r="CKH28" s="191"/>
      <c r="CKI28" s="191"/>
      <c r="CKJ28" s="191"/>
      <c r="CKL28" s="191"/>
      <c r="CKM28" s="191"/>
      <c r="CKN28" s="191"/>
      <c r="CKP28" s="191"/>
      <c r="CKQ28" s="191"/>
      <c r="CKR28" s="191"/>
      <c r="CKT28" s="191"/>
      <c r="CKU28" s="191"/>
      <c r="CKV28" s="191"/>
      <c r="CKX28" s="191"/>
      <c r="CKY28" s="191"/>
      <c r="CKZ28" s="191"/>
      <c r="CLB28" s="191"/>
      <c r="CLC28" s="191"/>
      <c r="CLD28" s="191"/>
      <c r="CLF28" s="191"/>
      <c r="CLG28" s="191"/>
      <c r="CLH28" s="191"/>
      <c r="CLJ28" s="191"/>
      <c r="CLK28" s="191"/>
      <c r="CLL28" s="191"/>
      <c r="CLN28" s="191"/>
      <c r="CLO28" s="191"/>
      <c r="CLP28" s="191"/>
      <c r="CLR28" s="191"/>
      <c r="CLS28" s="191"/>
      <c r="CLT28" s="191"/>
      <c r="CLV28" s="191"/>
      <c r="CLW28" s="191"/>
      <c r="CLX28" s="191"/>
      <c r="CLZ28" s="191"/>
      <c r="CMA28" s="191"/>
      <c r="CMB28" s="191"/>
      <c r="CMD28" s="191"/>
      <c r="CME28" s="191"/>
      <c r="CMF28" s="191"/>
      <c r="CMH28" s="191"/>
      <c r="CMI28" s="191"/>
      <c r="CMJ28" s="191"/>
      <c r="CML28" s="191"/>
      <c r="CMM28" s="191"/>
      <c r="CMN28" s="191"/>
      <c r="CMP28" s="191"/>
      <c r="CMQ28" s="191"/>
      <c r="CMR28" s="191"/>
      <c r="CMT28" s="191"/>
      <c r="CMU28" s="191"/>
      <c r="CMV28" s="191"/>
      <c r="CMX28" s="191"/>
      <c r="CMY28" s="191"/>
      <c r="CMZ28" s="191"/>
      <c r="CNB28" s="191"/>
      <c r="CNC28" s="191"/>
      <c r="CND28" s="191"/>
      <c r="CNF28" s="191"/>
      <c r="CNG28" s="191"/>
      <c r="CNH28" s="191"/>
      <c r="CNJ28" s="191"/>
      <c r="CNK28" s="191"/>
      <c r="CNL28" s="191"/>
      <c r="CNN28" s="191"/>
      <c r="CNO28" s="191"/>
      <c r="CNP28" s="191"/>
      <c r="CNR28" s="191"/>
      <c r="CNS28" s="191"/>
      <c r="CNT28" s="191"/>
      <c r="CNV28" s="191"/>
      <c r="CNW28" s="191"/>
      <c r="CNX28" s="191"/>
      <c r="CNZ28" s="191"/>
      <c r="COA28" s="191"/>
      <c r="COB28" s="191"/>
      <c r="COD28" s="191"/>
      <c r="COE28" s="191"/>
      <c r="COF28" s="191"/>
      <c r="COH28" s="191"/>
      <c r="COI28" s="191"/>
      <c r="COJ28" s="191"/>
      <c r="COL28" s="191"/>
      <c r="COM28" s="191"/>
      <c r="CON28" s="191"/>
      <c r="COP28" s="191"/>
      <c r="COQ28" s="191"/>
      <c r="COR28" s="191"/>
      <c r="COT28" s="191"/>
      <c r="COU28" s="191"/>
      <c r="COV28" s="191"/>
      <c r="COX28" s="191"/>
      <c r="COY28" s="191"/>
      <c r="COZ28" s="191"/>
      <c r="CPB28" s="191"/>
      <c r="CPC28" s="191"/>
      <c r="CPD28" s="191"/>
      <c r="CPF28" s="191"/>
      <c r="CPG28" s="191"/>
      <c r="CPH28" s="191"/>
      <c r="CPJ28" s="191"/>
      <c r="CPK28" s="191"/>
      <c r="CPL28" s="191"/>
      <c r="CPN28" s="191"/>
      <c r="CPO28" s="191"/>
      <c r="CPP28" s="191"/>
      <c r="CPR28" s="191"/>
      <c r="CPS28" s="191"/>
      <c r="CPT28" s="191"/>
      <c r="CPV28" s="191"/>
      <c r="CPW28" s="191"/>
      <c r="CPX28" s="191"/>
      <c r="CPZ28" s="191"/>
      <c r="CQA28" s="191"/>
      <c r="CQB28" s="191"/>
      <c r="CQD28" s="191"/>
      <c r="CQE28" s="191"/>
      <c r="CQF28" s="191"/>
      <c r="CQH28" s="191"/>
      <c r="CQI28" s="191"/>
      <c r="CQJ28" s="191"/>
      <c r="CQL28" s="191"/>
      <c r="CQM28" s="191"/>
      <c r="CQN28" s="191"/>
      <c r="CQP28" s="191"/>
      <c r="CQQ28" s="191"/>
      <c r="CQR28" s="191"/>
      <c r="CQT28" s="191"/>
      <c r="CQU28" s="191"/>
      <c r="CQV28" s="191"/>
      <c r="CQX28" s="191"/>
      <c r="CQY28" s="191"/>
      <c r="CQZ28" s="191"/>
      <c r="CRB28" s="191"/>
      <c r="CRC28" s="191"/>
      <c r="CRD28" s="191"/>
      <c r="CRF28" s="191"/>
      <c r="CRG28" s="191"/>
      <c r="CRH28" s="191"/>
      <c r="CRJ28" s="191"/>
      <c r="CRK28" s="191"/>
      <c r="CRL28" s="191"/>
      <c r="CRN28" s="191"/>
      <c r="CRO28" s="191"/>
      <c r="CRP28" s="191"/>
      <c r="CRR28" s="191"/>
      <c r="CRS28" s="191"/>
      <c r="CRT28" s="191"/>
      <c r="CRV28" s="191"/>
      <c r="CRW28" s="191"/>
      <c r="CRX28" s="191"/>
      <c r="CRZ28" s="191"/>
      <c r="CSA28" s="191"/>
      <c r="CSB28" s="191"/>
      <c r="CSD28" s="191"/>
      <c r="CSE28" s="191"/>
      <c r="CSF28" s="191"/>
      <c r="CSH28" s="191"/>
      <c r="CSI28" s="191"/>
      <c r="CSJ28" s="191"/>
      <c r="CSL28" s="191"/>
      <c r="CSM28" s="191"/>
      <c r="CSN28" s="191"/>
      <c r="CSP28" s="191"/>
      <c r="CSQ28" s="191"/>
      <c r="CSR28" s="191"/>
      <c r="CST28" s="191"/>
      <c r="CSU28" s="191"/>
      <c r="CSV28" s="191"/>
      <c r="CSX28" s="191"/>
      <c r="CSY28" s="191"/>
      <c r="CSZ28" s="191"/>
      <c r="CTB28" s="191"/>
      <c r="CTC28" s="191"/>
      <c r="CTD28" s="191"/>
      <c r="CTF28" s="191"/>
      <c r="CTG28" s="191"/>
      <c r="CTH28" s="191"/>
      <c r="CTJ28" s="191"/>
      <c r="CTK28" s="191"/>
      <c r="CTL28" s="191"/>
      <c r="CTN28" s="191"/>
      <c r="CTO28" s="191"/>
      <c r="CTP28" s="191"/>
      <c r="CTR28" s="191"/>
      <c r="CTS28" s="191"/>
      <c r="CTT28" s="191"/>
      <c r="CTV28" s="191"/>
      <c r="CTW28" s="191"/>
      <c r="CTX28" s="191"/>
      <c r="CTZ28" s="191"/>
      <c r="CUA28" s="191"/>
      <c r="CUB28" s="191"/>
      <c r="CUD28" s="191"/>
      <c r="CUE28" s="191"/>
      <c r="CUF28" s="191"/>
      <c r="CUH28" s="191"/>
      <c r="CUI28" s="191"/>
      <c r="CUJ28" s="191"/>
      <c r="CUL28" s="191"/>
      <c r="CUM28" s="191"/>
      <c r="CUN28" s="191"/>
      <c r="CUP28" s="191"/>
      <c r="CUQ28" s="191"/>
      <c r="CUR28" s="191"/>
      <c r="CUT28" s="191"/>
      <c r="CUU28" s="191"/>
      <c r="CUV28" s="191"/>
      <c r="CUX28" s="191"/>
      <c r="CUY28" s="191"/>
      <c r="CUZ28" s="191"/>
      <c r="CVB28" s="191"/>
      <c r="CVC28" s="191"/>
      <c r="CVD28" s="191"/>
      <c r="CVF28" s="191"/>
      <c r="CVG28" s="191"/>
      <c r="CVH28" s="191"/>
      <c r="CVJ28" s="191"/>
      <c r="CVK28" s="191"/>
      <c r="CVL28" s="191"/>
      <c r="CVN28" s="191"/>
      <c r="CVO28" s="191"/>
      <c r="CVP28" s="191"/>
      <c r="CVR28" s="191"/>
      <c r="CVS28" s="191"/>
      <c r="CVT28" s="191"/>
      <c r="CVV28" s="191"/>
      <c r="CVW28" s="191"/>
      <c r="CVX28" s="191"/>
      <c r="CVZ28" s="191"/>
      <c r="CWA28" s="191"/>
      <c r="CWB28" s="191"/>
      <c r="CWD28" s="191"/>
      <c r="CWE28" s="191"/>
      <c r="CWF28" s="191"/>
      <c r="CWH28" s="191"/>
      <c r="CWI28" s="191"/>
      <c r="CWJ28" s="191"/>
      <c r="CWL28" s="191"/>
      <c r="CWM28" s="191"/>
      <c r="CWN28" s="191"/>
      <c r="CWP28" s="191"/>
      <c r="CWQ28" s="191"/>
      <c r="CWR28" s="191"/>
      <c r="CWT28" s="191"/>
      <c r="CWU28" s="191"/>
      <c r="CWV28" s="191"/>
      <c r="CWX28" s="191"/>
      <c r="CWY28" s="191"/>
      <c r="CWZ28" s="191"/>
      <c r="CXB28" s="191"/>
      <c r="CXC28" s="191"/>
      <c r="CXD28" s="191"/>
      <c r="CXF28" s="191"/>
      <c r="CXG28" s="191"/>
      <c r="CXH28" s="191"/>
      <c r="CXJ28" s="191"/>
      <c r="CXK28" s="191"/>
      <c r="CXL28" s="191"/>
      <c r="CXN28" s="191"/>
      <c r="CXO28" s="191"/>
      <c r="CXP28" s="191"/>
      <c r="CXR28" s="191"/>
      <c r="CXS28" s="191"/>
      <c r="CXT28" s="191"/>
      <c r="CXV28" s="191"/>
      <c r="CXW28" s="191"/>
      <c r="CXX28" s="191"/>
      <c r="CXZ28" s="191"/>
      <c r="CYA28" s="191"/>
      <c r="CYB28" s="191"/>
      <c r="CYD28" s="191"/>
      <c r="CYE28" s="191"/>
      <c r="CYF28" s="191"/>
      <c r="CYH28" s="191"/>
      <c r="CYI28" s="191"/>
      <c r="CYJ28" s="191"/>
      <c r="CYL28" s="191"/>
      <c r="CYM28" s="191"/>
      <c r="CYN28" s="191"/>
      <c r="CYP28" s="191"/>
      <c r="CYQ28" s="191"/>
      <c r="CYR28" s="191"/>
      <c r="CYT28" s="191"/>
      <c r="CYU28" s="191"/>
      <c r="CYV28" s="191"/>
      <c r="CYX28" s="191"/>
      <c r="CYY28" s="191"/>
      <c r="CYZ28" s="191"/>
      <c r="CZB28" s="191"/>
      <c r="CZC28" s="191"/>
      <c r="CZD28" s="191"/>
      <c r="CZF28" s="191"/>
      <c r="CZG28" s="191"/>
      <c r="CZH28" s="191"/>
      <c r="CZJ28" s="191"/>
      <c r="CZK28" s="191"/>
      <c r="CZL28" s="191"/>
      <c r="CZN28" s="191"/>
      <c r="CZO28" s="191"/>
      <c r="CZP28" s="191"/>
      <c r="CZR28" s="191"/>
      <c r="CZS28" s="191"/>
      <c r="CZT28" s="191"/>
      <c r="CZV28" s="191"/>
      <c r="CZW28" s="191"/>
      <c r="CZX28" s="191"/>
      <c r="CZZ28" s="191"/>
      <c r="DAA28" s="191"/>
      <c r="DAB28" s="191"/>
      <c r="DAD28" s="191"/>
      <c r="DAE28" s="191"/>
      <c r="DAF28" s="191"/>
      <c r="DAH28" s="191"/>
      <c r="DAI28" s="191"/>
      <c r="DAJ28" s="191"/>
      <c r="DAL28" s="191"/>
      <c r="DAM28" s="191"/>
      <c r="DAN28" s="191"/>
      <c r="DAP28" s="191"/>
      <c r="DAQ28" s="191"/>
      <c r="DAR28" s="191"/>
      <c r="DAT28" s="191"/>
      <c r="DAU28" s="191"/>
      <c r="DAV28" s="191"/>
      <c r="DAX28" s="191"/>
      <c r="DAY28" s="191"/>
      <c r="DAZ28" s="191"/>
      <c r="DBB28" s="191"/>
      <c r="DBC28" s="191"/>
      <c r="DBD28" s="191"/>
      <c r="DBF28" s="191"/>
      <c r="DBG28" s="191"/>
      <c r="DBH28" s="191"/>
      <c r="DBJ28" s="191"/>
      <c r="DBK28" s="191"/>
      <c r="DBL28" s="191"/>
      <c r="DBN28" s="191"/>
      <c r="DBO28" s="191"/>
      <c r="DBP28" s="191"/>
      <c r="DBR28" s="191"/>
      <c r="DBS28" s="191"/>
      <c r="DBT28" s="191"/>
      <c r="DBV28" s="191"/>
      <c r="DBW28" s="191"/>
      <c r="DBX28" s="191"/>
      <c r="DBZ28" s="191"/>
      <c r="DCA28" s="191"/>
      <c r="DCB28" s="191"/>
      <c r="DCD28" s="191"/>
      <c r="DCE28" s="191"/>
      <c r="DCF28" s="191"/>
      <c r="DCH28" s="191"/>
      <c r="DCI28" s="191"/>
      <c r="DCJ28" s="191"/>
      <c r="DCL28" s="191"/>
      <c r="DCM28" s="191"/>
      <c r="DCN28" s="191"/>
      <c r="DCP28" s="191"/>
      <c r="DCQ28" s="191"/>
      <c r="DCR28" s="191"/>
      <c r="DCT28" s="191"/>
      <c r="DCU28" s="191"/>
      <c r="DCV28" s="191"/>
      <c r="DCX28" s="191"/>
      <c r="DCY28" s="191"/>
      <c r="DCZ28" s="191"/>
      <c r="DDB28" s="191"/>
      <c r="DDC28" s="191"/>
      <c r="DDD28" s="191"/>
      <c r="DDF28" s="191"/>
      <c r="DDG28" s="191"/>
      <c r="DDH28" s="191"/>
      <c r="DDJ28" s="191"/>
      <c r="DDK28" s="191"/>
      <c r="DDL28" s="191"/>
      <c r="DDN28" s="191"/>
      <c r="DDO28" s="191"/>
      <c r="DDP28" s="191"/>
      <c r="DDR28" s="191"/>
      <c r="DDS28" s="191"/>
      <c r="DDT28" s="191"/>
      <c r="DDV28" s="191"/>
      <c r="DDW28" s="191"/>
      <c r="DDX28" s="191"/>
      <c r="DDZ28" s="191"/>
      <c r="DEA28" s="191"/>
      <c r="DEB28" s="191"/>
      <c r="DED28" s="191"/>
      <c r="DEE28" s="191"/>
      <c r="DEF28" s="191"/>
      <c r="DEH28" s="191"/>
      <c r="DEI28" s="191"/>
      <c r="DEJ28" s="191"/>
      <c r="DEL28" s="191"/>
      <c r="DEM28" s="191"/>
      <c r="DEN28" s="191"/>
      <c r="DEP28" s="191"/>
      <c r="DEQ28" s="191"/>
      <c r="DER28" s="191"/>
      <c r="DET28" s="191"/>
      <c r="DEU28" s="191"/>
      <c r="DEV28" s="191"/>
      <c r="DEX28" s="191"/>
      <c r="DEY28" s="191"/>
      <c r="DEZ28" s="191"/>
      <c r="DFB28" s="191"/>
      <c r="DFC28" s="191"/>
      <c r="DFD28" s="191"/>
      <c r="DFF28" s="191"/>
      <c r="DFG28" s="191"/>
      <c r="DFH28" s="191"/>
      <c r="DFJ28" s="191"/>
      <c r="DFK28" s="191"/>
      <c r="DFL28" s="191"/>
      <c r="DFN28" s="191"/>
      <c r="DFO28" s="191"/>
      <c r="DFP28" s="191"/>
      <c r="DFR28" s="191"/>
      <c r="DFS28" s="191"/>
      <c r="DFT28" s="191"/>
      <c r="DFV28" s="191"/>
      <c r="DFW28" s="191"/>
      <c r="DFX28" s="191"/>
      <c r="DFZ28" s="191"/>
      <c r="DGA28" s="191"/>
      <c r="DGB28" s="191"/>
      <c r="DGD28" s="191"/>
      <c r="DGE28" s="191"/>
      <c r="DGF28" s="191"/>
      <c r="DGH28" s="191"/>
      <c r="DGI28" s="191"/>
      <c r="DGJ28" s="191"/>
      <c r="DGL28" s="191"/>
      <c r="DGM28" s="191"/>
      <c r="DGN28" s="191"/>
      <c r="DGP28" s="191"/>
      <c r="DGQ28" s="191"/>
      <c r="DGR28" s="191"/>
      <c r="DGT28" s="191"/>
      <c r="DGU28" s="191"/>
      <c r="DGV28" s="191"/>
      <c r="DGX28" s="191"/>
      <c r="DGY28" s="191"/>
      <c r="DGZ28" s="191"/>
      <c r="DHB28" s="191"/>
      <c r="DHC28" s="191"/>
      <c r="DHD28" s="191"/>
      <c r="DHF28" s="191"/>
      <c r="DHG28" s="191"/>
      <c r="DHH28" s="191"/>
      <c r="DHJ28" s="191"/>
      <c r="DHK28" s="191"/>
      <c r="DHL28" s="191"/>
      <c r="DHN28" s="191"/>
      <c r="DHO28" s="191"/>
      <c r="DHP28" s="191"/>
      <c r="DHR28" s="191"/>
      <c r="DHS28" s="191"/>
      <c r="DHT28" s="191"/>
      <c r="DHV28" s="191"/>
      <c r="DHW28" s="191"/>
      <c r="DHX28" s="191"/>
      <c r="DHZ28" s="191"/>
      <c r="DIA28" s="191"/>
      <c r="DIB28" s="191"/>
      <c r="DID28" s="191"/>
      <c r="DIE28" s="191"/>
      <c r="DIF28" s="191"/>
      <c r="DIH28" s="191"/>
      <c r="DII28" s="191"/>
      <c r="DIJ28" s="191"/>
      <c r="DIL28" s="191"/>
      <c r="DIM28" s="191"/>
      <c r="DIN28" s="191"/>
      <c r="DIP28" s="191"/>
      <c r="DIQ28" s="191"/>
      <c r="DIR28" s="191"/>
      <c r="DIT28" s="191"/>
      <c r="DIU28" s="191"/>
      <c r="DIV28" s="191"/>
      <c r="DIX28" s="191"/>
      <c r="DIY28" s="191"/>
      <c r="DIZ28" s="191"/>
      <c r="DJB28" s="191"/>
      <c r="DJC28" s="191"/>
      <c r="DJD28" s="191"/>
      <c r="DJF28" s="191"/>
      <c r="DJG28" s="191"/>
      <c r="DJH28" s="191"/>
      <c r="DJJ28" s="191"/>
      <c r="DJK28" s="191"/>
      <c r="DJL28" s="191"/>
      <c r="DJN28" s="191"/>
      <c r="DJO28" s="191"/>
      <c r="DJP28" s="191"/>
      <c r="DJR28" s="191"/>
      <c r="DJS28" s="191"/>
      <c r="DJT28" s="191"/>
      <c r="DJV28" s="191"/>
      <c r="DJW28" s="191"/>
      <c r="DJX28" s="191"/>
      <c r="DJZ28" s="191"/>
      <c r="DKA28" s="191"/>
      <c r="DKB28" s="191"/>
      <c r="DKD28" s="191"/>
      <c r="DKE28" s="191"/>
      <c r="DKF28" s="191"/>
      <c r="DKH28" s="191"/>
      <c r="DKI28" s="191"/>
      <c r="DKJ28" s="191"/>
      <c r="DKL28" s="191"/>
      <c r="DKM28" s="191"/>
      <c r="DKN28" s="191"/>
      <c r="DKP28" s="191"/>
      <c r="DKQ28" s="191"/>
      <c r="DKR28" s="191"/>
      <c r="DKT28" s="191"/>
      <c r="DKU28" s="191"/>
      <c r="DKV28" s="191"/>
      <c r="DKX28" s="191"/>
      <c r="DKY28" s="191"/>
      <c r="DKZ28" s="191"/>
      <c r="DLB28" s="191"/>
      <c r="DLC28" s="191"/>
      <c r="DLD28" s="191"/>
      <c r="DLF28" s="191"/>
      <c r="DLG28" s="191"/>
      <c r="DLH28" s="191"/>
      <c r="DLJ28" s="191"/>
      <c r="DLK28" s="191"/>
      <c r="DLL28" s="191"/>
      <c r="DLN28" s="191"/>
      <c r="DLO28" s="191"/>
      <c r="DLP28" s="191"/>
      <c r="DLR28" s="191"/>
      <c r="DLS28" s="191"/>
      <c r="DLT28" s="191"/>
      <c r="DLV28" s="191"/>
      <c r="DLW28" s="191"/>
      <c r="DLX28" s="191"/>
      <c r="DLZ28" s="191"/>
      <c r="DMA28" s="191"/>
      <c r="DMB28" s="191"/>
      <c r="DMD28" s="191"/>
      <c r="DME28" s="191"/>
      <c r="DMF28" s="191"/>
      <c r="DMH28" s="191"/>
      <c r="DMI28" s="191"/>
      <c r="DMJ28" s="191"/>
      <c r="DML28" s="191"/>
      <c r="DMM28" s="191"/>
      <c r="DMN28" s="191"/>
      <c r="DMP28" s="191"/>
      <c r="DMQ28" s="191"/>
      <c r="DMR28" s="191"/>
      <c r="DMT28" s="191"/>
      <c r="DMU28" s="191"/>
      <c r="DMV28" s="191"/>
      <c r="DMX28" s="191"/>
      <c r="DMY28" s="191"/>
      <c r="DMZ28" s="191"/>
      <c r="DNB28" s="191"/>
      <c r="DNC28" s="191"/>
      <c r="DND28" s="191"/>
      <c r="DNF28" s="191"/>
      <c r="DNG28" s="191"/>
      <c r="DNH28" s="191"/>
      <c r="DNJ28" s="191"/>
      <c r="DNK28" s="191"/>
      <c r="DNL28" s="191"/>
      <c r="DNN28" s="191"/>
      <c r="DNO28" s="191"/>
      <c r="DNP28" s="191"/>
      <c r="DNR28" s="191"/>
      <c r="DNS28" s="191"/>
      <c r="DNT28" s="191"/>
      <c r="DNV28" s="191"/>
      <c r="DNW28" s="191"/>
      <c r="DNX28" s="191"/>
      <c r="DNZ28" s="191"/>
      <c r="DOA28" s="191"/>
      <c r="DOB28" s="191"/>
      <c r="DOD28" s="191"/>
      <c r="DOE28" s="191"/>
      <c r="DOF28" s="191"/>
      <c r="DOH28" s="191"/>
      <c r="DOI28" s="191"/>
      <c r="DOJ28" s="191"/>
      <c r="DOL28" s="191"/>
      <c r="DOM28" s="191"/>
      <c r="DON28" s="191"/>
      <c r="DOP28" s="191"/>
      <c r="DOQ28" s="191"/>
      <c r="DOR28" s="191"/>
      <c r="DOT28" s="191"/>
      <c r="DOU28" s="191"/>
      <c r="DOV28" s="191"/>
      <c r="DOX28" s="191"/>
      <c r="DOY28" s="191"/>
      <c r="DOZ28" s="191"/>
      <c r="DPB28" s="191"/>
      <c r="DPC28" s="191"/>
      <c r="DPD28" s="191"/>
      <c r="DPF28" s="191"/>
      <c r="DPG28" s="191"/>
      <c r="DPH28" s="191"/>
      <c r="DPJ28" s="191"/>
      <c r="DPK28" s="191"/>
      <c r="DPL28" s="191"/>
      <c r="DPN28" s="191"/>
      <c r="DPO28" s="191"/>
      <c r="DPP28" s="191"/>
      <c r="DPR28" s="191"/>
      <c r="DPS28" s="191"/>
      <c r="DPT28" s="191"/>
      <c r="DPV28" s="191"/>
      <c r="DPW28" s="191"/>
      <c r="DPX28" s="191"/>
      <c r="DPZ28" s="191"/>
      <c r="DQA28" s="191"/>
      <c r="DQB28" s="191"/>
      <c r="DQD28" s="191"/>
      <c r="DQE28" s="191"/>
      <c r="DQF28" s="191"/>
      <c r="DQH28" s="191"/>
      <c r="DQI28" s="191"/>
      <c r="DQJ28" s="191"/>
      <c r="DQL28" s="191"/>
      <c r="DQM28" s="191"/>
      <c r="DQN28" s="191"/>
      <c r="DQP28" s="191"/>
      <c r="DQQ28" s="191"/>
      <c r="DQR28" s="191"/>
      <c r="DQT28" s="191"/>
      <c r="DQU28" s="191"/>
      <c r="DQV28" s="191"/>
      <c r="DQX28" s="191"/>
      <c r="DQY28" s="191"/>
      <c r="DQZ28" s="191"/>
      <c r="DRB28" s="191"/>
      <c r="DRC28" s="191"/>
      <c r="DRD28" s="191"/>
      <c r="DRF28" s="191"/>
      <c r="DRG28" s="191"/>
      <c r="DRH28" s="191"/>
      <c r="DRJ28" s="191"/>
      <c r="DRK28" s="191"/>
      <c r="DRL28" s="191"/>
      <c r="DRN28" s="191"/>
      <c r="DRO28" s="191"/>
      <c r="DRP28" s="191"/>
      <c r="DRR28" s="191"/>
      <c r="DRS28" s="191"/>
      <c r="DRT28" s="191"/>
      <c r="DRV28" s="191"/>
      <c r="DRW28" s="191"/>
      <c r="DRX28" s="191"/>
      <c r="DRZ28" s="191"/>
      <c r="DSA28" s="191"/>
      <c r="DSB28" s="191"/>
      <c r="DSD28" s="191"/>
      <c r="DSE28" s="191"/>
      <c r="DSF28" s="191"/>
      <c r="DSH28" s="191"/>
      <c r="DSI28" s="191"/>
      <c r="DSJ28" s="191"/>
      <c r="DSL28" s="191"/>
      <c r="DSM28" s="191"/>
      <c r="DSN28" s="191"/>
      <c r="DSP28" s="191"/>
      <c r="DSQ28" s="191"/>
      <c r="DSR28" s="191"/>
      <c r="DST28" s="191"/>
      <c r="DSU28" s="191"/>
      <c r="DSV28" s="191"/>
      <c r="DSX28" s="191"/>
      <c r="DSY28" s="191"/>
      <c r="DSZ28" s="191"/>
      <c r="DTB28" s="191"/>
      <c r="DTC28" s="191"/>
      <c r="DTD28" s="191"/>
      <c r="DTF28" s="191"/>
      <c r="DTG28" s="191"/>
      <c r="DTH28" s="191"/>
      <c r="DTJ28" s="191"/>
      <c r="DTK28" s="191"/>
      <c r="DTL28" s="191"/>
      <c r="DTN28" s="191"/>
      <c r="DTO28" s="191"/>
      <c r="DTP28" s="191"/>
      <c r="DTR28" s="191"/>
      <c r="DTS28" s="191"/>
      <c r="DTT28" s="191"/>
      <c r="DTV28" s="191"/>
      <c r="DTW28" s="191"/>
      <c r="DTX28" s="191"/>
      <c r="DTZ28" s="191"/>
      <c r="DUA28" s="191"/>
      <c r="DUB28" s="191"/>
      <c r="DUD28" s="191"/>
      <c r="DUE28" s="191"/>
      <c r="DUF28" s="191"/>
      <c r="DUH28" s="191"/>
      <c r="DUI28" s="191"/>
      <c r="DUJ28" s="191"/>
      <c r="DUL28" s="191"/>
      <c r="DUM28" s="191"/>
      <c r="DUN28" s="191"/>
      <c r="DUP28" s="191"/>
      <c r="DUQ28" s="191"/>
      <c r="DUR28" s="191"/>
      <c r="DUT28" s="191"/>
      <c r="DUU28" s="191"/>
      <c r="DUV28" s="191"/>
      <c r="DUX28" s="191"/>
      <c r="DUY28" s="191"/>
      <c r="DUZ28" s="191"/>
      <c r="DVB28" s="191"/>
      <c r="DVC28" s="191"/>
      <c r="DVD28" s="191"/>
      <c r="DVF28" s="191"/>
      <c r="DVG28" s="191"/>
      <c r="DVH28" s="191"/>
      <c r="DVJ28" s="191"/>
      <c r="DVK28" s="191"/>
      <c r="DVL28" s="191"/>
      <c r="DVN28" s="191"/>
      <c r="DVO28" s="191"/>
      <c r="DVP28" s="191"/>
      <c r="DVR28" s="191"/>
      <c r="DVS28" s="191"/>
      <c r="DVT28" s="191"/>
      <c r="DVV28" s="191"/>
      <c r="DVW28" s="191"/>
      <c r="DVX28" s="191"/>
      <c r="DVZ28" s="191"/>
      <c r="DWA28" s="191"/>
      <c r="DWB28" s="191"/>
      <c r="DWD28" s="191"/>
      <c r="DWE28" s="191"/>
      <c r="DWF28" s="191"/>
      <c r="DWH28" s="191"/>
      <c r="DWI28" s="191"/>
      <c r="DWJ28" s="191"/>
      <c r="DWL28" s="191"/>
      <c r="DWM28" s="191"/>
      <c r="DWN28" s="191"/>
      <c r="DWP28" s="191"/>
      <c r="DWQ28" s="191"/>
      <c r="DWR28" s="191"/>
      <c r="DWT28" s="191"/>
      <c r="DWU28" s="191"/>
      <c r="DWV28" s="191"/>
      <c r="DWX28" s="191"/>
      <c r="DWY28" s="191"/>
      <c r="DWZ28" s="191"/>
      <c r="DXB28" s="191"/>
      <c r="DXC28" s="191"/>
      <c r="DXD28" s="191"/>
      <c r="DXF28" s="191"/>
      <c r="DXG28" s="191"/>
      <c r="DXH28" s="191"/>
      <c r="DXJ28" s="191"/>
      <c r="DXK28" s="191"/>
      <c r="DXL28" s="191"/>
      <c r="DXN28" s="191"/>
      <c r="DXO28" s="191"/>
      <c r="DXP28" s="191"/>
      <c r="DXR28" s="191"/>
      <c r="DXS28" s="191"/>
      <c r="DXT28" s="191"/>
      <c r="DXV28" s="191"/>
      <c r="DXW28" s="191"/>
      <c r="DXX28" s="191"/>
      <c r="DXZ28" s="191"/>
      <c r="DYA28" s="191"/>
      <c r="DYB28" s="191"/>
      <c r="DYD28" s="191"/>
      <c r="DYE28" s="191"/>
      <c r="DYF28" s="191"/>
      <c r="DYH28" s="191"/>
      <c r="DYI28" s="191"/>
      <c r="DYJ28" s="191"/>
      <c r="DYL28" s="191"/>
      <c r="DYM28" s="191"/>
      <c r="DYN28" s="191"/>
      <c r="DYP28" s="191"/>
      <c r="DYQ28" s="191"/>
      <c r="DYR28" s="191"/>
      <c r="DYT28" s="191"/>
      <c r="DYU28" s="191"/>
      <c r="DYV28" s="191"/>
      <c r="DYX28" s="191"/>
      <c r="DYY28" s="191"/>
      <c r="DYZ28" s="191"/>
      <c r="DZB28" s="191"/>
      <c r="DZC28" s="191"/>
      <c r="DZD28" s="191"/>
      <c r="DZF28" s="191"/>
      <c r="DZG28" s="191"/>
      <c r="DZH28" s="191"/>
      <c r="DZJ28" s="191"/>
      <c r="DZK28" s="191"/>
      <c r="DZL28" s="191"/>
      <c r="DZN28" s="191"/>
      <c r="DZO28" s="191"/>
      <c r="DZP28" s="191"/>
      <c r="DZR28" s="191"/>
      <c r="DZS28" s="191"/>
      <c r="DZT28" s="191"/>
      <c r="DZV28" s="191"/>
      <c r="DZW28" s="191"/>
      <c r="DZX28" s="191"/>
      <c r="DZZ28" s="191"/>
      <c r="EAA28" s="191"/>
      <c r="EAB28" s="191"/>
      <c r="EAD28" s="191"/>
      <c r="EAE28" s="191"/>
      <c r="EAF28" s="191"/>
      <c r="EAH28" s="191"/>
      <c r="EAI28" s="191"/>
      <c r="EAJ28" s="191"/>
      <c r="EAL28" s="191"/>
      <c r="EAM28" s="191"/>
      <c r="EAN28" s="191"/>
      <c r="EAP28" s="191"/>
      <c r="EAQ28" s="191"/>
      <c r="EAR28" s="191"/>
      <c r="EAT28" s="191"/>
      <c r="EAU28" s="191"/>
      <c r="EAV28" s="191"/>
      <c r="EAX28" s="191"/>
      <c r="EAY28" s="191"/>
      <c r="EAZ28" s="191"/>
      <c r="EBB28" s="191"/>
      <c r="EBC28" s="191"/>
      <c r="EBD28" s="191"/>
      <c r="EBF28" s="191"/>
      <c r="EBG28" s="191"/>
      <c r="EBH28" s="191"/>
      <c r="EBJ28" s="191"/>
      <c r="EBK28" s="191"/>
      <c r="EBL28" s="191"/>
      <c r="EBN28" s="191"/>
      <c r="EBO28" s="191"/>
      <c r="EBP28" s="191"/>
      <c r="EBR28" s="191"/>
      <c r="EBS28" s="191"/>
      <c r="EBT28" s="191"/>
      <c r="EBV28" s="191"/>
      <c r="EBW28" s="191"/>
      <c r="EBX28" s="191"/>
      <c r="EBZ28" s="191"/>
      <c r="ECA28" s="191"/>
      <c r="ECB28" s="191"/>
      <c r="ECD28" s="191"/>
      <c r="ECE28" s="191"/>
      <c r="ECF28" s="191"/>
      <c r="ECH28" s="191"/>
      <c r="ECI28" s="191"/>
      <c r="ECJ28" s="191"/>
      <c r="ECL28" s="191"/>
      <c r="ECM28" s="191"/>
      <c r="ECN28" s="191"/>
      <c r="ECP28" s="191"/>
      <c r="ECQ28" s="191"/>
      <c r="ECR28" s="191"/>
      <c r="ECT28" s="191"/>
      <c r="ECU28" s="191"/>
      <c r="ECV28" s="191"/>
      <c r="ECX28" s="191"/>
      <c r="ECY28" s="191"/>
      <c r="ECZ28" s="191"/>
      <c r="EDB28" s="191"/>
      <c r="EDC28" s="191"/>
      <c r="EDD28" s="191"/>
      <c r="EDF28" s="191"/>
      <c r="EDG28" s="191"/>
      <c r="EDH28" s="191"/>
      <c r="EDJ28" s="191"/>
      <c r="EDK28" s="191"/>
      <c r="EDL28" s="191"/>
      <c r="EDN28" s="191"/>
      <c r="EDO28" s="191"/>
      <c r="EDP28" s="191"/>
      <c r="EDR28" s="191"/>
      <c r="EDS28" s="191"/>
      <c r="EDT28" s="191"/>
      <c r="EDV28" s="191"/>
      <c r="EDW28" s="191"/>
      <c r="EDX28" s="191"/>
      <c r="EDZ28" s="191"/>
      <c r="EEA28" s="191"/>
      <c r="EEB28" s="191"/>
      <c r="EED28" s="191"/>
      <c r="EEE28" s="191"/>
      <c r="EEF28" s="191"/>
      <c r="EEH28" s="191"/>
      <c r="EEI28" s="191"/>
      <c r="EEJ28" s="191"/>
      <c r="EEL28" s="191"/>
      <c r="EEM28" s="191"/>
      <c r="EEN28" s="191"/>
      <c r="EEP28" s="191"/>
      <c r="EEQ28" s="191"/>
      <c r="EER28" s="191"/>
      <c r="EET28" s="191"/>
      <c r="EEU28" s="191"/>
      <c r="EEV28" s="191"/>
      <c r="EEX28" s="191"/>
      <c r="EEY28" s="191"/>
      <c r="EEZ28" s="191"/>
      <c r="EFB28" s="191"/>
      <c r="EFC28" s="191"/>
      <c r="EFD28" s="191"/>
      <c r="EFF28" s="191"/>
      <c r="EFG28" s="191"/>
      <c r="EFH28" s="191"/>
      <c r="EFJ28" s="191"/>
      <c r="EFK28" s="191"/>
      <c r="EFL28" s="191"/>
      <c r="EFN28" s="191"/>
      <c r="EFO28" s="191"/>
      <c r="EFP28" s="191"/>
      <c r="EFR28" s="191"/>
      <c r="EFS28" s="191"/>
      <c r="EFT28" s="191"/>
      <c r="EFV28" s="191"/>
      <c r="EFW28" s="191"/>
      <c r="EFX28" s="191"/>
      <c r="EFZ28" s="191"/>
      <c r="EGA28" s="191"/>
      <c r="EGB28" s="191"/>
      <c r="EGD28" s="191"/>
      <c r="EGE28" s="191"/>
      <c r="EGF28" s="191"/>
      <c r="EGH28" s="191"/>
      <c r="EGI28" s="191"/>
      <c r="EGJ28" s="191"/>
      <c r="EGL28" s="191"/>
      <c r="EGM28" s="191"/>
      <c r="EGN28" s="191"/>
      <c r="EGP28" s="191"/>
      <c r="EGQ28" s="191"/>
      <c r="EGR28" s="191"/>
      <c r="EGT28" s="191"/>
      <c r="EGU28" s="191"/>
      <c r="EGV28" s="191"/>
      <c r="EGX28" s="191"/>
      <c r="EGY28" s="191"/>
      <c r="EGZ28" s="191"/>
      <c r="EHB28" s="191"/>
      <c r="EHC28" s="191"/>
      <c r="EHD28" s="191"/>
      <c r="EHF28" s="191"/>
      <c r="EHG28" s="191"/>
      <c r="EHH28" s="191"/>
      <c r="EHJ28" s="191"/>
      <c r="EHK28" s="191"/>
      <c r="EHL28" s="191"/>
      <c r="EHN28" s="191"/>
      <c r="EHO28" s="191"/>
      <c r="EHP28" s="191"/>
      <c r="EHR28" s="191"/>
      <c r="EHS28" s="191"/>
      <c r="EHT28" s="191"/>
      <c r="EHV28" s="191"/>
      <c r="EHW28" s="191"/>
      <c r="EHX28" s="191"/>
      <c r="EHZ28" s="191"/>
      <c r="EIA28" s="191"/>
      <c r="EIB28" s="191"/>
      <c r="EID28" s="191"/>
      <c r="EIE28" s="191"/>
      <c r="EIF28" s="191"/>
      <c r="EIH28" s="191"/>
      <c r="EII28" s="191"/>
      <c r="EIJ28" s="191"/>
      <c r="EIL28" s="191"/>
      <c r="EIM28" s="191"/>
      <c r="EIN28" s="191"/>
      <c r="EIP28" s="191"/>
      <c r="EIQ28" s="191"/>
      <c r="EIR28" s="191"/>
      <c r="EIT28" s="191"/>
      <c r="EIU28" s="191"/>
      <c r="EIV28" s="191"/>
      <c r="EIX28" s="191"/>
      <c r="EIY28" s="191"/>
      <c r="EIZ28" s="191"/>
      <c r="EJB28" s="191"/>
      <c r="EJC28" s="191"/>
      <c r="EJD28" s="191"/>
      <c r="EJF28" s="191"/>
      <c r="EJG28" s="191"/>
      <c r="EJH28" s="191"/>
      <c r="EJJ28" s="191"/>
      <c r="EJK28" s="191"/>
      <c r="EJL28" s="191"/>
      <c r="EJN28" s="191"/>
      <c r="EJO28" s="191"/>
      <c r="EJP28" s="191"/>
      <c r="EJR28" s="191"/>
      <c r="EJS28" s="191"/>
      <c r="EJT28" s="191"/>
      <c r="EJV28" s="191"/>
      <c r="EJW28" s="191"/>
      <c r="EJX28" s="191"/>
      <c r="EJZ28" s="191"/>
      <c r="EKA28" s="191"/>
      <c r="EKB28" s="191"/>
      <c r="EKD28" s="191"/>
      <c r="EKE28" s="191"/>
      <c r="EKF28" s="191"/>
      <c r="EKH28" s="191"/>
      <c r="EKI28" s="191"/>
      <c r="EKJ28" s="191"/>
      <c r="EKL28" s="191"/>
      <c r="EKM28" s="191"/>
      <c r="EKN28" s="191"/>
      <c r="EKP28" s="191"/>
      <c r="EKQ28" s="191"/>
      <c r="EKR28" s="191"/>
      <c r="EKT28" s="191"/>
      <c r="EKU28" s="191"/>
      <c r="EKV28" s="191"/>
      <c r="EKX28" s="191"/>
      <c r="EKY28" s="191"/>
      <c r="EKZ28" s="191"/>
      <c r="ELB28" s="191"/>
      <c r="ELC28" s="191"/>
      <c r="ELD28" s="191"/>
      <c r="ELF28" s="191"/>
      <c r="ELG28" s="191"/>
      <c r="ELH28" s="191"/>
      <c r="ELJ28" s="191"/>
      <c r="ELK28" s="191"/>
      <c r="ELL28" s="191"/>
      <c r="ELN28" s="191"/>
      <c r="ELO28" s="191"/>
      <c r="ELP28" s="191"/>
      <c r="ELR28" s="191"/>
      <c r="ELS28" s="191"/>
      <c r="ELT28" s="191"/>
      <c r="ELV28" s="191"/>
      <c r="ELW28" s="191"/>
      <c r="ELX28" s="191"/>
      <c r="ELZ28" s="191"/>
      <c r="EMA28" s="191"/>
      <c r="EMB28" s="191"/>
      <c r="EMD28" s="191"/>
      <c r="EME28" s="191"/>
      <c r="EMF28" s="191"/>
      <c r="EMH28" s="191"/>
      <c r="EMI28" s="191"/>
      <c r="EMJ28" s="191"/>
      <c r="EML28" s="191"/>
      <c r="EMM28" s="191"/>
      <c r="EMN28" s="191"/>
      <c r="EMP28" s="191"/>
      <c r="EMQ28" s="191"/>
      <c r="EMR28" s="191"/>
      <c r="EMT28" s="191"/>
      <c r="EMU28" s="191"/>
      <c r="EMV28" s="191"/>
      <c r="EMX28" s="191"/>
      <c r="EMY28" s="191"/>
      <c r="EMZ28" s="191"/>
      <c r="ENB28" s="191"/>
      <c r="ENC28" s="191"/>
      <c r="END28" s="191"/>
      <c r="ENF28" s="191"/>
      <c r="ENG28" s="191"/>
      <c r="ENH28" s="191"/>
      <c r="ENJ28" s="191"/>
      <c r="ENK28" s="191"/>
      <c r="ENL28" s="191"/>
      <c r="ENN28" s="191"/>
      <c r="ENO28" s="191"/>
      <c r="ENP28" s="191"/>
      <c r="ENR28" s="191"/>
      <c r="ENS28" s="191"/>
      <c r="ENT28" s="191"/>
      <c r="ENV28" s="191"/>
      <c r="ENW28" s="191"/>
      <c r="ENX28" s="191"/>
      <c r="ENZ28" s="191"/>
      <c r="EOA28" s="191"/>
      <c r="EOB28" s="191"/>
      <c r="EOD28" s="191"/>
      <c r="EOE28" s="191"/>
      <c r="EOF28" s="191"/>
      <c r="EOH28" s="191"/>
      <c r="EOI28" s="191"/>
      <c r="EOJ28" s="191"/>
      <c r="EOL28" s="191"/>
      <c r="EOM28" s="191"/>
      <c r="EON28" s="191"/>
      <c r="EOP28" s="191"/>
      <c r="EOQ28" s="191"/>
      <c r="EOR28" s="191"/>
      <c r="EOT28" s="191"/>
      <c r="EOU28" s="191"/>
      <c r="EOV28" s="191"/>
      <c r="EOX28" s="191"/>
      <c r="EOY28" s="191"/>
      <c r="EOZ28" s="191"/>
      <c r="EPB28" s="191"/>
      <c r="EPC28" s="191"/>
      <c r="EPD28" s="191"/>
      <c r="EPF28" s="191"/>
      <c r="EPG28" s="191"/>
      <c r="EPH28" s="191"/>
      <c r="EPJ28" s="191"/>
      <c r="EPK28" s="191"/>
      <c r="EPL28" s="191"/>
      <c r="EPN28" s="191"/>
      <c r="EPO28" s="191"/>
      <c r="EPP28" s="191"/>
      <c r="EPR28" s="191"/>
      <c r="EPS28" s="191"/>
      <c r="EPT28" s="191"/>
      <c r="EPV28" s="191"/>
      <c r="EPW28" s="191"/>
      <c r="EPX28" s="191"/>
      <c r="EPZ28" s="191"/>
      <c r="EQA28" s="191"/>
      <c r="EQB28" s="191"/>
      <c r="EQD28" s="191"/>
      <c r="EQE28" s="191"/>
      <c r="EQF28" s="191"/>
      <c r="EQH28" s="191"/>
      <c r="EQI28" s="191"/>
      <c r="EQJ28" s="191"/>
      <c r="EQL28" s="191"/>
      <c r="EQM28" s="191"/>
      <c r="EQN28" s="191"/>
      <c r="EQP28" s="191"/>
      <c r="EQQ28" s="191"/>
      <c r="EQR28" s="191"/>
      <c r="EQT28" s="191"/>
      <c r="EQU28" s="191"/>
      <c r="EQV28" s="191"/>
      <c r="EQX28" s="191"/>
      <c r="EQY28" s="191"/>
      <c r="EQZ28" s="191"/>
      <c r="ERB28" s="191"/>
      <c r="ERC28" s="191"/>
      <c r="ERD28" s="191"/>
      <c r="ERF28" s="191"/>
      <c r="ERG28" s="191"/>
      <c r="ERH28" s="191"/>
      <c r="ERJ28" s="191"/>
      <c r="ERK28" s="191"/>
      <c r="ERL28" s="191"/>
      <c r="ERN28" s="191"/>
      <c r="ERO28" s="191"/>
      <c r="ERP28" s="191"/>
      <c r="ERR28" s="191"/>
      <c r="ERS28" s="191"/>
      <c r="ERT28" s="191"/>
      <c r="ERV28" s="191"/>
      <c r="ERW28" s="191"/>
      <c r="ERX28" s="191"/>
      <c r="ERZ28" s="191"/>
      <c r="ESA28" s="191"/>
      <c r="ESB28" s="191"/>
      <c r="ESD28" s="191"/>
      <c r="ESE28" s="191"/>
      <c r="ESF28" s="191"/>
      <c r="ESH28" s="191"/>
      <c r="ESI28" s="191"/>
      <c r="ESJ28" s="191"/>
      <c r="ESL28" s="191"/>
      <c r="ESM28" s="191"/>
      <c r="ESN28" s="191"/>
      <c r="ESP28" s="191"/>
      <c r="ESQ28" s="191"/>
      <c r="ESR28" s="191"/>
      <c r="EST28" s="191"/>
      <c r="ESU28" s="191"/>
      <c r="ESV28" s="191"/>
      <c r="ESX28" s="191"/>
      <c r="ESY28" s="191"/>
      <c r="ESZ28" s="191"/>
      <c r="ETB28" s="191"/>
      <c r="ETC28" s="191"/>
      <c r="ETD28" s="191"/>
      <c r="ETF28" s="191"/>
      <c r="ETG28" s="191"/>
      <c r="ETH28" s="191"/>
      <c r="ETJ28" s="191"/>
      <c r="ETK28" s="191"/>
      <c r="ETL28" s="191"/>
      <c r="ETN28" s="191"/>
      <c r="ETO28" s="191"/>
      <c r="ETP28" s="191"/>
      <c r="ETR28" s="191"/>
      <c r="ETS28" s="191"/>
      <c r="ETT28" s="191"/>
      <c r="ETV28" s="191"/>
      <c r="ETW28" s="191"/>
      <c r="ETX28" s="191"/>
      <c r="ETZ28" s="191"/>
      <c r="EUA28" s="191"/>
      <c r="EUB28" s="191"/>
      <c r="EUD28" s="191"/>
      <c r="EUE28" s="191"/>
      <c r="EUF28" s="191"/>
      <c r="EUH28" s="191"/>
      <c r="EUI28" s="191"/>
      <c r="EUJ28" s="191"/>
      <c r="EUL28" s="191"/>
      <c r="EUM28" s="191"/>
      <c r="EUN28" s="191"/>
      <c r="EUP28" s="191"/>
      <c r="EUQ28" s="191"/>
      <c r="EUR28" s="191"/>
      <c r="EUT28" s="191"/>
      <c r="EUU28" s="191"/>
      <c r="EUV28" s="191"/>
      <c r="EUX28" s="191"/>
      <c r="EUY28" s="191"/>
      <c r="EUZ28" s="191"/>
      <c r="EVB28" s="191"/>
      <c r="EVC28" s="191"/>
      <c r="EVD28" s="191"/>
      <c r="EVF28" s="191"/>
      <c r="EVG28" s="191"/>
      <c r="EVH28" s="191"/>
      <c r="EVJ28" s="191"/>
      <c r="EVK28" s="191"/>
      <c r="EVL28" s="191"/>
      <c r="EVN28" s="191"/>
      <c r="EVO28" s="191"/>
      <c r="EVP28" s="191"/>
      <c r="EVR28" s="191"/>
      <c r="EVS28" s="191"/>
      <c r="EVT28" s="191"/>
      <c r="EVV28" s="191"/>
      <c r="EVW28" s="191"/>
      <c r="EVX28" s="191"/>
      <c r="EVZ28" s="191"/>
      <c r="EWA28" s="191"/>
      <c r="EWB28" s="191"/>
      <c r="EWD28" s="191"/>
      <c r="EWE28" s="191"/>
      <c r="EWF28" s="191"/>
      <c r="EWH28" s="191"/>
      <c r="EWI28" s="191"/>
      <c r="EWJ28" s="191"/>
      <c r="EWL28" s="191"/>
      <c r="EWM28" s="191"/>
      <c r="EWN28" s="191"/>
      <c r="EWP28" s="191"/>
      <c r="EWQ28" s="191"/>
      <c r="EWR28" s="191"/>
      <c r="EWT28" s="191"/>
      <c r="EWU28" s="191"/>
      <c r="EWV28" s="191"/>
      <c r="EWX28" s="191"/>
      <c r="EWY28" s="191"/>
      <c r="EWZ28" s="191"/>
      <c r="EXB28" s="191"/>
      <c r="EXC28" s="191"/>
      <c r="EXD28" s="191"/>
      <c r="EXF28" s="191"/>
      <c r="EXG28" s="191"/>
      <c r="EXH28" s="191"/>
      <c r="EXJ28" s="191"/>
      <c r="EXK28" s="191"/>
      <c r="EXL28" s="191"/>
      <c r="EXN28" s="191"/>
      <c r="EXO28" s="191"/>
      <c r="EXP28" s="191"/>
      <c r="EXR28" s="191"/>
      <c r="EXS28" s="191"/>
      <c r="EXT28" s="191"/>
      <c r="EXV28" s="191"/>
      <c r="EXW28" s="191"/>
      <c r="EXX28" s="191"/>
      <c r="EXZ28" s="191"/>
      <c r="EYA28" s="191"/>
      <c r="EYB28" s="191"/>
      <c r="EYD28" s="191"/>
      <c r="EYE28" s="191"/>
      <c r="EYF28" s="191"/>
      <c r="EYH28" s="191"/>
      <c r="EYI28" s="191"/>
      <c r="EYJ28" s="191"/>
      <c r="EYL28" s="191"/>
      <c r="EYM28" s="191"/>
      <c r="EYN28" s="191"/>
      <c r="EYP28" s="191"/>
      <c r="EYQ28" s="191"/>
      <c r="EYR28" s="191"/>
      <c r="EYT28" s="191"/>
      <c r="EYU28" s="191"/>
      <c r="EYV28" s="191"/>
      <c r="EYX28" s="191"/>
      <c r="EYY28" s="191"/>
      <c r="EYZ28" s="191"/>
      <c r="EZB28" s="191"/>
      <c r="EZC28" s="191"/>
      <c r="EZD28" s="191"/>
      <c r="EZF28" s="191"/>
      <c r="EZG28" s="191"/>
      <c r="EZH28" s="191"/>
      <c r="EZJ28" s="191"/>
      <c r="EZK28" s="191"/>
      <c r="EZL28" s="191"/>
      <c r="EZN28" s="191"/>
      <c r="EZO28" s="191"/>
      <c r="EZP28" s="191"/>
      <c r="EZR28" s="191"/>
      <c r="EZS28" s="191"/>
      <c r="EZT28" s="191"/>
      <c r="EZV28" s="191"/>
      <c r="EZW28" s="191"/>
      <c r="EZX28" s="191"/>
      <c r="EZZ28" s="191"/>
      <c r="FAA28" s="191"/>
      <c r="FAB28" s="191"/>
      <c r="FAD28" s="191"/>
      <c r="FAE28" s="191"/>
      <c r="FAF28" s="191"/>
      <c r="FAH28" s="191"/>
      <c r="FAI28" s="191"/>
      <c r="FAJ28" s="191"/>
      <c r="FAL28" s="191"/>
      <c r="FAM28" s="191"/>
      <c r="FAN28" s="191"/>
      <c r="FAP28" s="191"/>
      <c r="FAQ28" s="191"/>
      <c r="FAR28" s="191"/>
      <c r="FAT28" s="191"/>
      <c r="FAU28" s="191"/>
      <c r="FAV28" s="191"/>
      <c r="FAX28" s="191"/>
      <c r="FAY28" s="191"/>
      <c r="FAZ28" s="191"/>
      <c r="FBB28" s="191"/>
      <c r="FBC28" s="191"/>
      <c r="FBD28" s="191"/>
      <c r="FBF28" s="191"/>
      <c r="FBG28" s="191"/>
      <c r="FBH28" s="191"/>
      <c r="FBJ28" s="191"/>
      <c r="FBK28" s="191"/>
      <c r="FBL28" s="191"/>
      <c r="FBN28" s="191"/>
      <c r="FBO28" s="191"/>
      <c r="FBP28" s="191"/>
      <c r="FBR28" s="191"/>
      <c r="FBS28" s="191"/>
      <c r="FBT28" s="191"/>
      <c r="FBV28" s="191"/>
      <c r="FBW28" s="191"/>
      <c r="FBX28" s="191"/>
      <c r="FBZ28" s="191"/>
      <c r="FCA28" s="191"/>
      <c r="FCB28" s="191"/>
      <c r="FCD28" s="191"/>
      <c r="FCE28" s="191"/>
      <c r="FCF28" s="191"/>
      <c r="FCH28" s="191"/>
      <c r="FCI28" s="191"/>
      <c r="FCJ28" s="191"/>
      <c r="FCL28" s="191"/>
      <c r="FCM28" s="191"/>
      <c r="FCN28" s="191"/>
      <c r="FCP28" s="191"/>
      <c r="FCQ28" s="191"/>
      <c r="FCR28" s="191"/>
      <c r="FCT28" s="191"/>
      <c r="FCU28" s="191"/>
      <c r="FCV28" s="191"/>
      <c r="FCX28" s="191"/>
      <c r="FCY28" s="191"/>
      <c r="FCZ28" s="191"/>
      <c r="FDB28" s="191"/>
      <c r="FDC28" s="191"/>
      <c r="FDD28" s="191"/>
      <c r="FDF28" s="191"/>
      <c r="FDG28" s="191"/>
      <c r="FDH28" s="191"/>
      <c r="FDJ28" s="191"/>
      <c r="FDK28" s="191"/>
      <c r="FDL28" s="191"/>
      <c r="FDN28" s="191"/>
      <c r="FDO28" s="191"/>
      <c r="FDP28" s="191"/>
      <c r="FDR28" s="191"/>
      <c r="FDS28" s="191"/>
      <c r="FDT28" s="191"/>
      <c r="FDV28" s="191"/>
      <c r="FDW28" s="191"/>
      <c r="FDX28" s="191"/>
      <c r="FDZ28" s="191"/>
      <c r="FEA28" s="191"/>
      <c r="FEB28" s="191"/>
      <c r="FED28" s="191"/>
      <c r="FEE28" s="191"/>
      <c r="FEF28" s="191"/>
      <c r="FEH28" s="191"/>
      <c r="FEI28" s="191"/>
      <c r="FEJ28" s="191"/>
      <c r="FEL28" s="191"/>
      <c r="FEM28" s="191"/>
      <c r="FEN28" s="191"/>
      <c r="FEP28" s="191"/>
      <c r="FEQ28" s="191"/>
      <c r="FER28" s="191"/>
      <c r="FET28" s="191"/>
      <c r="FEU28" s="191"/>
      <c r="FEV28" s="191"/>
      <c r="FEX28" s="191"/>
      <c r="FEY28" s="191"/>
      <c r="FEZ28" s="191"/>
      <c r="FFB28" s="191"/>
      <c r="FFC28" s="191"/>
      <c r="FFD28" s="191"/>
      <c r="FFF28" s="191"/>
      <c r="FFG28" s="191"/>
      <c r="FFH28" s="191"/>
      <c r="FFJ28" s="191"/>
      <c r="FFK28" s="191"/>
      <c r="FFL28" s="191"/>
      <c r="FFN28" s="191"/>
      <c r="FFO28" s="191"/>
      <c r="FFP28" s="191"/>
      <c r="FFR28" s="191"/>
      <c r="FFS28" s="191"/>
      <c r="FFT28" s="191"/>
      <c r="FFV28" s="191"/>
      <c r="FFW28" s="191"/>
      <c r="FFX28" s="191"/>
      <c r="FFZ28" s="191"/>
      <c r="FGA28" s="191"/>
      <c r="FGB28" s="191"/>
      <c r="FGD28" s="191"/>
      <c r="FGE28" s="191"/>
      <c r="FGF28" s="191"/>
      <c r="FGH28" s="191"/>
      <c r="FGI28" s="191"/>
      <c r="FGJ28" s="191"/>
      <c r="FGL28" s="191"/>
      <c r="FGM28" s="191"/>
      <c r="FGN28" s="191"/>
      <c r="FGP28" s="191"/>
      <c r="FGQ28" s="191"/>
      <c r="FGR28" s="191"/>
      <c r="FGT28" s="191"/>
      <c r="FGU28" s="191"/>
      <c r="FGV28" s="191"/>
      <c r="FGX28" s="191"/>
      <c r="FGY28" s="191"/>
      <c r="FGZ28" s="191"/>
      <c r="FHB28" s="191"/>
      <c r="FHC28" s="191"/>
      <c r="FHD28" s="191"/>
      <c r="FHF28" s="191"/>
      <c r="FHG28" s="191"/>
      <c r="FHH28" s="191"/>
      <c r="FHJ28" s="191"/>
      <c r="FHK28" s="191"/>
      <c r="FHL28" s="191"/>
      <c r="FHN28" s="191"/>
      <c r="FHO28" s="191"/>
      <c r="FHP28" s="191"/>
      <c r="FHR28" s="191"/>
      <c r="FHS28" s="191"/>
      <c r="FHT28" s="191"/>
      <c r="FHV28" s="191"/>
      <c r="FHW28" s="191"/>
      <c r="FHX28" s="191"/>
      <c r="FHZ28" s="191"/>
      <c r="FIA28" s="191"/>
      <c r="FIB28" s="191"/>
      <c r="FID28" s="191"/>
      <c r="FIE28" s="191"/>
      <c r="FIF28" s="191"/>
      <c r="FIH28" s="191"/>
      <c r="FII28" s="191"/>
      <c r="FIJ28" s="191"/>
      <c r="FIL28" s="191"/>
      <c r="FIM28" s="191"/>
      <c r="FIN28" s="191"/>
      <c r="FIP28" s="191"/>
      <c r="FIQ28" s="191"/>
      <c r="FIR28" s="191"/>
      <c r="FIT28" s="191"/>
      <c r="FIU28" s="191"/>
      <c r="FIV28" s="191"/>
      <c r="FIX28" s="191"/>
      <c r="FIY28" s="191"/>
      <c r="FIZ28" s="191"/>
      <c r="FJB28" s="191"/>
      <c r="FJC28" s="191"/>
      <c r="FJD28" s="191"/>
      <c r="FJF28" s="191"/>
      <c r="FJG28" s="191"/>
      <c r="FJH28" s="191"/>
      <c r="FJJ28" s="191"/>
      <c r="FJK28" s="191"/>
      <c r="FJL28" s="191"/>
      <c r="FJN28" s="191"/>
      <c r="FJO28" s="191"/>
      <c r="FJP28" s="191"/>
      <c r="FJR28" s="191"/>
      <c r="FJS28" s="191"/>
      <c r="FJT28" s="191"/>
      <c r="FJV28" s="191"/>
      <c r="FJW28" s="191"/>
      <c r="FJX28" s="191"/>
      <c r="FJZ28" s="191"/>
      <c r="FKA28" s="191"/>
      <c r="FKB28" s="191"/>
      <c r="FKD28" s="191"/>
      <c r="FKE28" s="191"/>
      <c r="FKF28" s="191"/>
      <c r="FKH28" s="191"/>
      <c r="FKI28" s="191"/>
      <c r="FKJ28" s="191"/>
      <c r="FKL28" s="191"/>
      <c r="FKM28" s="191"/>
      <c r="FKN28" s="191"/>
      <c r="FKP28" s="191"/>
      <c r="FKQ28" s="191"/>
      <c r="FKR28" s="191"/>
      <c r="FKT28" s="191"/>
      <c r="FKU28" s="191"/>
      <c r="FKV28" s="191"/>
      <c r="FKX28" s="191"/>
      <c r="FKY28" s="191"/>
      <c r="FKZ28" s="191"/>
      <c r="FLB28" s="191"/>
      <c r="FLC28" s="191"/>
      <c r="FLD28" s="191"/>
      <c r="FLF28" s="191"/>
      <c r="FLG28" s="191"/>
      <c r="FLH28" s="191"/>
      <c r="FLJ28" s="191"/>
      <c r="FLK28" s="191"/>
      <c r="FLL28" s="191"/>
      <c r="FLN28" s="191"/>
      <c r="FLO28" s="191"/>
      <c r="FLP28" s="191"/>
      <c r="FLR28" s="191"/>
      <c r="FLS28" s="191"/>
      <c r="FLT28" s="191"/>
      <c r="FLV28" s="191"/>
      <c r="FLW28" s="191"/>
      <c r="FLX28" s="191"/>
      <c r="FLZ28" s="191"/>
      <c r="FMA28" s="191"/>
      <c r="FMB28" s="191"/>
      <c r="FMD28" s="191"/>
      <c r="FME28" s="191"/>
      <c r="FMF28" s="191"/>
      <c r="FMH28" s="191"/>
      <c r="FMI28" s="191"/>
      <c r="FMJ28" s="191"/>
      <c r="FML28" s="191"/>
      <c r="FMM28" s="191"/>
      <c r="FMN28" s="191"/>
      <c r="FMP28" s="191"/>
      <c r="FMQ28" s="191"/>
      <c r="FMR28" s="191"/>
      <c r="FMT28" s="191"/>
      <c r="FMU28" s="191"/>
      <c r="FMV28" s="191"/>
      <c r="FMX28" s="191"/>
      <c r="FMY28" s="191"/>
      <c r="FMZ28" s="191"/>
      <c r="FNB28" s="191"/>
      <c r="FNC28" s="191"/>
      <c r="FND28" s="191"/>
      <c r="FNF28" s="191"/>
      <c r="FNG28" s="191"/>
      <c r="FNH28" s="191"/>
      <c r="FNJ28" s="191"/>
      <c r="FNK28" s="191"/>
      <c r="FNL28" s="191"/>
      <c r="FNN28" s="191"/>
      <c r="FNO28" s="191"/>
      <c r="FNP28" s="191"/>
      <c r="FNR28" s="191"/>
      <c r="FNS28" s="191"/>
      <c r="FNT28" s="191"/>
      <c r="FNV28" s="191"/>
      <c r="FNW28" s="191"/>
      <c r="FNX28" s="191"/>
      <c r="FNZ28" s="191"/>
      <c r="FOA28" s="191"/>
      <c r="FOB28" s="191"/>
      <c r="FOD28" s="191"/>
      <c r="FOE28" s="191"/>
      <c r="FOF28" s="191"/>
      <c r="FOH28" s="191"/>
      <c r="FOI28" s="191"/>
      <c r="FOJ28" s="191"/>
      <c r="FOL28" s="191"/>
      <c r="FOM28" s="191"/>
      <c r="FON28" s="191"/>
      <c r="FOP28" s="191"/>
      <c r="FOQ28" s="191"/>
      <c r="FOR28" s="191"/>
      <c r="FOT28" s="191"/>
      <c r="FOU28" s="191"/>
      <c r="FOV28" s="191"/>
      <c r="FOX28" s="191"/>
      <c r="FOY28" s="191"/>
      <c r="FOZ28" s="191"/>
      <c r="FPB28" s="191"/>
      <c r="FPC28" s="191"/>
      <c r="FPD28" s="191"/>
      <c r="FPF28" s="191"/>
      <c r="FPG28" s="191"/>
      <c r="FPH28" s="191"/>
      <c r="FPJ28" s="191"/>
      <c r="FPK28" s="191"/>
      <c r="FPL28" s="191"/>
      <c r="FPN28" s="191"/>
      <c r="FPO28" s="191"/>
      <c r="FPP28" s="191"/>
      <c r="FPR28" s="191"/>
      <c r="FPS28" s="191"/>
      <c r="FPT28" s="191"/>
      <c r="FPV28" s="191"/>
      <c r="FPW28" s="191"/>
      <c r="FPX28" s="191"/>
      <c r="FPZ28" s="191"/>
      <c r="FQA28" s="191"/>
      <c r="FQB28" s="191"/>
      <c r="FQD28" s="191"/>
      <c r="FQE28" s="191"/>
      <c r="FQF28" s="191"/>
      <c r="FQH28" s="191"/>
      <c r="FQI28" s="191"/>
      <c r="FQJ28" s="191"/>
      <c r="FQL28" s="191"/>
      <c r="FQM28" s="191"/>
      <c r="FQN28" s="191"/>
      <c r="FQP28" s="191"/>
      <c r="FQQ28" s="191"/>
      <c r="FQR28" s="191"/>
      <c r="FQT28" s="191"/>
      <c r="FQU28" s="191"/>
      <c r="FQV28" s="191"/>
      <c r="FQX28" s="191"/>
      <c r="FQY28" s="191"/>
      <c r="FQZ28" s="191"/>
      <c r="FRB28" s="191"/>
      <c r="FRC28" s="191"/>
      <c r="FRD28" s="191"/>
      <c r="FRF28" s="191"/>
      <c r="FRG28" s="191"/>
      <c r="FRH28" s="191"/>
      <c r="FRJ28" s="191"/>
      <c r="FRK28" s="191"/>
      <c r="FRL28" s="191"/>
      <c r="FRN28" s="191"/>
      <c r="FRO28" s="191"/>
      <c r="FRP28" s="191"/>
      <c r="FRR28" s="191"/>
      <c r="FRS28" s="191"/>
      <c r="FRT28" s="191"/>
      <c r="FRV28" s="191"/>
      <c r="FRW28" s="191"/>
      <c r="FRX28" s="191"/>
      <c r="FRZ28" s="191"/>
      <c r="FSA28" s="191"/>
      <c r="FSB28" s="191"/>
      <c r="FSD28" s="191"/>
      <c r="FSE28" s="191"/>
      <c r="FSF28" s="191"/>
      <c r="FSH28" s="191"/>
      <c r="FSI28" s="191"/>
      <c r="FSJ28" s="191"/>
      <c r="FSL28" s="191"/>
      <c r="FSM28" s="191"/>
      <c r="FSN28" s="191"/>
      <c r="FSP28" s="191"/>
      <c r="FSQ28" s="191"/>
      <c r="FSR28" s="191"/>
      <c r="FST28" s="191"/>
      <c r="FSU28" s="191"/>
      <c r="FSV28" s="191"/>
      <c r="FSX28" s="191"/>
      <c r="FSY28" s="191"/>
      <c r="FSZ28" s="191"/>
      <c r="FTB28" s="191"/>
      <c r="FTC28" s="191"/>
      <c r="FTD28" s="191"/>
      <c r="FTF28" s="191"/>
      <c r="FTG28" s="191"/>
      <c r="FTH28" s="191"/>
      <c r="FTJ28" s="191"/>
      <c r="FTK28" s="191"/>
      <c r="FTL28" s="191"/>
      <c r="FTN28" s="191"/>
      <c r="FTO28" s="191"/>
      <c r="FTP28" s="191"/>
      <c r="FTR28" s="191"/>
      <c r="FTS28" s="191"/>
      <c r="FTT28" s="191"/>
      <c r="FTV28" s="191"/>
      <c r="FTW28" s="191"/>
      <c r="FTX28" s="191"/>
      <c r="FTZ28" s="191"/>
      <c r="FUA28" s="191"/>
      <c r="FUB28" s="191"/>
      <c r="FUD28" s="191"/>
      <c r="FUE28" s="191"/>
      <c r="FUF28" s="191"/>
      <c r="FUH28" s="191"/>
      <c r="FUI28" s="191"/>
      <c r="FUJ28" s="191"/>
      <c r="FUL28" s="191"/>
      <c r="FUM28" s="191"/>
      <c r="FUN28" s="191"/>
      <c r="FUP28" s="191"/>
      <c r="FUQ28" s="191"/>
      <c r="FUR28" s="191"/>
      <c r="FUT28" s="191"/>
      <c r="FUU28" s="191"/>
      <c r="FUV28" s="191"/>
      <c r="FUX28" s="191"/>
      <c r="FUY28" s="191"/>
      <c r="FUZ28" s="191"/>
      <c r="FVB28" s="191"/>
      <c r="FVC28" s="191"/>
      <c r="FVD28" s="191"/>
      <c r="FVF28" s="191"/>
      <c r="FVG28" s="191"/>
      <c r="FVH28" s="191"/>
      <c r="FVJ28" s="191"/>
      <c r="FVK28" s="191"/>
      <c r="FVL28" s="191"/>
      <c r="FVN28" s="191"/>
      <c r="FVO28" s="191"/>
      <c r="FVP28" s="191"/>
      <c r="FVR28" s="191"/>
      <c r="FVS28" s="191"/>
      <c r="FVT28" s="191"/>
      <c r="FVV28" s="191"/>
      <c r="FVW28" s="191"/>
      <c r="FVX28" s="191"/>
      <c r="FVZ28" s="191"/>
      <c r="FWA28" s="191"/>
      <c r="FWB28" s="191"/>
      <c r="FWD28" s="191"/>
      <c r="FWE28" s="191"/>
      <c r="FWF28" s="191"/>
      <c r="FWH28" s="191"/>
      <c r="FWI28" s="191"/>
      <c r="FWJ28" s="191"/>
      <c r="FWL28" s="191"/>
      <c r="FWM28" s="191"/>
      <c r="FWN28" s="191"/>
      <c r="FWP28" s="191"/>
      <c r="FWQ28" s="191"/>
      <c r="FWR28" s="191"/>
      <c r="FWT28" s="191"/>
      <c r="FWU28" s="191"/>
      <c r="FWV28" s="191"/>
      <c r="FWX28" s="191"/>
      <c r="FWY28" s="191"/>
      <c r="FWZ28" s="191"/>
      <c r="FXB28" s="191"/>
      <c r="FXC28" s="191"/>
      <c r="FXD28" s="191"/>
      <c r="FXF28" s="191"/>
      <c r="FXG28" s="191"/>
      <c r="FXH28" s="191"/>
      <c r="FXJ28" s="191"/>
      <c r="FXK28" s="191"/>
      <c r="FXL28" s="191"/>
      <c r="FXN28" s="191"/>
      <c r="FXO28" s="191"/>
      <c r="FXP28" s="191"/>
      <c r="FXR28" s="191"/>
      <c r="FXS28" s="191"/>
      <c r="FXT28" s="191"/>
      <c r="FXV28" s="191"/>
      <c r="FXW28" s="191"/>
      <c r="FXX28" s="191"/>
      <c r="FXZ28" s="191"/>
      <c r="FYA28" s="191"/>
      <c r="FYB28" s="191"/>
      <c r="FYD28" s="191"/>
      <c r="FYE28" s="191"/>
      <c r="FYF28" s="191"/>
      <c r="FYH28" s="191"/>
      <c r="FYI28" s="191"/>
      <c r="FYJ28" s="191"/>
      <c r="FYL28" s="191"/>
      <c r="FYM28" s="191"/>
      <c r="FYN28" s="191"/>
      <c r="FYP28" s="191"/>
      <c r="FYQ28" s="191"/>
      <c r="FYR28" s="191"/>
      <c r="FYT28" s="191"/>
      <c r="FYU28" s="191"/>
      <c r="FYV28" s="191"/>
      <c r="FYX28" s="191"/>
      <c r="FYY28" s="191"/>
      <c r="FYZ28" s="191"/>
      <c r="FZB28" s="191"/>
      <c r="FZC28" s="191"/>
      <c r="FZD28" s="191"/>
      <c r="FZF28" s="191"/>
      <c r="FZG28" s="191"/>
      <c r="FZH28" s="191"/>
      <c r="FZJ28" s="191"/>
      <c r="FZK28" s="191"/>
      <c r="FZL28" s="191"/>
      <c r="FZN28" s="191"/>
      <c r="FZO28" s="191"/>
      <c r="FZP28" s="191"/>
      <c r="FZR28" s="191"/>
      <c r="FZS28" s="191"/>
      <c r="FZT28" s="191"/>
      <c r="FZV28" s="191"/>
      <c r="FZW28" s="191"/>
      <c r="FZX28" s="191"/>
      <c r="FZZ28" s="191"/>
      <c r="GAA28" s="191"/>
      <c r="GAB28" s="191"/>
      <c r="GAD28" s="191"/>
      <c r="GAE28" s="191"/>
      <c r="GAF28" s="191"/>
      <c r="GAH28" s="191"/>
      <c r="GAI28" s="191"/>
      <c r="GAJ28" s="191"/>
      <c r="GAL28" s="191"/>
      <c r="GAM28" s="191"/>
      <c r="GAN28" s="191"/>
      <c r="GAP28" s="191"/>
      <c r="GAQ28" s="191"/>
      <c r="GAR28" s="191"/>
      <c r="GAT28" s="191"/>
      <c r="GAU28" s="191"/>
      <c r="GAV28" s="191"/>
      <c r="GAX28" s="191"/>
      <c r="GAY28" s="191"/>
      <c r="GAZ28" s="191"/>
      <c r="GBB28" s="191"/>
      <c r="GBC28" s="191"/>
      <c r="GBD28" s="191"/>
      <c r="GBF28" s="191"/>
      <c r="GBG28" s="191"/>
      <c r="GBH28" s="191"/>
      <c r="GBJ28" s="191"/>
      <c r="GBK28" s="191"/>
      <c r="GBL28" s="191"/>
      <c r="GBN28" s="191"/>
      <c r="GBO28" s="191"/>
      <c r="GBP28" s="191"/>
      <c r="GBR28" s="191"/>
      <c r="GBS28" s="191"/>
      <c r="GBT28" s="191"/>
      <c r="GBV28" s="191"/>
      <c r="GBW28" s="191"/>
      <c r="GBX28" s="191"/>
      <c r="GBZ28" s="191"/>
      <c r="GCA28" s="191"/>
      <c r="GCB28" s="191"/>
      <c r="GCD28" s="191"/>
      <c r="GCE28" s="191"/>
      <c r="GCF28" s="191"/>
      <c r="GCH28" s="191"/>
      <c r="GCI28" s="191"/>
      <c r="GCJ28" s="191"/>
      <c r="GCL28" s="191"/>
      <c r="GCM28" s="191"/>
      <c r="GCN28" s="191"/>
      <c r="GCP28" s="191"/>
      <c r="GCQ28" s="191"/>
      <c r="GCR28" s="191"/>
      <c r="GCT28" s="191"/>
      <c r="GCU28" s="191"/>
      <c r="GCV28" s="191"/>
      <c r="GCX28" s="191"/>
      <c r="GCY28" s="191"/>
      <c r="GCZ28" s="191"/>
      <c r="GDB28" s="191"/>
      <c r="GDC28" s="191"/>
      <c r="GDD28" s="191"/>
      <c r="GDF28" s="191"/>
      <c r="GDG28" s="191"/>
      <c r="GDH28" s="191"/>
      <c r="GDJ28" s="191"/>
      <c r="GDK28" s="191"/>
      <c r="GDL28" s="191"/>
      <c r="GDN28" s="191"/>
      <c r="GDO28" s="191"/>
      <c r="GDP28" s="191"/>
      <c r="GDR28" s="191"/>
      <c r="GDS28" s="191"/>
      <c r="GDT28" s="191"/>
      <c r="GDV28" s="191"/>
      <c r="GDW28" s="191"/>
      <c r="GDX28" s="191"/>
      <c r="GDZ28" s="191"/>
      <c r="GEA28" s="191"/>
      <c r="GEB28" s="191"/>
      <c r="GED28" s="191"/>
      <c r="GEE28" s="191"/>
      <c r="GEF28" s="191"/>
      <c r="GEH28" s="191"/>
      <c r="GEI28" s="191"/>
      <c r="GEJ28" s="191"/>
      <c r="GEL28" s="191"/>
      <c r="GEM28" s="191"/>
      <c r="GEN28" s="191"/>
      <c r="GEP28" s="191"/>
      <c r="GEQ28" s="191"/>
      <c r="GER28" s="191"/>
      <c r="GET28" s="191"/>
      <c r="GEU28" s="191"/>
      <c r="GEV28" s="191"/>
      <c r="GEX28" s="191"/>
      <c r="GEY28" s="191"/>
      <c r="GEZ28" s="191"/>
      <c r="GFB28" s="191"/>
      <c r="GFC28" s="191"/>
      <c r="GFD28" s="191"/>
      <c r="GFF28" s="191"/>
      <c r="GFG28" s="191"/>
      <c r="GFH28" s="191"/>
      <c r="GFJ28" s="191"/>
      <c r="GFK28" s="191"/>
      <c r="GFL28" s="191"/>
      <c r="GFN28" s="191"/>
      <c r="GFO28" s="191"/>
      <c r="GFP28" s="191"/>
      <c r="GFR28" s="191"/>
      <c r="GFS28" s="191"/>
      <c r="GFT28" s="191"/>
      <c r="GFV28" s="191"/>
      <c r="GFW28" s="191"/>
      <c r="GFX28" s="191"/>
      <c r="GFZ28" s="191"/>
      <c r="GGA28" s="191"/>
      <c r="GGB28" s="191"/>
      <c r="GGD28" s="191"/>
      <c r="GGE28" s="191"/>
      <c r="GGF28" s="191"/>
      <c r="GGH28" s="191"/>
      <c r="GGI28" s="191"/>
      <c r="GGJ28" s="191"/>
      <c r="GGL28" s="191"/>
      <c r="GGM28" s="191"/>
      <c r="GGN28" s="191"/>
      <c r="GGP28" s="191"/>
      <c r="GGQ28" s="191"/>
      <c r="GGR28" s="191"/>
      <c r="GGT28" s="191"/>
      <c r="GGU28" s="191"/>
      <c r="GGV28" s="191"/>
      <c r="GGX28" s="191"/>
      <c r="GGY28" s="191"/>
      <c r="GGZ28" s="191"/>
      <c r="GHB28" s="191"/>
      <c r="GHC28" s="191"/>
      <c r="GHD28" s="191"/>
      <c r="GHF28" s="191"/>
      <c r="GHG28" s="191"/>
      <c r="GHH28" s="191"/>
      <c r="GHJ28" s="191"/>
      <c r="GHK28" s="191"/>
      <c r="GHL28" s="191"/>
      <c r="GHN28" s="191"/>
      <c r="GHO28" s="191"/>
      <c r="GHP28" s="191"/>
      <c r="GHR28" s="191"/>
      <c r="GHS28" s="191"/>
      <c r="GHT28" s="191"/>
      <c r="GHV28" s="191"/>
      <c r="GHW28" s="191"/>
      <c r="GHX28" s="191"/>
      <c r="GHZ28" s="191"/>
      <c r="GIA28" s="191"/>
      <c r="GIB28" s="191"/>
      <c r="GID28" s="191"/>
      <c r="GIE28" s="191"/>
      <c r="GIF28" s="191"/>
      <c r="GIH28" s="191"/>
      <c r="GII28" s="191"/>
      <c r="GIJ28" s="191"/>
      <c r="GIL28" s="191"/>
      <c r="GIM28" s="191"/>
      <c r="GIN28" s="191"/>
      <c r="GIP28" s="191"/>
      <c r="GIQ28" s="191"/>
      <c r="GIR28" s="191"/>
      <c r="GIT28" s="191"/>
      <c r="GIU28" s="191"/>
      <c r="GIV28" s="191"/>
      <c r="GIX28" s="191"/>
      <c r="GIY28" s="191"/>
      <c r="GIZ28" s="191"/>
      <c r="GJB28" s="191"/>
      <c r="GJC28" s="191"/>
      <c r="GJD28" s="191"/>
      <c r="GJF28" s="191"/>
      <c r="GJG28" s="191"/>
      <c r="GJH28" s="191"/>
      <c r="GJJ28" s="191"/>
      <c r="GJK28" s="191"/>
      <c r="GJL28" s="191"/>
      <c r="GJN28" s="191"/>
      <c r="GJO28" s="191"/>
      <c r="GJP28" s="191"/>
      <c r="GJR28" s="191"/>
      <c r="GJS28" s="191"/>
      <c r="GJT28" s="191"/>
      <c r="GJV28" s="191"/>
      <c r="GJW28" s="191"/>
      <c r="GJX28" s="191"/>
      <c r="GJZ28" s="191"/>
      <c r="GKA28" s="191"/>
      <c r="GKB28" s="191"/>
      <c r="GKD28" s="191"/>
      <c r="GKE28" s="191"/>
      <c r="GKF28" s="191"/>
      <c r="GKH28" s="191"/>
      <c r="GKI28" s="191"/>
      <c r="GKJ28" s="191"/>
      <c r="GKL28" s="191"/>
      <c r="GKM28" s="191"/>
      <c r="GKN28" s="191"/>
      <c r="GKP28" s="191"/>
      <c r="GKQ28" s="191"/>
      <c r="GKR28" s="191"/>
      <c r="GKT28" s="191"/>
      <c r="GKU28" s="191"/>
      <c r="GKV28" s="191"/>
      <c r="GKX28" s="191"/>
      <c r="GKY28" s="191"/>
      <c r="GKZ28" s="191"/>
      <c r="GLB28" s="191"/>
      <c r="GLC28" s="191"/>
      <c r="GLD28" s="191"/>
      <c r="GLF28" s="191"/>
      <c r="GLG28" s="191"/>
      <c r="GLH28" s="191"/>
      <c r="GLJ28" s="191"/>
      <c r="GLK28" s="191"/>
      <c r="GLL28" s="191"/>
      <c r="GLN28" s="191"/>
      <c r="GLO28" s="191"/>
      <c r="GLP28" s="191"/>
      <c r="GLR28" s="191"/>
      <c r="GLS28" s="191"/>
      <c r="GLT28" s="191"/>
      <c r="GLV28" s="191"/>
      <c r="GLW28" s="191"/>
      <c r="GLX28" s="191"/>
      <c r="GLZ28" s="191"/>
      <c r="GMA28" s="191"/>
      <c r="GMB28" s="191"/>
      <c r="GMD28" s="191"/>
      <c r="GME28" s="191"/>
      <c r="GMF28" s="191"/>
      <c r="GMH28" s="191"/>
      <c r="GMI28" s="191"/>
      <c r="GMJ28" s="191"/>
      <c r="GML28" s="191"/>
      <c r="GMM28" s="191"/>
      <c r="GMN28" s="191"/>
      <c r="GMP28" s="191"/>
      <c r="GMQ28" s="191"/>
      <c r="GMR28" s="191"/>
      <c r="GMT28" s="191"/>
      <c r="GMU28" s="191"/>
      <c r="GMV28" s="191"/>
      <c r="GMX28" s="191"/>
      <c r="GMY28" s="191"/>
      <c r="GMZ28" s="191"/>
      <c r="GNB28" s="191"/>
      <c r="GNC28" s="191"/>
      <c r="GND28" s="191"/>
      <c r="GNF28" s="191"/>
      <c r="GNG28" s="191"/>
      <c r="GNH28" s="191"/>
      <c r="GNJ28" s="191"/>
      <c r="GNK28" s="191"/>
      <c r="GNL28" s="191"/>
      <c r="GNN28" s="191"/>
      <c r="GNO28" s="191"/>
      <c r="GNP28" s="191"/>
      <c r="GNR28" s="191"/>
      <c r="GNS28" s="191"/>
      <c r="GNT28" s="191"/>
      <c r="GNV28" s="191"/>
      <c r="GNW28" s="191"/>
      <c r="GNX28" s="191"/>
      <c r="GNZ28" s="191"/>
      <c r="GOA28" s="191"/>
      <c r="GOB28" s="191"/>
      <c r="GOD28" s="191"/>
      <c r="GOE28" s="191"/>
      <c r="GOF28" s="191"/>
      <c r="GOH28" s="191"/>
      <c r="GOI28" s="191"/>
      <c r="GOJ28" s="191"/>
      <c r="GOL28" s="191"/>
      <c r="GOM28" s="191"/>
      <c r="GON28" s="191"/>
      <c r="GOP28" s="191"/>
      <c r="GOQ28" s="191"/>
      <c r="GOR28" s="191"/>
      <c r="GOT28" s="191"/>
      <c r="GOU28" s="191"/>
      <c r="GOV28" s="191"/>
      <c r="GOX28" s="191"/>
      <c r="GOY28" s="191"/>
      <c r="GOZ28" s="191"/>
      <c r="GPB28" s="191"/>
      <c r="GPC28" s="191"/>
      <c r="GPD28" s="191"/>
      <c r="GPF28" s="191"/>
      <c r="GPG28" s="191"/>
      <c r="GPH28" s="191"/>
      <c r="GPJ28" s="191"/>
      <c r="GPK28" s="191"/>
      <c r="GPL28" s="191"/>
      <c r="GPN28" s="191"/>
      <c r="GPO28" s="191"/>
      <c r="GPP28" s="191"/>
      <c r="GPR28" s="191"/>
      <c r="GPS28" s="191"/>
      <c r="GPT28" s="191"/>
      <c r="GPV28" s="191"/>
      <c r="GPW28" s="191"/>
      <c r="GPX28" s="191"/>
      <c r="GPZ28" s="191"/>
      <c r="GQA28" s="191"/>
      <c r="GQB28" s="191"/>
      <c r="GQD28" s="191"/>
      <c r="GQE28" s="191"/>
      <c r="GQF28" s="191"/>
      <c r="GQH28" s="191"/>
      <c r="GQI28" s="191"/>
      <c r="GQJ28" s="191"/>
      <c r="GQL28" s="191"/>
      <c r="GQM28" s="191"/>
      <c r="GQN28" s="191"/>
      <c r="GQP28" s="191"/>
      <c r="GQQ28" s="191"/>
      <c r="GQR28" s="191"/>
      <c r="GQT28" s="191"/>
      <c r="GQU28" s="191"/>
      <c r="GQV28" s="191"/>
      <c r="GQX28" s="191"/>
      <c r="GQY28" s="191"/>
      <c r="GQZ28" s="191"/>
      <c r="GRB28" s="191"/>
      <c r="GRC28" s="191"/>
      <c r="GRD28" s="191"/>
      <c r="GRF28" s="191"/>
      <c r="GRG28" s="191"/>
      <c r="GRH28" s="191"/>
      <c r="GRJ28" s="191"/>
      <c r="GRK28" s="191"/>
      <c r="GRL28" s="191"/>
      <c r="GRN28" s="191"/>
      <c r="GRO28" s="191"/>
      <c r="GRP28" s="191"/>
      <c r="GRR28" s="191"/>
      <c r="GRS28" s="191"/>
      <c r="GRT28" s="191"/>
      <c r="GRV28" s="191"/>
      <c r="GRW28" s="191"/>
      <c r="GRX28" s="191"/>
      <c r="GRZ28" s="191"/>
      <c r="GSA28" s="191"/>
      <c r="GSB28" s="191"/>
      <c r="GSD28" s="191"/>
      <c r="GSE28" s="191"/>
      <c r="GSF28" s="191"/>
      <c r="GSH28" s="191"/>
      <c r="GSI28" s="191"/>
      <c r="GSJ28" s="191"/>
      <c r="GSL28" s="191"/>
      <c r="GSM28" s="191"/>
      <c r="GSN28" s="191"/>
      <c r="GSP28" s="191"/>
      <c r="GSQ28" s="191"/>
      <c r="GSR28" s="191"/>
      <c r="GST28" s="191"/>
      <c r="GSU28" s="191"/>
      <c r="GSV28" s="191"/>
      <c r="GSX28" s="191"/>
      <c r="GSY28" s="191"/>
      <c r="GSZ28" s="191"/>
      <c r="GTB28" s="191"/>
      <c r="GTC28" s="191"/>
      <c r="GTD28" s="191"/>
      <c r="GTF28" s="191"/>
      <c r="GTG28" s="191"/>
      <c r="GTH28" s="191"/>
      <c r="GTJ28" s="191"/>
      <c r="GTK28" s="191"/>
      <c r="GTL28" s="191"/>
      <c r="GTN28" s="191"/>
      <c r="GTO28" s="191"/>
      <c r="GTP28" s="191"/>
      <c r="GTR28" s="191"/>
      <c r="GTS28" s="191"/>
      <c r="GTT28" s="191"/>
      <c r="GTV28" s="191"/>
      <c r="GTW28" s="191"/>
      <c r="GTX28" s="191"/>
      <c r="GTZ28" s="191"/>
      <c r="GUA28" s="191"/>
      <c r="GUB28" s="191"/>
      <c r="GUD28" s="191"/>
      <c r="GUE28" s="191"/>
      <c r="GUF28" s="191"/>
      <c r="GUH28" s="191"/>
      <c r="GUI28" s="191"/>
      <c r="GUJ28" s="191"/>
      <c r="GUL28" s="191"/>
      <c r="GUM28" s="191"/>
      <c r="GUN28" s="191"/>
      <c r="GUP28" s="191"/>
      <c r="GUQ28" s="191"/>
      <c r="GUR28" s="191"/>
      <c r="GUT28" s="191"/>
      <c r="GUU28" s="191"/>
      <c r="GUV28" s="191"/>
      <c r="GUX28" s="191"/>
      <c r="GUY28" s="191"/>
      <c r="GUZ28" s="191"/>
      <c r="GVB28" s="191"/>
      <c r="GVC28" s="191"/>
      <c r="GVD28" s="191"/>
      <c r="GVF28" s="191"/>
      <c r="GVG28" s="191"/>
      <c r="GVH28" s="191"/>
      <c r="GVJ28" s="191"/>
      <c r="GVK28" s="191"/>
      <c r="GVL28" s="191"/>
      <c r="GVN28" s="191"/>
      <c r="GVO28" s="191"/>
      <c r="GVP28" s="191"/>
      <c r="GVR28" s="191"/>
      <c r="GVS28" s="191"/>
      <c r="GVT28" s="191"/>
      <c r="GVV28" s="191"/>
      <c r="GVW28" s="191"/>
      <c r="GVX28" s="191"/>
      <c r="GVZ28" s="191"/>
      <c r="GWA28" s="191"/>
      <c r="GWB28" s="191"/>
      <c r="GWD28" s="191"/>
      <c r="GWE28" s="191"/>
      <c r="GWF28" s="191"/>
      <c r="GWH28" s="191"/>
      <c r="GWI28" s="191"/>
      <c r="GWJ28" s="191"/>
      <c r="GWL28" s="191"/>
      <c r="GWM28" s="191"/>
      <c r="GWN28" s="191"/>
      <c r="GWP28" s="191"/>
      <c r="GWQ28" s="191"/>
      <c r="GWR28" s="191"/>
      <c r="GWT28" s="191"/>
      <c r="GWU28" s="191"/>
      <c r="GWV28" s="191"/>
      <c r="GWX28" s="191"/>
      <c r="GWY28" s="191"/>
      <c r="GWZ28" s="191"/>
      <c r="GXB28" s="191"/>
      <c r="GXC28" s="191"/>
      <c r="GXD28" s="191"/>
      <c r="GXF28" s="191"/>
      <c r="GXG28" s="191"/>
      <c r="GXH28" s="191"/>
      <c r="GXJ28" s="191"/>
      <c r="GXK28" s="191"/>
      <c r="GXL28" s="191"/>
      <c r="GXN28" s="191"/>
      <c r="GXO28" s="191"/>
      <c r="GXP28" s="191"/>
      <c r="GXR28" s="191"/>
      <c r="GXS28" s="191"/>
      <c r="GXT28" s="191"/>
      <c r="GXV28" s="191"/>
      <c r="GXW28" s="191"/>
      <c r="GXX28" s="191"/>
      <c r="GXZ28" s="191"/>
      <c r="GYA28" s="191"/>
      <c r="GYB28" s="191"/>
      <c r="GYD28" s="191"/>
      <c r="GYE28" s="191"/>
      <c r="GYF28" s="191"/>
      <c r="GYH28" s="191"/>
      <c r="GYI28" s="191"/>
      <c r="GYJ28" s="191"/>
      <c r="GYL28" s="191"/>
      <c r="GYM28" s="191"/>
      <c r="GYN28" s="191"/>
      <c r="GYP28" s="191"/>
      <c r="GYQ28" s="191"/>
      <c r="GYR28" s="191"/>
      <c r="GYT28" s="191"/>
      <c r="GYU28" s="191"/>
      <c r="GYV28" s="191"/>
      <c r="GYX28" s="191"/>
      <c r="GYY28" s="191"/>
      <c r="GYZ28" s="191"/>
      <c r="GZB28" s="191"/>
      <c r="GZC28" s="191"/>
      <c r="GZD28" s="191"/>
      <c r="GZF28" s="191"/>
      <c r="GZG28" s="191"/>
      <c r="GZH28" s="191"/>
      <c r="GZJ28" s="191"/>
      <c r="GZK28" s="191"/>
      <c r="GZL28" s="191"/>
      <c r="GZN28" s="191"/>
      <c r="GZO28" s="191"/>
      <c r="GZP28" s="191"/>
      <c r="GZR28" s="191"/>
      <c r="GZS28" s="191"/>
      <c r="GZT28" s="191"/>
      <c r="GZV28" s="191"/>
      <c r="GZW28" s="191"/>
      <c r="GZX28" s="191"/>
      <c r="GZZ28" s="191"/>
      <c r="HAA28" s="191"/>
      <c r="HAB28" s="191"/>
      <c r="HAD28" s="191"/>
      <c r="HAE28" s="191"/>
      <c r="HAF28" s="191"/>
      <c r="HAH28" s="191"/>
      <c r="HAI28" s="191"/>
      <c r="HAJ28" s="191"/>
      <c r="HAL28" s="191"/>
      <c r="HAM28" s="191"/>
      <c r="HAN28" s="191"/>
      <c r="HAP28" s="191"/>
      <c r="HAQ28" s="191"/>
      <c r="HAR28" s="191"/>
      <c r="HAT28" s="191"/>
      <c r="HAU28" s="191"/>
      <c r="HAV28" s="191"/>
      <c r="HAX28" s="191"/>
      <c r="HAY28" s="191"/>
      <c r="HAZ28" s="191"/>
      <c r="HBB28" s="191"/>
      <c r="HBC28" s="191"/>
      <c r="HBD28" s="191"/>
      <c r="HBF28" s="191"/>
      <c r="HBG28" s="191"/>
      <c r="HBH28" s="191"/>
      <c r="HBJ28" s="191"/>
      <c r="HBK28" s="191"/>
      <c r="HBL28" s="191"/>
      <c r="HBN28" s="191"/>
      <c r="HBO28" s="191"/>
      <c r="HBP28" s="191"/>
      <c r="HBR28" s="191"/>
      <c r="HBS28" s="191"/>
      <c r="HBT28" s="191"/>
      <c r="HBV28" s="191"/>
      <c r="HBW28" s="191"/>
      <c r="HBX28" s="191"/>
      <c r="HBZ28" s="191"/>
      <c r="HCA28" s="191"/>
      <c r="HCB28" s="191"/>
      <c r="HCD28" s="191"/>
      <c r="HCE28" s="191"/>
      <c r="HCF28" s="191"/>
      <c r="HCH28" s="191"/>
      <c r="HCI28" s="191"/>
      <c r="HCJ28" s="191"/>
      <c r="HCL28" s="191"/>
      <c r="HCM28" s="191"/>
      <c r="HCN28" s="191"/>
      <c r="HCP28" s="191"/>
      <c r="HCQ28" s="191"/>
      <c r="HCR28" s="191"/>
      <c r="HCT28" s="191"/>
      <c r="HCU28" s="191"/>
      <c r="HCV28" s="191"/>
      <c r="HCX28" s="191"/>
      <c r="HCY28" s="191"/>
      <c r="HCZ28" s="191"/>
      <c r="HDB28" s="191"/>
      <c r="HDC28" s="191"/>
      <c r="HDD28" s="191"/>
      <c r="HDF28" s="191"/>
      <c r="HDG28" s="191"/>
      <c r="HDH28" s="191"/>
      <c r="HDJ28" s="191"/>
      <c r="HDK28" s="191"/>
      <c r="HDL28" s="191"/>
      <c r="HDN28" s="191"/>
      <c r="HDO28" s="191"/>
      <c r="HDP28" s="191"/>
      <c r="HDR28" s="191"/>
      <c r="HDS28" s="191"/>
      <c r="HDT28" s="191"/>
      <c r="HDV28" s="191"/>
      <c r="HDW28" s="191"/>
      <c r="HDX28" s="191"/>
      <c r="HDZ28" s="191"/>
      <c r="HEA28" s="191"/>
      <c r="HEB28" s="191"/>
      <c r="HED28" s="191"/>
      <c r="HEE28" s="191"/>
      <c r="HEF28" s="191"/>
      <c r="HEH28" s="191"/>
      <c r="HEI28" s="191"/>
      <c r="HEJ28" s="191"/>
      <c r="HEL28" s="191"/>
      <c r="HEM28" s="191"/>
      <c r="HEN28" s="191"/>
      <c r="HEP28" s="191"/>
      <c r="HEQ28" s="191"/>
      <c r="HER28" s="191"/>
      <c r="HET28" s="191"/>
      <c r="HEU28" s="191"/>
      <c r="HEV28" s="191"/>
      <c r="HEX28" s="191"/>
      <c r="HEY28" s="191"/>
      <c r="HEZ28" s="191"/>
      <c r="HFB28" s="191"/>
      <c r="HFC28" s="191"/>
      <c r="HFD28" s="191"/>
      <c r="HFF28" s="191"/>
      <c r="HFG28" s="191"/>
      <c r="HFH28" s="191"/>
      <c r="HFJ28" s="191"/>
      <c r="HFK28" s="191"/>
      <c r="HFL28" s="191"/>
      <c r="HFN28" s="191"/>
      <c r="HFO28" s="191"/>
      <c r="HFP28" s="191"/>
      <c r="HFR28" s="191"/>
      <c r="HFS28" s="191"/>
      <c r="HFT28" s="191"/>
      <c r="HFV28" s="191"/>
      <c r="HFW28" s="191"/>
      <c r="HFX28" s="191"/>
      <c r="HFZ28" s="191"/>
      <c r="HGA28" s="191"/>
      <c r="HGB28" s="191"/>
      <c r="HGD28" s="191"/>
      <c r="HGE28" s="191"/>
      <c r="HGF28" s="191"/>
      <c r="HGH28" s="191"/>
      <c r="HGI28" s="191"/>
      <c r="HGJ28" s="191"/>
      <c r="HGL28" s="191"/>
      <c r="HGM28" s="191"/>
      <c r="HGN28" s="191"/>
      <c r="HGP28" s="191"/>
      <c r="HGQ28" s="191"/>
      <c r="HGR28" s="191"/>
      <c r="HGT28" s="191"/>
      <c r="HGU28" s="191"/>
      <c r="HGV28" s="191"/>
      <c r="HGX28" s="191"/>
      <c r="HGY28" s="191"/>
      <c r="HGZ28" s="191"/>
      <c r="HHB28" s="191"/>
      <c r="HHC28" s="191"/>
      <c r="HHD28" s="191"/>
      <c r="HHF28" s="191"/>
      <c r="HHG28" s="191"/>
      <c r="HHH28" s="191"/>
      <c r="HHJ28" s="191"/>
      <c r="HHK28" s="191"/>
      <c r="HHL28" s="191"/>
      <c r="HHN28" s="191"/>
      <c r="HHO28" s="191"/>
      <c r="HHP28" s="191"/>
      <c r="HHR28" s="191"/>
      <c r="HHS28" s="191"/>
      <c r="HHT28" s="191"/>
      <c r="HHV28" s="191"/>
      <c r="HHW28" s="191"/>
      <c r="HHX28" s="191"/>
      <c r="HHZ28" s="191"/>
      <c r="HIA28" s="191"/>
      <c r="HIB28" s="191"/>
      <c r="HID28" s="191"/>
      <c r="HIE28" s="191"/>
      <c r="HIF28" s="191"/>
      <c r="HIH28" s="191"/>
      <c r="HII28" s="191"/>
      <c r="HIJ28" s="191"/>
      <c r="HIL28" s="191"/>
      <c r="HIM28" s="191"/>
      <c r="HIN28" s="191"/>
      <c r="HIP28" s="191"/>
      <c r="HIQ28" s="191"/>
      <c r="HIR28" s="191"/>
      <c r="HIT28" s="191"/>
      <c r="HIU28" s="191"/>
      <c r="HIV28" s="191"/>
      <c r="HIX28" s="191"/>
      <c r="HIY28" s="191"/>
      <c r="HIZ28" s="191"/>
      <c r="HJB28" s="191"/>
      <c r="HJC28" s="191"/>
      <c r="HJD28" s="191"/>
      <c r="HJF28" s="191"/>
      <c r="HJG28" s="191"/>
      <c r="HJH28" s="191"/>
      <c r="HJJ28" s="191"/>
      <c r="HJK28" s="191"/>
      <c r="HJL28" s="191"/>
      <c r="HJN28" s="191"/>
      <c r="HJO28" s="191"/>
      <c r="HJP28" s="191"/>
      <c r="HJR28" s="191"/>
      <c r="HJS28" s="191"/>
      <c r="HJT28" s="191"/>
      <c r="HJV28" s="191"/>
      <c r="HJW28" s="191"/>
      <c r="HJX28" s="191"/>
      <c r="HJZ28" s="191"/>
      <c r="HKA28" s="191"/>
      <c r="HKB28" s="191"/>
      <c r="HKD28" s="191"/>
      <c r="HKE28" s="191"/>
      <c r="HKF28" s="191"/>
      <c r="HKH28" s="191"/>
      <c r="HKI28" s="191"/>
      <c r="HKJ28" s="191"/>
      <c r="HKL28" s="191"/>
      <c r="HKM28" s="191"/>
      <c r="HKN28" s="191"/>
      <c r="HKP28" s="191"/>
      <c r="HKQ28" s="191"/>
      <c r="HKR28" s="191"/>
      <c r="HKT28" s="191"/>
      <c r="HKU28" s="191"/>
      <c r="HKV28" s="191"/>
      <c r="HKX28" s="191"/>
      <c r="HKY28" s="191"/>
      <c r="HKZ28" s="191"/>
      <c r="HLB28" s="191"/>
      <c r="HLC28" s="191"/>
      <c r="HLD28" s="191"/>
      <c r="HLF28" s="191"/>
      <c r="HLG28" s="191"/>
      <c r="HLH28" s="191"/>
      <c r="HLJ28" s="191"/>
      <c r="HLK28" s="191"/>
      <c r="HLL28" s="191"/>
      <c r="HLN28" s="191"/>
      <c r="HLO28" s="191"/>
      <c r="HLP28" s="191"/>
      <c r="HLR28" s="191"/>
      <c r="HLS28" s="191"/>
      <c r="HLT28" s="191"/>
      <c r="HLV28" s="191"/>
      <c r="HLW28" s="191"/>
      <c r="HLX28" s="191"/>
      <c r="HLZ28" s="191"/>
      <c r="HMA28" s="191"/>
      <c r="HMB28" s="191"/>
      <c r="HMD28" s="191"/>
      <c r="HME28" s="191"/>
      <c r="HMF28" s="191"/>
      <c r="HMH28" s="191"/>
      <c r="HMI28" s="191"/>
      <c r="HMJ28" s="191"/>
      <c r="HML28" s="191"/>
      <c r="HMM28" s="191"/>
      <c r="HMN28" s="191"/>
      <c r="HMP28" s="191"/>
      <c r="HMQ28" s="191"/>
      <c r="HMR28" s="191"/>
      <c r="HMT28" s="191"/>
      <c r="HMU28" s="191"/>
      <c r="HMV28" s="191"/>
      <c r="HMX28" s="191"/>
      <c r="HMY28" s="191"/>
      <c r="HMZ28" s="191"/>
      <c r="HNB28" s="191"/>
      <c r="HNC28" s="191"/>
      <c r="HND28" s="191"/>
      <c r="HNF28" s="191"/>
      <c r="HNG28" s="191"/>
      <c r="HNH28" s="191"/>
      <c r="HNJ28" s="191"/>
      <c r="HNK28" s="191"/>
      <c r="HNL28" s="191"/>
      <c r="HNN28" s="191"/>
      <c r="HNO28" s="191"/>
      <c r="HNP28" s="191"/>
      <c r="HNR28" s="191"/>
      <c r="HNS28" s="191"/>
      <c r="HNT28" s="191"/>
      <c r="HNV28" s="191"/>
      <c r="HNW28" s="191"/>
      <c r="HNX28" s="191"/>
      <c r="HNZ28" s="191"/>
      <c r="HOA28" s="191"/>
      <c r="HOB28" s="191"/>
      <c r="HOD28" s="191"/>
      <c r="HOE28" s="191"/>
      <c r="HOF28" s="191"/>
      <c r="HOH28" s="191"/>
      <c r="HOI28" s="191"/>
      <c r="HOJ28" s="191"/>
      <c r="HOL28" s="191"/>
      <c r="HOM28" s="191"/>
      <c r="HON28" s="191"/>
      <c r="HOP28" s="191"/>
      <c r="HOQ28" s="191"/>
      <c r="HOR28" s="191"/>
      <c r="HOT28" s="191"/>
      <c r="HOU28" s="191"/>
      <c r="HOV28" s="191"/>
      <c r="HOX28" s="191"/>
      <c r="HOY28" s="191"/>
      <c r="HOZ28" s="191"/>
      <c r="HPB28" s="191"/>
      <c r="HPC28" s="191"/>
      <c r="HPD28" s="191"/>
      <c r="HPF28" s="191"/>
      <c r="HPG28" s="191"/>
      <c r="HPH28" s="191"/>
      <c r="HPJ28" s="191"/>
      <c r="HPK28" s="191"/>
      <c r="HPL28" s="191"/>
      <c r="HPN28" s="191"/>
      <c r="HPO28" s="191"/>
      <c r="HPP28" s="191"/>
      <c r="HPR28" s="191"/>
      <c r="HPS28" s="191"/>
      <c r="HPT28" s="191"/>
      <c r="HPV28" s="191"/>
      <c r="HPW28" s="191"/>
      <c r="HPX28" s="191"/>
      <c r="HPZ28" s="191"/>
      <c r="HQA28" s="191"/>
      <c r="HQB28" s="191"/>
      <c r="HQD28" s="191"/>
      <c r="HQE28" s="191"/>
      <c r="HQF28" s="191"/>
      <c r="HQH28" s="191"/>
      <c r="HQI28" s="191"/>
      <c r="HQJ28" s="191"/>
      <c r="HQL28" s="191"/>
      <c r="HQM28" s="191"/>
      <c r="HQN28" s="191"/>
      <c r="HQP28" s="191"/>
      <c r="HQQ28" s="191"/>
      <c r="HQR28" s="191"/>
      <c r="HQT28" s="191"/>
      <c r="HQU28" s="191"/>
      <c r="HQV28" s="191"/>
      <c r="HQX28" s="191"/>
      <c r="HQY28" s="191"/>
      <c r="HQZ28" s="191"/>
      <c r="HRB28" s="191"/>
      <c r="HRC28" s="191"/>
      <c r="HRD28" s="191"/>
      <c r="HRF28" s="191"/>
      <c r="HRG28" s="191"/>
      <c r="HRH28" s="191"/>
      <c r="HRJ28" s="191"/>
      <c r="HRK28" s="191"/>
      <c r="HRL28" s="191"/>
      <c r="HRN28" s="191"/>
      <c r="HRO28" s="191"/>
      <c r="HRP28" s="191"/>
      <c r="HRR28" s="191"/>
      <c r="HRS28" s="191"/>
      <c r="HRT28" s="191"/>
      <c r="HRV28" s="191"/>
      <c r="HRW28" s="191"/>
      <c r="HRX28" s="191"/>
      <c r="HRZ28" s="191"/>
      <c r="HSA28" s="191"/>
      <c r="HSB28" s="191"/>
      <c r="HSD28" s="191"/>
      <c r="HSE28" s="191"/>
      <c r="HSF28" s="191"/>
      <c r="HSH28" s="191"/>
      <c r="HSI28" s="191"/>
      <c r="HSJ28" s="191"/>
      <c r="HSL28" s="191"/>
      <c r="HSM28" s="191"/>
      <c r="HSN28" s="191"/>
      <c r="HSP28" s="191"/>
      <c r="HSQ28" s="191"/>
      <c r="HSR28" s="191"/>
      <c r="HST28" s="191"/>
      <c r="HSU28" s="191"/>
      <c r="HSV28" s="191"/>
      <c r="HSX28" s="191"/>
      <c r="HSY28" s="191"/>
      <c r="HSZ28" s="191"/>
      <c r="HTB28" s="191"/>
      <c r="HTC28" s="191"/>
      <c r="HTD28" s="191"/>
      <c r="HTF28" s="191"/>
      <c r="HTG28" s="191"/>
      <c r="HTH28" s="191"/>
      <c r="HTJ28" s="191"/>
      <c r="HTK28" s="191"/>
      <c r="HTL28" s="191"/>
      <c r="HTN28" s="191"/>
      <c r="HTO28" s="191"/>
      <c r="HTP28" s="191"/>
      <c r="HTR28" s="191"/>
      <c r="HTS28" s="191"/>
      <c r="HTT28" s="191"/>
      <c r="HTV28" s="191"/>
      <c r="HTW28" s="191"/>
      <c r="HTX28" s="191"/>
      <c r="HTZ28" s="191"/>
      <c r="HUA28" s="191"/>
      <c r="HUB28" s="191"/>
      <c r="HUD28" s="191"/>
      <c r="HUE28" s="191"/>
      <c r="HUF28" s="191"/>
      <c r="HUH28" s="191"/>
      <c r="HUI28" s="191"/>
      <c r="HUJ28" s="191"/>
      <c r="HUL28" s="191"/>
      <c r="HUM28" s="191"/>
      <c r="HUN28" s="191"/>
      <c r="HUP28" s="191"/>
      <c r="HUQ28" s="191"/>
      <c r="HUR28" s="191"/>
      <c r="HUT28" s="191"/>
      <c r="HUU28" s="191"/>
      <c r="HUV28" s="191"/>
      <c r="HUX28" s="191"/>
      <c r="HUY28" s="191"/>
      <c r="HUZ28" s="191"/>
      <c r="HVB28" s="191"/>
      <c r="HVC28" s="191"/>
      <c r="HVD28" s="191"/>
      <c r="HVF28" s="191"/>
      <c r="HVG28" s="191"/>
      <c r="HVH28" s="191"/>
      <c r="HVJ28" s="191"/>
      <c r="HVK28" s="191"/>
      <c r="HVL28" s="191"/>
      <c r="HVN28" s="191"/>
      <c r="HVO28" s="191"/>
      <c r="HVP28" s="191"/>
      <c r="HVR28" s="191"/>
      <c r="HVS28" s="191"/>
      <c r="HVT28" s="191"/>
      <c r="HVV28" s="191"/>
      <c r="HVW28" s="191"/>
      <c r="HVX28" s="191"/>
      <c r="HVZ28" s="191"/>
      <c r="HWA28" s="191"/>
      <c r="HWB28" s="191"/>
      <c r="HWD28" s="191"/>
      <c r="HWE28" s="191"/>
      <c r="HWF28" s="191"/>
      <c r="HWH28" s="191"/>
      <c r="HWI28" s="191"/>
      <c r="HWJ28" s="191"/>
      <c r="HWL28" s="191"/>
      <c r="HWM28" s="191"/>
      <c r="HWN28" s="191"/>
      <c r="HWP28" s="191"/>
      <c r="HWQ28" s="191"/>
      <c r="HWR28" s="191"/>
      <c r="HWT28" s="191"/>
      <c r="HWU28" s="191"/>
      <c r="HWV28" s="191"/>
      <c r="HWX28" s="191"/>
      <c r="HWY28" s="191"/>
      <c r="HWZ28" s="191"/>
      <c r="HXB28" s="191"/>
      <c r="HXC28" s="191"/>
      <c r="HXD28" s="191"/>
      <c r="HXF28" s="191"/>
      <c r="HXG28" s="191"/>
      <c r="HXH28" s="191"/>
      <c r="HXJ28" s="191"/>
      <c r="HXK28" s="191"/>
      <c r="HXL28" s="191"/>
      <c r="HXN28" s="191"/>
      <c r="HXO28" s="191"/>
      <c r="HXP28" s="191"/>
      <c r="HXR28" s="191"/>
      <c r="HXS28" s="191"/>
      <c r="HXT28" s="191"/>
      <c r="HXV28" s="191"/>
      <c r="HXW28" s="191"/>
      <c r="HXX28" s="191"/>
      <c r="HXZ28" s="191"/>
      <c r="HYA28" s="191"/>
      <c r="HYB28" s="191"/>
      <c r="HYD28" s="191"/>
      <c r="HYE28" s="191"/>
      <c r="HYF28" s="191"/>
      <c r="HYH28" s="191"/>
      <c r="HYI28" s="191"/>
      <c r="HYJ28" s="191"/>
      <c r="HYL28" s="191"/>
      <c r="HYM28" s="191"/>
      <c r="HYN28" s="191"/>
      <c r="HYP28" s="191"/>
      <c r="HYQ28" s="191"/>
      <c r="HYR28" s="191"/>
      <c r="HYT28" s="191"/>
      <c r="HYU28" s="191"/>
      <c r="HYV28" s="191"/>
      <c r="HYX28" s="191"/>
      <c r="HYY28" s="191"/>
      <c r="HYZ28" s="191"/>
      <c r="HZB28" s="191"/>
      <c r="HZC28" s="191"/>
      <c r="HZD28" s="191"/>
      <c r="HZF28" s="191"/>
      <c r="HZG28" s="191"/>
      <c r="HZH28" s="191"/>
      <c r="HZJ28" s="191"/>
      <c r="HZK28" s="191"/>
      <c r="HZL28" s="191"/>
      <c r="HZN28" s="191"/>
      <c r="HZO28" s="191"/>
      <c r="HZP28" s="191"/>
      <c r="HZR28" s="191"/>
      <c r="HZS28" s="191"/>
      <c r="HZT28" s="191"/>
      <c r="HZV28" s="191"/>
      <c r="HZW28" s="191"/>
      <c r="HZX28" s="191"/>
      <c r="HZZ28" s="191"/>
      <c r="IAA28" s="191"/>
      <c r="IAB28" s="191"/>
      <c r="IAD28" s="191"/>
      <c r="IAE28" s="191"/>
      <c r="IAF28" s="191"/>
      <c r="IAH28" s="191"/>
      <c r="IAI28" s="191"/>
      <c r="IAJ28" s="191"/>
      <c r="IAL28" s="191"/>
      <c r="IAM28" s="191"/>
      <c r="IAN28" s="191"/>
      <c r="IAP28" s="191"/>
      <c r="IAQ28" s="191"/>
      <c r="IAR28" s="191"/>
      <c r="IAT28" s="191"/>
      <c r="IAU28" s="191"/>
      <c r="IAV28" s="191"/>
      <c r="IAX28" s="191"/>
      <c r="IAY28" s="191"/>
      <c r="IAZ28" s="191"/>
      <c r="IBB28" s="191"/>
      <c r="IBC28" s="191"/>
      <c r="IBD28" s="191"/>
      <c r="IBF28" s="191"/>
      <c r="IBG28" s="191"/>
      <c r="IBH28" s="191"/>
      <c r="IBJ28" s="191"/>
      <c r="IBK28" s="191"/>
      <c r="IBL28" s="191"/>
      <c r="IBN28" s="191"/>
      <c r="IBO28" s="191"/>
      <c r="IBP28" s="191"/>
      <c r="IBR28" s="191"/>
      <c r="IBS28" s="191"/>
      <c r="IBT28" s="191"/>
      <c r="IBV28" s="191"/>
      <c r="IBW28" s="191"/>
      <c r="IBX28" s="191"/>
      <c r="IBZ28" s="191"/>
      <c r="ICA28" s="191"/>
      <c r="ICB28" s="191"/>
      <c r="ICD28" s="191"/>
      <c r="ICE28" s="191"/>
      <c r="ICF28" s="191"/>
      <c r="ICH28" s="191"/>
      <c r="ICI28" s="191"/>
      <c r="ICJ28" s="191"/>
      <c r="ICL28" s="191"/>
      <c r="ICM28" s="191"/>
      <c r="ICN28" s="191"/>
      <c r="ICP28" s="191"/>
      <c r="ICQ28" s="191"/>
      <c r="ICR28" s="191"/>
      <c r="ICT28" s="191"/>
      <c r="ICU28" s="191"/>
      <c r="ICV28" s="191"/>
      <c r="ICX28" s="191"/>
      <c r="ICY28" s="191"/>
      <c r="ICZ28" s="191"/>
      <c r="IDB28" s="191"/>
      <c r="IDC28" s="191"/>
      <c r="IDD28" s="191"/>
      <c r="IDF28" s="191"/>
      <c r="IDG28" s="191"/>
      <c r="IDH28" s="191"/>
      <c r="IDJ28" s="191"/>
      <c r="IDK28" s="191"/>
      <c r="IDL28" s="191"/>
      <c r="IDN28" s="191"/>
      <c r="IDO28" s="191"/>
      <c r="IDP28" s="191"/>
      <c r="IDR28" s="191"/>
      <c r="IDS28" s="191"/>
      <c r="IDT28" s="191"/>
      <c r="IDV28" s="191"/>
      <c r="IDW28" s="191"/>
      <c r="IDX28" s="191"/>
      <c r="IDZ28" s="191"/>
      <c r="IEA28" s="191"/>
      <c r="IEB28" s="191"/>
      <c r="IED28" s="191"/>
      <c r="IEE28" s="191"/>
      <c r="IEF28" s="191"/>
      <c r="IEH28" s="191"/>
      <c r="IEI28" s="191"/>
      <c r="IEJ28" s="191"/>
      <c r="IEL28" s="191"/>
      <c r="IEM28" s="191"/>
      <c r="IEN28" s="191"/>
      <c r="IEP28" s="191"/>
      <c r="IEQ28" s="191"/>
      <c r="IER28" s="191"/>
      <c r="IET28" s="191"/>
      <c r="IEU28" s="191"/>
      <c r="IEV28" s="191"/>
      <c r="IEX28" s="191"/>
      <c r="IEY28" s="191"/>
      <c r="IEZ28" s="191"/>
      <c r="IFB28" s="191"/>
      <c r="IFC28" s="191"/>
      <c r="IFD28" s="191"/>
      <c r="IFF28" s="191"/>
      <c r="IFG28" s="191"/>
      <c r="IFH28" s="191"/>
      <c r="IFJ28" s="191"/>
      <c r="IFK28" s="191"/>
      <c r="IFL28" s="191"/>
      <c r="IFN28" s="191"/>
      <c r="IFO28" s="191"/>
      <c r="IFP28" s="191"/>
      <c r="IFR28" s="191"/>
      <c r="IFS28" s="191"/>
      <c r="IFT28" s="191"/>
      <c r="IFV28" s="191"/>
      <c r="IFW28" s="191"/>
      <c r="IFX28" s="191"/>
      <c r="IFZ28" s="191"/>
      <c r="IGA28" s="191"/>
      <c r="IGB28" s="191"/>
      <c r="IGD28" s="191"/>
      <c r="IGE28" s="191"/>
      <c r="IGF28" s="191"/>
      <c r="IGH28" s="191"/>
      <c r="IGI28" s="191"/>
      <c r="IGJ28" s="191"/>
      <c r="IGL28" s="191"/>
      <c r="IGM28" s="191"/>
      <c r="IGN28" s="191"/>
      <c r="IGP28" s="191"/>
      <c r="IGQ28" s="191"/>
      <c r="IGR28" s="191"/>
      <c r="IGT28" s="191"/>
      <c r="IGU28" s="191"/>
      <c r="IGV28" s="191"/>
      <c r="IGX28" s="191"/>
      <c r="IGY28" s="191"/>
      <c r="IGZ28" s="191"/>
      <c r="IHB28" s="191"/>
      <c r="IHC28" s="191"/>
      <c r="IHD28" s="191"/>
      <c r="IHF28" s="191"/>
      <c r="IHG28" s="191"/>
      <c r="IHH28" s="191"/>
      <c r="IHJ28" s="191"/>
      <c r="IHK28" s="191"/>
      <c r="IHL28" s="191"/>
      <c r="IHN28" s="191"/>
      <c r="IHO28" s="191"/>
      <c r="IHP28" s="191"/>
      <c r="IHR28" s="191"/>
      <c r="IHS28" s="191"/>
      <c r="IHT28" s="191"/>
      <c r="IHV28" s="191"/>
      <c r="IHW28" s="191"/>
      <c r="IHX28" s="191"/>
      <c r="IHZ28" s="191"/>
      <c r="IIA28" s="191"/>
      <c r="IIB28" s="191"/>
      <c r="IID28" s="191"/>
      <c r="IIE28" s="191"/>
      <c r="IIF28" s="191"/>
      <c r="IIH28" s="191"/>
      <c r="III28" s="191"/>
      <c r="IIJ28" s="191"/>
      <c r="IIL28" s="191"/>
      <c r="IIM28" s="191"/>
      <c r="IIN28" s="191"/>
      <c r="IIP28" s="191"/>
      <c r="IIQ28" s="191"/>
      <c r="IIR28" s="191"/>
      <c r="IIT28" s="191"/>
      <c r="IIU28" s="191"/>
      <c r="IIV28" s="191"/>
      <c r="IIX28" s="191"/>
      <c r="IIY28" s="191"/>
      <c r="IIZ28" s="191"/>
      <c r="IJB28" s="191"/>
      <c r="IJC28" s="191"/>
      <c r="IJD28" s="191"/>
      <c r="IJF28" s="191"/>
      <c r="IJG28" s="191"/>
      <c r="IJH28" s="191"/>
      <c r="IJJ28" s="191"/>
      <c r="IJK28" s="191"/>
      <c r="IJL28" s="191"/>
      <c r="IJN28" s="191"/>
      <c r="IJO28" s="191"/>
      <c r="IJP28" s="191"/>
      <c r="IJR28" s="191"/>
      <c r="IJS28" s="191"/>
      <c r="IJT28" s="191"/>
      <c r="IJV28" s="191"/>
      <c r="IJW28" s="191"/>
      <c r="IJX28" s="191"/>
      <c r="IJZ28" s="191"/>
      <c r="IKA28" s="191"/>
      <c r="IKB28" s="191"/>
      <c r="IKD28" s="191"/>
      <c r="IKE28" s="191"/>
      <c r="IKF28" s="191"/>
      <c r="IKH28" s="191"/>
      <c r="IKI28" s="191"/>
      <c r="IKJ28" s="191"/>
      <c r="IKL28" s="191"/>
      <c r="IKM28" s="191"/>
      <c r="IKN28" s="191"/>
      <c r="IKP28" s="191"/>
      <c r="IKQ28" s="191"/>
      <c r="IKR28" s="191"/>
      <c r="IKT28" s="191"/>
      <c r="IKU28" s="191"/>
      <c r="IKV28" s="191"/>
      <c r="IKX28" s="191"/>
      <c r="IKY28" s="191"/>
      <c r="IKZ28" s="191"/>
      <c r="ILB28" s="191"/>
      <c r="ILC28" s="191"/>
      <c r="ILD28" s="191"/>
      <c r="ILF28" s="191"/>
      <c r="ILG28" s="191"/>
      <c r="ILH28" s="191"/>
      <c r="ILJ28" s="191"/>
      <c r="ILK28" s="191"/>
      <c r="ILL28" s="191"/>
      <c r="ILN28" s="191"/>
      <c r="ILO28" s="191"/>
      <c r="ILP28" s="191"/>
      <c r="ILR28" s="191"/>
      <c r="ILS28" s="191"/>
      <c r="ILT28" s="191"/>
      <c r="ILV28" s="191"/>
      <c r="ILW28" s="191"/>
      <c r="ILX28" s="191"/>
      <c r="ILZ28" s="191"/>
      <c r="IMA28" s="191"/>
      <c r="IMB28" s="191"/>
      <c r="IMD28" s="191"/>
      <c r="IME28" s="191"/>
      <c r="IMF28" s="191"/>
      <c r="IMH28" s="191"/>
      <c r="IMI28" s="191"/>
      <c r="IMJ28" s="191"/>
      <c r="IML28" s="191"/>
      <c r="IMM28" s="191"/>
      <c r="IMN28" s="191"/>
      <c r="IMP28" s="191"/>
      <c r="IMQ28" s="191"/>
      <c r="IMR28" s="191"/>
      <c r="IMT28" s="191"/>
      <c r="IMU28" s="191"/>
      <c r="IMV28" s="191"/>
      <c r="IMX28" s="191"/>
      <c r="IMY28" s="191"/>
      <c r="IMZ28" s="191"/>
      <c r="INB28" s="191"/>
      <c r="INC28" s="191"/>
      <c r="IND28" s="191"/>
      <c r="INF28" s="191"/>
      <c r="ING28" s="191"/>
      <c r="INH28" s="191"/>
      <c r="INJ28" s="191"/>
      <c r="INK28" s="191"/>
      <c r="INL28" s="191"/>
      <c r="INN28" s="191"/>
      <c r="INO28" s="191"/>
      <c r="INP28" s="191"/>
      <c r="INR28" s="191"/>
      <c r="INS28" s="191"/>
      <c r="INT28" s="191"/>
      <c r="INV28" s="191"/>
      <c r="INW28" s="191"/>
      <c r="INX28" s="191"/>
      <c r="INZ28" s="191"/>
      <c r="IOA28" s="191"/>
      <c r="IOB28" s="191"/>
      <c r="IOD28" s="191"/>
      <c r="IOE28" s="191"/>
      <c r="IOF28" s="191"/>
      <c r="IOH28" s="191"/>
      <c r="IOI28" s="191"/>
      <c r="IOJ28" s="191"/>
      <c r="IOL28" s="191"/>
      <c r="IOM28" s="191"/>
      <c r="ION28" s="191"/>
      <c r="IOP28" s="191"/>
      <c r="IOQ28" s="191"/>
      <c r="IOR28" s="191"/>
      <c r="IOT28" s="191"/>
      <c r="IOU28" s="191"/>
      <c r="IOV28" s="191"/>
      <c r="IOX28" s="191"/>
      <c r="IOY28" s="191"/>
      <c r="IOZ28" s="191"/>
      <c r="IPB28" s="191"/>
      <c r="IPC28" s="191"/>
      <c r="IPD28" s="191"/>
      <c r="IPF28" s="191"/>
      <c r="IPG28" s="191"/>
      <c r="IPH28" s="191"/>
      <c r="IPJ28" s="191"/>
      <c r="IPK28" s="191"/>
      <c r="IPL28" s="191"/>
      <c r="IPN28" s="191"/>
      <c r="IPO28" s="191"/>
      <c r="IPP28" s="191"/>
      <c r="IPR28" s="191"/>
      <c r="IPS28" s="191"/>
      <c r="IPT28" s="191"/>
      <c r="IPV28" s="191"/>
      <c r="IPW28" s="191"/>
      <c r="IPX28" s="191"/>
      <c r="IPZ28" s="191"/>
      <c r="IQA28" s="191"/>
      <c r="IQB28" s="191"/>
      <c r="IQD28" s="191"/>
      <c r="IQE28" s="191"/>
      <c r="IQF28" s="191"/>
      <c r="IQH28" s="191"/>
      <c r="IQI28" s="191"/>
      <c r="IQJ28" s="191"/>
      <c r="IQL28" s="191"/>
      <c r="IQM28" s="191"/>
      <c r="IQN28" s="191"/>
      <c r="IQP28" s="191"/>
      <c r="IQQ28" s="191"/>
      <c r="IQR28" s="191"/>
      <c r="IQT28" s="191"/>
      <c r="IQU28" s="191"/>
      <c r="IQV28" s="191"/>
      <c r="IQX28" s="191"/>
      <c r="IQY28" s="191"/>
      <c r="IQZ28" s="191"/>
      <c r="IRB28" s="191"/>
      <c r="IRC28" s="191"/>
      <c r="IRD28" s="191"/>
      <c r="IRF28" s="191"/>
      <c r="IRG28" s="191"/>
      <c r="IRH28" s="191"/>
      <c r="IRJ28" s="191"/>
      <c r="IRK28" s="191"/>
      <c r="IRL28" s="191"/>
      <c r="IRN28" s="191"/>
      <c r="IRO28" s="191"/>
      <c r="IRP28" s="191"/>
      <c r="IRR28" s="191"/>
      <c r="IRS28" s="191"/>
      <c r="IRT28" s="191"/>
      <c r="IRV28" s="191"/>
      <c r="IRW28" s="191"/>
      <c r="IRX28" s="191"/>
      <c r="IRZ28" s="191"/>
      <c r="ISA28" s="191"/>
      <c r="ISB28" s="191"/>
      <c r="ISD28" s="191"/>
      <c r="ISE28" s="191"/>
      <c r="ISF28" s="191"/>
      <c r="ISH28" s="191"/>
      <c r="ISI28" s="191"/>
      <c r="ISJ28" s="191"/>
      <c r="ISL28" s="191"/>
      <c r="ISM28" s="191"/>
      <c r="ISN28" s="191"/>
      <c r="ISP28" s="191"/>
      <c r="ISQ28" s="191"/>
      <c r="ISR28" s="191"/>
      <c r="IST28" s="191"/>
      <c r="ISU28" s="191"/>
      <c r="ISV28" s="191"/>
      <c r="ISX28" s="191"/>
      <c r="ISY28" s="191"/>
      <c r="ISZ28" s="191"/>
      <c r="ITB28" s="191"/>
      <c r="ITC28" s="191"/>
      <c r="ITD28" s="191"/>
      <c r="ITF28" s="191"/>
      <c r="ITG28" s="191"/>
      <c r="ITH28" s="191"/>
      <c r="ITJ28" s="191"/>
      <c r="ITK28" s="191"/>
      <c r="ITL28" s="191"/>
      <c r="ITN28" s="191"/>
      <c r="ITO28" s="191"/>
      <c r="ITP28" s="191"/>
      <c r="ITR28" s="191"/>
      <c r="ITS28" s="191"/>
      <c r="ITT28" s="191"/>
      <c r="ITV28" s="191"/>
      <c r="ITW28" s="191"/>
      <c r="ITX28" s="191"/>
      <c r="ITZ28" s="191"/>
      <c r="IUA28" s="191"/>
      <c r="IUB28" s="191"/>
      <c r="IUD28" s="191"/>
      <c r="IUE28" s="191"/>
      <c r="IUF28" s="191"/>
      <c r="IUH28" s="191"/>
      <c r="IUI28" s="191"/>
      <c r="IUJ28" s="191"/>
      <c r="IUL28" s="191"/>
      <c r="IUM28" s="191"/>
      <c r="IUN28" s="191"/>
      <c r="IUP28" s="191"/>
      <c r="IUQ28" s="191"/>
      <c r="IUR28" s="191"/>
      <c r="IUT28" s="191"/>
      <c r="IUU28" s="191"/>
      <c r="IUV28" s="191"/>
      <c r="IUX28" s="191"/>
      <c r="IUY28" s="191"/>
      <c r="IUZ28" s="191"/>
      <c r="IVB28" s="191"/>
      <c r="IVC28" s="191"/>
      <c r="IVD28" s="191"/>
      <c r="IVF28" s="191"/>
      <c r="IVG28" s="191"/>
      <c r="IVH28" s="191"/>
      <c r="IVJ28" s="191"/>
      <c r="IVK28" s="191"/>
      <c r="IVL28" s="191"/>
      <c r="IVN28" s="191"/>
      <c r="IVO28" s="191"/>
      <c r="IVP28" s="191"/>
      <c r="IVR28" s="191"/>
      <c r="IVS28" s="191"/>
      <c r="IVT28" s="191"/>
      <c r="IVV28" s="191"/>
      <c r="IVW28" s="191"/>
      <c r="IVX28" s="191"/>
      <c r="IVZ28" s="191"/>
      <c r="IWA28" s="191"/>
      <c r="IWB28" s="191"/>
      <c r="IWD28" s="191"/>
      <c r="IWE28" s="191"/>
      <c r="IWF28" s="191"/>
      <c r="IWH28" s="191"/>
      <c r="IWI28" s="191"/>
      <c r="IWJ28" s="191"/>
      <c r="IWL28" s="191"/>
      <c r="IWM28" s="191"/>
      <c r="IWN28" s="191"/>
      <c r="IWP28" s="191"/>
      <c r="IWQ28" s="191"/>
      <c r="IWR28" s="191"/>
      <c r="IWT28" s="191"/>
      <c r="IWU28" s="191"/>
      <c r="IWV28" s="191"/>
      <c r="IWX28" s="191"/>
      <c r="IWY28" s="191"/>
      <c r="IWZ28" s="191"/>
      <c r="IXB28" s="191"/>
      <c r="IXC28" s="191"/>
      <c r="IXD28" s="191"/>
      <c r="IXF28" s="191"/>
      <c r="IXG28" s="191"/>
      <c r="IXH28" s="191"/>
      <c r="IXJ28" s="191"/>
      <c r="IXK28" s="191"/>
      <c r="IXL28" s="191"/>
      <c r="IXN28" s="191"/>
      <c r="IXO28" s="191"/>
      <c r="IXP28" s="191"/>
      <c r="IXR28" s="191"/>
      <c r="IXS28" s="191"/>
      <c r="IXT28" s="191"/>
      <c r="IXV28" s="191"/>
      <c r="IXW28" s="191"/>
      <c r="IXX28" s="191"/>
      <c r="IXZ28" s="191"/>
      <c r="IYA28" s="191"/>
      <c r="IYB28" s="191"/>
      <c r="IYD28" s="191"/>
      <c r="IYE28" s="191"/>
      <c r="IYF28" s="191"/>
      <c r="IYH28" s="191"/>
      <c r="IYI28" s="191"/>
      <c r="IYJ28" s="191"/>
      <c r="IYL28" s="191"/>
      <c r="IYM28" s="191"/>
      <c r="IYN28" s="191"/>
      <c r="IYP28" s="191"/>
      <c r="IYQ28" s="191"/>
      <c r="IYR28" s="191"/>
      <c r="IYT28" s="191"/>
      <c r="IYU28" s="191"/>
      <c r="IYV28" s="191"/>
      <c r="IYX28" s="191"/>
      <c r="IYY28" s="191"/>
      <c r="IYZ28" s="191"/>
      <c r="IZB28" s="191"/>
      <c r="IZC28" s="191"/>
      <c r="IZD28" s="191"/>
      <c r="IZF28" s="191"/>
      <c r="IZG28" s="191"/>
      <c r="IZH28" s="191"/>
      <c r="IZJ28" s="191"/>
      <c r="IZK28" s="191"/>
      <c r="IZL28" s="191"/>
      <c r="IZN28" s="191"/>
      <c r="IZO28" s="191"/>
      <c r="IZP28" s="191"/>
      <c r="IZR28" s="191"/>
      <c r="IZS28" s="191"/>
      <c r="IZT28" s="191"/>
      <c r="IZV28" s="191"/>
      <c r="IZW28" s="191"/>
      <c r="IZX28" s="191"/>
      <c r="IZZ28" s="191"/>
      <c r="JAA28" s="191"/>
      <c r="JAB28" s="191"/>
      <c r="JAD28" s="191"/>
      <c r="JAE28" s="191"/>
      <c r="JAF28" s="191"/>
      <c r="JAH28" s="191"/>
      <c r="JAI28" s="191"/>
      <c r="JAJ28" s="191"/>
      <c r="JAL28" s="191"/>
      <c r="JAM28" s="191"/>
      <c r="JAN28" s="191"/>
      <c r="JAP28" s="191"/>
      <c r="JAQ28" s="191"/>
      <c r="JAR28" s="191"/>
      <c r="JAT28" s="191"/>
      <c r="JAU28" s="191"/>
      <c r="JAV28" s="191"/>
      <c r="JAX28" s="191"/>
      <c r="JAY28" s="191"/>
      <c r="JAZ28" s="191"/>
      <c r="JBB28" s="191"/>
      <c r="JBC28" s="191"/>
      <c r="JBD28" s="191"/>
      <c r="JBF28" s="191"/>
      <c r="JBG28" s="191"/>
      <c r="JBH28" s="191"/>
      <c r="JBJ28" s="191"/>
      <c r="JBK28" s="191"/>
      <c r="JBL28" s="191"/>
      <c r="JBN28" s="191"/>
      <c r="JBO28" s="191"/>
      <c r="JBP28" s="191"/>
      <c r="JBR28" s="191"/>
      <c r="JBS28" s="191"/>
      <c r="JBT28" s="191"/>
      <c r="JBV28" s="191"/>
      <c r="JBW28" s="191"/>
      <c r="JBX28" s="191"/>
      <c r="JBZ28" s="191"/>
      <c r="JCA28" s="191"/>
      <c r="JCB28" s="191"/>
      <c r="JCD28" s="191"/>
      <c r="JCE28" s="191"/>
      <c r="JCF28" s="191"/>
      <c r="JCH28" s="191"/>
      <c r="JCI28" s="191"/>
      <c r="JCJ28" s="191"/>
      <c r="JCL28" s="191"/>
      <c r="JCM28" s="191"/>
      <c r="JCN28" s="191"/>
      <c r="JCP28" s="191"/>
      <c r="JCQ28" s="191"/>
      <c r="JCR28" s="191"/>
      <c r="JCT28" s="191"/>
      <c r="JCU28" s="191"/>
      <c r="JCV28" s="191"/>
      <c r="JCX28" s="191"/>
      <c r="JCY28" s="191"/>
      <c r="JCZ28" s="191"/>
      <c r="JDB28" s="191"/>
      <c r="JDC28" s="191"/>
      <c r="JDD28" s="191"/>
      <c r="JDF28" s="191"/>
      <c r="JDG28" s="191"/>
      <c r="JDH28" s="191"/>
      <c r="JDJ28" s="191"/>
      <c r="JDK28" s="191"/>
      <c r="JDL28" s="191"/>
      <c r="JDN28" s="191"/>
      <c r="JDO28" s="191"/>
      <c r="JDP28" s="191"/>
      <c r="JDR28" s="191"/>
      <c r="JDS28" s="191"/>
      <c r="JDT28" s="191"/>
      <c r="JDV28" s="191"/>
      <c r="JDW28" s="191"/>
      <c r="JDX28" s="191"/>
      <c r="JDZ28" s="191"/>
      <c r="JEA28" s="191"/>
      <c r="JEB28" s="191"/>
      <c r="JED28" s="191"/>
      <c r="JEE28" s="191"/>
      <c r="JEF28" s="191"/>
      <c r="JEH28" s="191"/>
      <c r="JEI28" s="191"/>
      <c r="JEJ28" s="191"/>
      <c r="JEL28" s="191"/>
      <c r="JEM28" s="191"/>
      <c r="JEN28" s="191"/>
      <c r="JEP28" s="191"/>
      <c r="JEQ28" s="191"/>
      <c r="JER28" s="191"/>
      <c r="JET28" s="191"/>
      <c r="JEU28" s="191"/>
      <c r="JEV28" s="191"/>
      <c r="JEX28" s="191"/>
      <c r="JEY28" s="191"/>
      <c r="JEZ28" s="191"/>
      <c r="JFB28" s="191"/>
      <c r="JFC28" s="191"/>
      <c r="JFD28" s="191"/>
      <c r="JFF28" s="191"/>
      <c r="JFG28" s="191"/>
      <c r="JFH28" s="191"/>
      <c r="JFJ28" s="191"/>
      <c r="JFK28" s="191"/>
      <c r="JFL28" s="191"/>
      <c r="JFN28" s="191"/>
      <c r="JFO28" s="191"/>
      <c r="JFP28" s="191"/>
      <c r="JFR28" s="191"/>
      <c r="JFS28" s="191"/>
      <c r="JFT28" s="191"/>
      <c r="JFV28" s="191"/>
      <c r="JFW28" s="191"/>
      <c r="JFX28" s="191"/>
      <c r="JFZ28" s="191"/>
      <c r="JGA28" s="191"/>
      <c r="JGB28" s="191"/>
      <c r="JGD28" s="191"/>
      <c r="JGE28" s="191"/>
      <c r="JGF28" s="191"/>
      <c r="JGH28" s="191"/>
      <c r="JGI28" s="191"/>
      <c r="JGJ28" s="191"/>
      <c r="JGL28" s="191"/>
      <c r="JGM28" s="191"/>
      <c r="JGN28" s="191"/>
      <c r="JGP28" s="191"/>
      <c r="JGQ28" s="191"/>
      <c r="JGR28" s="191"/>
      <c r="JGT28" s="191"/>
      <c r="JGU28" s="191"/>
      <c r="JGV28" s="191"/>
      <c r="JGX28" s="191"/>
      <c r="JGY28" s="191"/>
      <c r="JGZ28" s="191"/>
      <c r="JHB28" s="191"/>
      <c r="JHC28" s="191"/>
      <c r="JHD28" s="191"/>
      <c r="JHF28" s="191"/>
      <c r="JHG28" s="191"/>
      <c r="JHH28" s="191"/>
      <c r="JHJ28" s="191"/>
      <c r="JHK28" s="191"/>
      <c r="JHL28" s="191"/>
      <c r="JHN28" s="191"/>
      <c r="JHO28" s="191"/>
      <c r="JHP28" s="191"/>
      <c r="JHR28" s="191"/>
      <c r="JHS28" s="191"/>
      <c r="JHT28" s="191"/>
      <c r="JHV28" s="191"/>
      <c r="JHW28" s="191"/>
      <c r="JHX28" s="191"/>
      <c r="JHZ28" s="191"/>
      <c r="JIA28" s="191"/>
      <c r="JIB28" s="191"/>
      <c r="JID28" s="191"/>
      <c r="JIE28" s="191"/>
      <c r="JIF28" s="191"/>
      <c r="JIH28" s="191"/>
      <c r="JII28" s="191"/>
      <c r="JIJ28" s="191"/>
      <c r="JIL28" s="191"/>
      <c r="JIM28" s="191"/>
      <c r="JIN28" s="191"/>
      <c r="JIP28" s="191"/>
      <c r="JIQ28" s="191"/>
      <c r="JIR28" s="191"/>
      <c r="JIT28" s="191"/>
      <c r="JIU28" s="191"/>
      <c r="JIV28" s="191"/>
      <c r="JIX28" s="191"/>
      <c r="JIY28" s="191"/>
      <c r="JIZ28" s="191"/>
      <c r="JJB28" s="191"/>
      <c r="JJC28" s="191"/>
      <c r="JJD28" s="191"/>
      <c r="JJF28" s="191"/>
      <c r="JJG28" s="191"/>
      <c r="JJH28" s="191"/>
      <c r="JJJ28" s="191"/>
      <c r="JJK28" s="191"/>
      <c r="JJL28" s="191"/>
      <c r="JJN28" s="191"/>
      <c r="JJO28" s="191"/>
      <c r="JJP28" s="191"/>
      <c r="JJR28" s="191"/>
      <c r="JJS28" s="191"/>
      <c r="JJT28" s="191"/>
      <c r="JJV28" s="191"/>
      <c r="JJW28" s="191"/>
      <c r="JJX28" s="191"/>
      <c r="JJZ28" s="191"/>
      <c r="JKA28" s="191"/>
      <c r="JKB28" s="191"/>
      <c r="JKD28" s="191"/>
      <c r="JKE28" s="191"/>
      <c r="JKF28" s="191"/>
      <c r="JKH28" s="191"/>
      <c r="JKI28" s="191"/>
      <c r="JKJ28" s="191"/>
      <c r="JKL28" s="191"/>
      <c r="JKM28" s="191"/>
      <c r="JKN28" s="191"/>
      <c r="JKP28" s="191"/>
      <c r="JKQ28" s="191"/>
      <c r="JKR28" s="191"/>
      <c r="JKT28" s="191"/>
      <c r="JKU28" s="191"/>
      <c r="JKV28" s="191"/>
      <c r="JKX28" s="191"/>
      <c r="JKY28" s="191"/>
      <c r="JKZ28" s="191"/>
      <c r="JLB28" s="191"/>
      <c r="JLC28" s="191"/>
      <c r="JLD28" s="191"/>
      <c r="JLF28" s="191"/>
      <c r="JLG28" s="191"/>
      <c r="JLH28" s="191"/>
      <c r="JLJ28" s="191"/>
      <c r="JLK28" s="191"/>
      <c r="JLL28" s="191"/>
      <c r="JLN28" s="191"/>
      <c r="JLO28" s="191"/>
      <c r="JLP28" s="191"/>
      <c r="JLR28" s="191"/>
      <c r="JLS28" s="191"/>
      <c r="JLT28" s="191"/>
      <c r="JLV28" s="191"/>
      <c r="JLW28" s="191"/>
      <c r="JLX28" s="191"/>
      <c r="JLZ28" s="191"/>
      <c r="JMA28" s="191"/>
      <c r="JMB28" s="191"/>
      <c r="JMD28" s="191"/>
      <c r="JME28" s="191"/>
      <c r="JMF28" s="191"/>
      <c r="JMH28" s="191"/>
      <c r="JMI28" s="191"/>
      <c r="JMJ28" s="191"/>
      <c r="JML28" s="191"/>
      <c r="JMM28" s="191"/>
      <c r="JMN28" s="191"/>
      <c r="JMP28" s="191"/>
      <c r="JMQ28" s="191"/>
      <c r="JMR28" s="191"/>
      <c r="JMT28" s="191"/>
      <c r="JMU28" s="191"/>
      <c r="JMV28" s="191"/>
      <c r="JMX28" s="191"/>
      <c r="JMY28" s="191"/>
      <c r="JMZ28" s="191"/>
      <c r="JNB28" s="191"/>
      <c r="JNC28" s="191"/>
      <c r="JND28" s="191"/>
      <c r="JNF28" s="191"/>
      <c r="JNG28" s="191"/>
      <c r="JNH28" s="191"/>
      <c r="JNJ28" s="191"/>
      <c r="JNK28" s="191"/>
      <c r="JNL28" s="191"/>
      <c r="JNN28" s="191"/>
      <c r="JNO28" s="191"/>
      <c r="JNP28" s="191"/>
      <c r="JNR28" s="191"/>
      <c r="JNS28" s="191"/>
      <c r="JNT28" s="191"/>
      <c r="JNV28" s="191"/>
      <c r="JNW28" s="191"/>
      <c r="JNX28" s="191"/>
      <c r="JNZ28" s="191"/>
      <c r="JOA28" s="191"/>
      <c r="JOB28" s="191"/>
      <c r="JOD28" s="191"/>
      <c r="JOE28" s="191"/>
      <c r="JOF28" s="191"/>
      <c r="JOH28" s="191"/>
      <c r="JOI28" s="191"/>
      <c r="JOJ28" s="191"/>
      <c r="JOL28" s="191"/>
      <c r="JOM28" s="191"/>
      <c r="JON28" s="191"/>
      <c r="JOP28" s="191"/>
      <c r="JOQ28" s="191"/>
      <c r="JOR28" s="191"/>
      <c r="JOT28" s="191"/>
      <c r="JOU28" s="191"/>
      <c r="JOV28" s="191"/>
      <c r="JOX28" s="191"/>
      <c r="JOY28" s="191"/>
      <c r="JOZ28" s="191"/>
      <c r="JPB28" s="191"/>
      <c r="JPC28" s="191"/>
      <c r="JPD28" s="191"/>
      <c r="JPF28" s="191"/>
      <c r="JPG28" s="191"/>
      <c r="JPH28" s="191"/>
      <c r="JPJ28" s="191"/>
      <c r="JPK28" s="191"/>
      <c r="JPL28" s="191"/>
      <c r="JPN28" s="191"/>
      <c r="JPO28" s="191"/>
      <c r="JPP28" s="191"/>
      <c r="JPR28" s="191"/>
      <c r="JPS28" s="191"/>
      <c r="JPT28" s="191"/>
      <c r="JPV28" s="191"/>
      <c r="JPW28" s="191"/>
      <c r="JPX28" s="191"/>
      <c r="JPZ28" s="191"/>
      <c r="JQA28" s="191"/>
      <c r="JQB28" s="191"/>
      <c r="JQD28" s="191"/>
      <c r="JQE28" s="191"/>
      <c r="JQF28" s="191"/>
      <c r="JQH28" s="191"/>
      <c r="JQI28" s="191"/>
      <c r="JQJ28" s="191"/>
      <c r="JQL28" s="191"/>
      <c r="JQM28" s="191"/>
      <c r="JQN28" s="191"/>
      <c r="JQP28" s="191"/>
      <c r="JQQ28" s="191"/>
      <c r="JQR28" s="191"/>
      <c r="JQT28" s="191"/>
      <c r="JQU28" s="191"/>
      <c r="JQV28" s="191"/>
      <c r="JQX28" s="191"/>
      <c r="JQY28" s="191"/>
      <c r="JQZ28" s="191"/>
      <c r="JRB28" s="191"/>
      <c r="JRC28" s="191"/>
      <c r="JRD28" s="191"/>
      <c r="JRF28" s="191"/>
      <c r="JRG28" s="191"/>
      <c r="JRH28" s="191"/>
      <c r="JRJ28" s="191"/>
      <c r="JRK28" s="191"/>
      <c r="JRL28" s="191"/>
      <c r="JRN28" s="191"/>
      <c r="JRO28" s="191"/>
      <c r="JRP28" s="191"/>
      <c r="JRR28" s="191"/>
      <c r="JRS28" s="191"/>
      <c r="JRT28" s="191"/>
      <c r="JRV28" s="191"/>
      <c r="JRW28" s="191"/>
      <c r="JRX28" s="191"/>
      <c r="JRZ28" s="191"/>
      <c r="JSA28" s="191"/>
      <c r="JSB28" s="191"/>
      <c r="JSD28" s="191"/>
      <c r="JSE28" s="191"/>
      <c r="JSF28" s="191"/>
      <c r="JSH28" s="191"/>
      <c r="JSI28" s="191"/>
      <c r="JSJ28" s="191"/>
      <c r="JSL28" s="191"/>
      <c r="JSM28" s="191"/>
      <c r="JSN28" s="191"/>
      <c r="JSP28" s="191"/>
      <c r="JSQ28" s="191"/>
      <c r="JSR28" s="191"/>
      <c r="JST28" s="191"/>
      <c r="JSU28" s="191"/>
      <c r="JSV28" s="191"/>
      <c r="JSX28" s="191"/>
      <c r="JSY28" s="191"/>
      <c r="JSZ28" s="191"/>
      <c r="JTB28" s="191"/>
      <c r="JTC28" s="191"/>
      <c r="JTD28" s="191"/>
      <c r="JTF28" s="191"/>
      <c r="JTG28" s="191"/>
      <c r="JTH28" s="191"/>
      <c r="JTJ28" s="191"/>
      <c r="JTK28" s="191"/>
      <c r="JTL28" s="191"/>
      <c r="JTN28" s="191"/>
      <c r="JTO28" s="191"/>
      <c r="JTP28" s="191"/>
      <c r="JTR28" s="191"/>
      <c r="JTS28" s="191"/>
      <c r="JTT28" s="191"/>
      <c r="JTV28" s="191"/>
      <c r="JTW28" s="191"/>
      <c r="JTX28" s="191"/>
      <c r="JTZ28" s="191"/>
      <c r="JUA28" s="191"/>
      <c r="JUB28" s="191"/>
      <c r="JUD28" s="191"/>
      <c r="JUE28" s="191"/>
      <c r="JUF28" s="191"/>
      <c r="JUH28" s="191"/>
      <c r="JUI28" s="191"/>
      <c r="JUJ28" s="191"/>
      <c r="JUL28" s="191"/>
      <c r="JUM28" s="191"/>
      <c r="JUN28" s="191"/>
      <c r="JUP28" s="191"/>
      <c r="JUQ28" s="191"/>
      <c r="JUR28" s="191"/>
      <c r="JUT28" s="191"/>
      <c r="JUU28" s="191"/>
      <c r="JUV28" s="191"/>
      <c r="JUX28" s="191"/>
      <c r="JUY28" s="191"/>
      <c r="JUZ28" s="191"/>
      <c r="JVB28" s="191"/>
      <c r="JVC28" s="191"/>
      <c r="JVD28" s="191"/>
      <c r="JVF28" s="191"/>
      <c r="JVG28" s="191"/>
      <c r="JVH28" s="191"/>
      <c r="JVJ28" s="191"/>
      <c r="JVK28" s="191"/>
      <c r="JVL28" s="191"/>
      <c r="JVN28" s="191"/>
      <c r="JVO28" s="191"/>
      <c r="JVP28" s="191"/>
      <c r="JVR28" s="191"/>
      <c r="JVS28" s="191"/>
      <c r="JVT28" s="191"/>
      <c r="JVV28" s="191"/>
      <c r="JVW28" s="191"/>
      <c r="JVX28" s="191"/>
      <c r="JVZ28" s="191"/>
      <c r="JWA28" s="191"/>
      <c r="JWB28" s="191"/>
      <c r="JWD28" s="191"/>
      <c r="JWE28" s="191"/>
      <c r="JWF28" s="191"/>
      <c r="JWH28" s="191"/>
      <c r="JWI28" s="191"/>
      <c r="JWJ28" s="191"/>
      <c r="JWL28" s="191"/>
      <c r="JWM28" s="191"/>
      <c r="JWN28" s="191"/>
      <c r="JWP28" s="191"/>
      <c r="JWQ28" s="191"/>
      <c r="JWR28" s="191"/>
      <c r="JWT28" s="191"/>
      <c r="JWU28" s="191"/>
      <c r="JWV28" s="191"/>
      <c r="JWX28" s="191"/>
      <c r="JWY28" s="191"/>
      <c r="JWZ28" s="191"/>
      <c r="JXB28" s="191"/>
      <c r="JXC28" s="191"/>
      <c r="JXD28" s="191"/>
      <c r="JXF28" s="191"/>
      <c r="JXG28" s="191"/>
      <c r="JXH28" s="191"/>
      <c r="JXJ28" s="191"/>
      <c r="JXK28" s="191"/>
      <c r="JXL28" s="191"/>
      <c r="JXN28" s="191"/>
      <c r="JXO28" s="191"/>
      <c r="JXP28" s="191"/>
      <c r="JXR28" s="191"/>
      <c r="JXS28" s="191"/>
      <c r="JXT28" s="191"/>
      <c r="JXV28" s="191"/>
      <c r="JXW28" s="191"/>
      <c r="JXX28" s="191"/>
      <c r="JXZ28" s="191"/>
      <c r="JYA28" s="191"/>
      <c r="JYB28" s="191"/>
      <c r="JYD28" s="191"/>
      <c r="JYE28" s="191"/>
      <c r="JYF28" s="191"/>
      <c r="JYH28" s="191"/>
      <c r="JYI28" s="191"/>
      <c r="JYJ28" s="191"/>
      <c r="JYL28" s="191"/>
      <c r="JYM28" s="191"/>
      <c r="JYN28" s="191"/>
      <c r="JYP28" s="191"/>
      <c r="JYQ28" s="191"/>
      <c r="JYR28" s="191"/>
      <c r="JYT28" s="191"/>
      <c r="JYU28" s="191"/>
      <c r="JYV28" s="191"/>
      <c r="JYX28" s="191"/>
      <c r="JYY28" s="191"/>
      <c r="JYZ28" s="191"/>
      <c r="JZB28" s="191"/>
      <c r="JZC28" s="191"/>
      <c r="JZD28" s="191"/>
      <c r="JZF28" s="191"/>
      <c r="JZG28" s="191"/>
      <c r="JZH28" s="191"/>
      <c r="JZJ28" s="191"/>
      <c r="JZK28" s="191"/>
      <c r="JZL28" s="191"/>
      <c r="JZN28" s="191"/>
      <c r="JZO28" s="191"/>
      <c r="JZP28" s="191"/>
      <c r="JZR28" s="191"/>
      <c r="JZS28" s="191"/>
      <c r="JZT28" s="191"/>
      <c r="JZV28" s="191"/>
      <c r="JZW28" s="191"/>
      <c r="JZX28" s="191"/>
      <c r="JZZ28" s="191"/>
      <c r="KAA28" s="191"/>
      <c r="KAB28" s="191"/>
      <c r="KAD28" s="191"/>
      <c r="KAE28" s="191"/>
      <c r="KAF28" s="191"/>
      <c r="KAH28" s="191"/>
      <c r="KAI28" s="191"/>
      <c r="KAJ28" s="191"/>
      <c r="KAL28" s="191"/>
      <c r="KAM28" s="191"/>
      <c r="KAN28" s="191"/>
      <c r="KAP28" s="191"/>
      <c r="KAQ28" s="191"/>
      <c r="KAR28" s="191"/>
      <c r="KAT28" s="191"/>
      <c r="KAU28" s="191"/>
      <c r="KAV28" s="191"/>
      <c r="KAX28" s="191"/>
      <c r="KAY28" s="191"/>
      <c r="KAZ28" s="191"/>
      <c r="KBB28" s="191"/>
      <c r="KBC28" s="191"/>
      <c r="KBD28" s="191"/>
      <c r="KBF28" s="191"/>
      <c r="KBG28" s="191"/>
      <c r="KBH28" s="191"/>
      <c r="KBJ28" s="191"/>
      <c r="KBK28" s="191"/>
      <c r="KBL28" s="191"/>
      <c r="KBN28" s="191"/>
      <c r="KBO28" s="191"/>
      <c r="KBP28" s="191"/>
      <c r="KBR28" s="191"/>
      <c r="KBS28" s="191"/>
      <c r="KBT28" s="191"/>
      <c r="KBV28" s="191"/>
      <c r="KBW28" s="191"/>
      <c r="KBX28" s="191"/>
      <c r="KBZ28" s="191"/>
      <c r="KCA28" s="191"/>
      <c r="KCB28" s="191"/>
      <c r="KCD28" s="191"/>
      <c r="KCE28" s="191"/>
      <c r="KCF28" s="191"/>
      <c r="KCH28" s="191"/>
      <c r="KCI28" s="191"/>
      <c r="KCJ28" s="191"/>
      <c r="KCL28" s="191"/>
      <c r="KCM28" s="191"/>
      <c r="KCN28" s="191"/>
      <c r="KCP28" s="191"/>
      <c r="KCQ28" s="191"/>
      <c r="KCR28" s="191"/>
      <c r="KCT28" s="191"/>
      <c r="KCU28" s="191"/>
      <c r="KCV28" s="191"/>
      <c r="KCX28" s="191"/>
      <c r="KCY28" s="191"/>
      <c r="KCZ28" s="191"/>
      <c r="KDB28" s="191"/>
      <c r="KDC28" s="191"/>
      <c r="KDD28" s="191"/>
      <c r="KDF28" s="191"/>
      <c r="KDG28" s="191"/>
      <c r="KDH28" s="191"/>
      <c r="KDJ28" s="191"/>
      <c r="KDK28" s="191"/>
      <c r="KDL28" s="191"/>
      <c r="KDN28" s="191"/>
      <c r="KDO28" s="191"/>
      <c r="KDP28" s="191"/>
      <c r="KDR28" s="191"/>
      <c r="KDS28" s="191"/>
      <c r="KDT28" s="191"/>
      <c r="KDV28" s="191"/>
      <c r="KDW28" s="191"/>
      <c r="KDX28" s="191"/>
      <c r="KDZ28" s="191"/>
      <c r="KEA28" s="191"/>
      <c r="KEB28" s="191"/>
      <c r="KED28" s="191"/>
      <c r="KEE28" s="191"/>
      <c r="KEF28" s="191"/>
      <c r="KEH28" s="191"/>
      <c r="KEI28" s="191"/>
      <c r="KEJ28" s="191"/>
      <c r="KEL28" s="191"/>
      <c r="KEM28" s="191"/>
      <c r="KEN28" s="191"/>
      <c r="KEP28" s="191"/>
      <c r="KEQ28" s="191"/>
      <c r="KER28" s="191"/>
      <c r="KET28" s="191"/>
      <c r="KEU28" s="191"/>
      <c r="KEV28" s="191"/>
      <c r="KEX28" s="191"/>
      <c r="KEY28" s="191"/>
      <c r="KEZ28" s="191"/>
      <c r="KFB28" s="191"/>
      <c r="KFC28" s="191"/>
      <c r="KFD28" s="191"/>
      <c r="KFF28" s="191"/>
      <c r="KFG28" s="191"/>
      <c r="KFH28" s="191"/>
      <c r="KFJ28" s="191"/>
      <c r="KFK28" s="191"/>
      <c r="KFL28" s="191"/>
      <c r="KFN28" s="191"/>
      <c r="KFO28" s="191"/>
      <c r="KFP28" s="191"/>
      <c r="KFR28" s="191"/>
      <c r="KFS28" s="191"/>
      <c r="KFT28" s="191"/>
      <c r="KFV28" s="191"/>
      <c r="KFW28" s="191"/>
      <c r="KFX28" s="191"/>
      <c r="KFZ28" s="191"/>
      <c r="KGA28" s="191"/>
      <c r="KGB28" s="191"/>
      <c r="KGD28" s="191"/>
      <c r="KGE28" s="191"/>
      <c r="KGF28" s="191"/>
      <c r="KGH28" s="191"/>
      <c r="KGI28" s="191"/>
      <c r="KGJ28" s="191"/>
      <c r="KGL28" s="191"/>
      <c r="KGM28" s="191"/>
      <c r="KGN28" s="191"/>
      <c r="KGP28" s="191"/>
      <c r="KGQ28" s="191"/>
      <c r="KGR28" s="191"/>
      <c r="KGT28" s="191"/>
      <c r="KGU28" s="191"/>
      <c r="KGV28" s="191"/>
      <c r="KGX28" s="191"/>
      <c r="KGY28" s="191"/>
      <c r="KGZ28" s="191"/>
      <c r="KHB28" s="191"/>
      <c r="KHC28" s="191"/>
      <c r="KHD28" s="191"/>
      <c r="KHF28" s="191"/>
      <c r="KHG28" s="191"/>
      <c r="KHH28" s="191"/>
      <c r="KHJ28" s="191"/>
      <c r="KHK28" s="191"/>
      <c r="KHL28" s="191"/>
      <c r="KHN28" s="191"/>
      <c r="KHO28" s="191"/>
      <c r="KHP28" s="191"/>
      <c r="KHR28" s="191"/>
      <c r="KHS28" s="191"/>
      <c r="KHT28" s="191"/>
      <c r="KHV28" s="191"/>
      <c r="KHW28" s="191"/>
      <c r="KHX28" s="191"/>
      <c r="KHZ28" s="191"/>
      <c r="KIA28" s="191"/>
      <c r="KIB28" s="191"/>
      <c r="KID28" s="191"/>
      <c r="KIE28" s="191"/>
      <c r="KIF28" s="191"/>
      <c r="KIH28" s="191"/>
      <c r="KII28" s="191"/>
      <c r="KIJ28" s="191"/>
      <c r="KIL28" s="191"/>
      <c r="KIM28" s="191"/>
      <c r="KIN28" s="191"/>
      <c r="KIP28" s="191"/>
      <c r="KIQ28" s="191"/>
      <c r="KIR28" s="191"/>
      <c r="KIT28" s="191"/>
      <c r="KIU28" s="191"/>
      <c r="KIV28" s="191"/>
      <c r="KIX28" s="191"/>
      <c r="KIY28" s="191"/>
      <c r="KIZ28" s="191"/>
      <c r="KJB28" s="191"/>
      <c r="KJC28" s="191"/>
      <c r="KJD28" s="191"/>
      <c r="KJF28" s="191"/>
      <c r="KJG28" s="191"/>
      <c r="KJH28" s="191"/>
      <c r="KJJ28" s="191"/>
      <c r="KJK28" s="191"/>
      <c r="KJL28" s="191"/>
      <c r="KJN28" s="191"/>
      <c r="KJO28" s="191"/>
      <c r="KJP28" s="191"/>
      <c r="KJR28" s="191"/>
      <c r="KJS28" s="191"/>
      <c r="KJT28" s="191"/>
      <c r="KJV28" s="191"/>
      <c r="KJW28" s="191"/>
      <c r="KJX28" s="191"/>
      <c r="KJZ28" s="191"/>
      <c r="KKA28" s="191"/>
      <c r="KKB28" s="191"/>
      <c r="KKD28" s="191"/>
      <c r="KKE28" s="191"/>
      <c r="KKF28" s="191"/>
      <c r="KKH28" s="191"/>
      <c r="KKI28" s="191"/>
      <c r="KKJ28" s="191"/>
      <c r="KKL28" s="191"/>
      <c r="KKM28" s="191"/>
      <c r="KKN28" s="191"/>
      <c r="KKP28" s="191"/>
      <c r="KKQ28" s="191"/>
      <c r="KKR28" s="191"/>
      <c r="KKT28" s="191"/>
      <c r="KKU28" s="191"/>
      <c r="KKV28" s="191"/>
      <c r="KKX28" s="191"/>
      <c r="KKY28" s="191"/>
      <c r="KKZ28" s="191"/>
      <c r="KLB28" s="191"/>
      <c r="KLC28" s="191"/>
      <c r="KLD28" s="191"/>
      <c r="KLF28" s="191"/>
      <c r="KLG28" s="191"/>
      <c r="KLH28" s="191"/>
      <c r="KLJ28" s="191"/>
      <c r="KLK28" s="191"/>
      <c r="KLL28" s="191"/>
      <c r="KLN28" s="191"/>
      <c r="KLO28" s="191"/>
      <c r="KLP28" s="191"/>
      <c r="KLR28" s="191"/>
      <c r="KLS28" s="191"/>
      <c r="KLT28" s="191"/>
      <c r="KLV28" s="191"/>
      <c r="KLW28" s="191"/>
      <c r="KLX28" s="191"/>
      <c r="KLZ28" s="191"/>
      <c r="KMA28" s="191"/>
      <c r="KMB28" s="191"/>
      <c r="KMD28" s="191"/>
      <c r="KME28" s="191"/>
      <c r="KMF28" s="191"/>
      <c r="KMH28" s="191"/>
      <c r="KMI28" s="191"/>
      <c r="KMJ28" s="191"/>
      <c r="KML28" s="191"/>
      <c r="KMM28" s="191"/>
      <c r="KMN28" s="191"/>
      <c r="KMP28" s="191"/>
      <c r="KMQ28" s="191"/>
      <c r="KMR28" s="191"/>
      <c r="KMT28" s="191"/>
      <c r="KMU28" s="191"/>
      <c r="KMV28" s="191"/>
      <c r="KMX28" s="191"/>
      <c r="KMY28" s="191"/>
      <c r="KMZ28" s="191"/>
      <c r="KNB28" s="191"/>
      <c r="KNC28" s="191"/>
      <c r="KND28" s="191"/>
      <c r="KNF28" s="191"/>
      <c r="KNG28" s="191"/>
      <c r="KNH28" s="191"/>
      <c r="KNJ28" s="191"/>
      <c r="KNK28" s="191"/>
      <c r="KNL28" s="191"/>
      <c r="KNN28" s="191"/>
      <c r="KNO28" s="191"/>
      <c r="KNP28" s="191"/>
      <c r="KNR28" s="191"/>
      <c r="KNS28" s="191"/>
      <c r="KNT28" s="191"/>
      <c r="KNV28" s="191"/>
      <c r="KNW28" s="191"/>
      <c r="KNX28" s="191"/>
      <c r="KNZ28" s="191"/>
      <c r="KOA28" s="191"/>
      <c r="KOB28" s="191"/>
      <c r="KOD28" s="191"/>
      <c r="KOE28" s="191"/>
      <c r="KOF28" s="191"/>
      <c r="KOH28" s="191"/>
      <c r="KOI28" s="191"/>
      <c r="KOJ28" s="191"/>
      <c r="KOL28" s="191"/>
      <c r="KOM28" s="191"/>
      <c r="KON28" s="191"/>
      <c r="KOP28" s="191"/>
      <c r="KOQ28" s="191"/>
      <c r="KOR28" s="191"/>
      <c r="KOT28" s="191"/>
      <c r="KOU28" s="191"/>
      <c r="KOV28" s="191"/>
      <c r="KOX28" s="191"/>
      <c r="KOY28" s="191"/>
      <c r="KOZ28" s="191"/>
      <c r="KPB28" s="191"/>
      <c r="KPC28" s="191"/>
      <c r="KPD28" s="191"/>
      <c r="KPF28" s="191"/>
      <c r="KPG28" s="191"/>
      <c r="KPH28" s="191"/>
      <c r="KPJ28" s="191"/>
      <c r="KPK28" s="191"/>
      <c r="KPL28" s="191"/>
      <c r="KPN28" s="191"/>
      <c r="KPO28" s="191"/>
      <c r="KPP28" s="191"/>
      <c r="KPR28" s="191"/>
      <c r="KPS28" s="191"/>
      <c r="KPT28" s="191"/>
      <c r="KPV28" s="191"/>
      <c r="KPW28" s="191"/>
      <c r="KPX28" s="191"/>
      <c r="KPZ28" s="191"/>
      <c r="KQA28" s="191"/>
      <c r="KQB28" s="191"/>
      <c r="KQD28" s="191"/>
      <c r="KQE28" s="191"/>
      <c r="KQF28" s="191"/>
      <c r="KQH28" s="191"/>
      <c r="KQI28" s="191"/>
      <c r="KQJ28" s="191"/>
      <c r="KQL28" s="191"/>
      <c r="KQM28" s="191"/>
      <c r="KQN28" s="191"/>
      <c r="KQP28" s="191"/>
      <c r="KQQ28" s="191"/>
      <c r="KQR28" s="191"/>
      <c r="KQT28" s="191"/>
      <c r="KQU28" s="191"/>
      <c r="KQV28" s="191"/>
      <c r="KQX28" s="191"/>
      <c r="KQY28" s="191"/>
      <c r="KQZ28" s="191"/>
      <c r="KRB28" s="191"/>
      <c r="KRC28" s="191"/>
      <c r="KRD28" s="191"/>
      <c r="KRF28" s="191"/>
      <c r="KRG28" s="191"/>
      <c r="KRH28" s="191"/>
      <c r="KRJ28" s="191"/>
      <c r="KRK28" s="191"/>
      <c r="KRL28" s="191"/>
      <c r="KRN28" s="191"/>
      <c r="KRO28" s="191"/>
      <c r="KRP28" s="191"/>
      <c r="KRR28" s="191"/>
      <c r="KRS28" s="191"/>
      <c r="KRT28" s="191"/>
      <c r="KRV28" s="191"/>
      <c r="KRW28" s="191"/>
      <c r="KRX28" s="191"/>
      <c r="KRZ28" s="191"/>
      <c r="KSA28" s="191"/>
      <c r="KSB28" s="191"/>
      <c r="KSD28" s="191"/>
      <c r="KSE28" s="191"/>
      <c r="KSF28" s="191"/>
      <c r="KSH28" s="191"/>
      <c r="KSI28" s="191"/>
      <c r="KSJ28" s="191"/>
      <c r="KSL28" s="191"/>
      <c r="KSM28" s="191"/>
      <c r="KSN28" s="191"/>
      <c r="KSP28" s="191"/>
      <c r="KSQ28" s="191"/>
      <c r="KSR28" s="191"/>
      <c r="KST28" s="191"/>
      <c r="KSU28" s="191"/>
      <c r="KSV28" s="191"/>
      <c r="KSX28" s="191"/>
      <c r="KSY28" s="191"/>
      <c r="KSZ28" s="191"/>
      <c r="KTB28" s="191"/>
      <c r="KTC28" s="191"/>
      <c r="KTD28" s="191"/>
      <c r="KTF28" s="191"/>
      <c r="KTG28" s="191"/>
      <c r="KTH28" s="191"/>
      <c r="KTJ28" s="191"/>
      <c r="KTK28" s="191"/>
      <c r="KTL28" s="191"/>
      <c r="KTN28" s="191"/>
      <c r="KTO28" s="191"/>
      <c r="KTP28" s="191"/>
      <c r="KTR28" s="191"/>
      <c r="KTS28" s="191"/>
      <c r="KTT28" s="191"/>
      <c r="KTV28" s="191"/>
      <c r="KTW28" s="191"/>
      <c r="KTX28" s="191"/>
      <c r="KTZ28" s="191"/>
      <c r="KUA28" s="191"/>
      <c r="KUB28" s="191"/>
      <c r="KUD28" s="191"/>
      <c r="KUE28" s="191"/>
      <c r="KUF28" s="191"/>
      <c r="KUH28" s="191"/>
      <c r="KUI28" s="191"/>
      <c r="KUJ28" s="191"/>
      <c r="KUL28" s="191"/>
      <c r="KUM28" s="191"/>
      <c r="KUN28" s="191"/>
      <c r="KUP28" s="191"/>
      <c r="KUQ28" s="191"/>
      <c r="KUR28" s="191"/>
      <c r="KUT28" s="191"/>
      <c r="KUU28" s="191"/>
      <c r="KUV28" s="191"/>
      <c r="KUX28" s="191"/>
      <c r="KUY28" s="191"/>
      <c r="KUZ28" s="191"/>
      <c r="KVB28" s="191"/>
      <c r="KVC28" s="191"/>
      <c r="KVD28" s="191"/>
      <c r="KVF28" s="191"/>
      <c r="KVG28" s="191"/>
      <c r="KVH28" s="191"/>
      <c r="KVJ28" s="191"/>
      <c r="KVK28" s="191"/>
      <c r="KVL28" s="191"/>
      <c r="KVN28" s="191"/>
      <c r="KVO28" s="191"/>
      <c r="KVP28" s="191"/>
      <c r="KVR28" s="191"/>
      <c r="KVS28" s="191"/>
      <c r="KVT28" s="191"/>
      <c r="KVV28" s="191"/>
      <c r="KVW28" s="191"/>
      <c r="KVX28" s="191"/>
      <c r="KVZ28" s="191"/>
      <c r="KWA28" s="191"/>
      <c r="KWB28" s="191"/>
      <c r="KWD28" s="191"/>
      <c r="KWE28" s="191"/>
      <c r="KWF28" s="191"/>
      <c r="KWH28" s="191"/>
      <c r="KWI28" s="191"/>
      <c r="KWJ28" s="191"/>
      <c r="KWL28" s="191"/>
      <c r="KWM28" s="191"/>
      <c r="KWN28" s="191"/>
      <c r="KWP28" s="191"/>
      <c r="KWQ28" s="191"/>
      <c r="KWR28" s="191"/>
      <c r="KWT28" s="191"/>
      <c r="KWU28" s="191"/>
      <c r="KWV28" s="191"/>
      <c r="KWX28" s="191"/>
      <c r="KWY28" s="191"/>
      <c r="KWZ28" s="191"/>
      <c r="KXB28" s="191"/>
      <c r="KXC28" s="191"/>
      <c r="KXD28" s="191"/>
      <c r="KXF28" s="191"/>
      <c r="KXG28" s="191"/>
      <c r="KXH28" s="191"/>
      <c r="KXJ28" s="191"/>
      <c r="KXK28" s="191"/>
      <c r="KXL28" s="191"/>
      <c r="KXN28" s="191"/>
      <c r="KXO28" s="191"/>
      <c r="KXP28" s="191"/>
      <c r="KXR28" s="191"/>
      <c r="KXS28" s="191"/>
      <c r="KXT28" s="191"/>
      <c r="KXV28" s="191"/>
      <c r="KXW28" s="191"/>
      <c r="KXX28" s="191"/>
      <c r="KXZ28" s="191"/>
      <c r="KYA28" s="191"/>
      <c r="KYB28" s="191"/>
      <c r="KYD28" s="191"/>
      <c r="KYE28" s="191"/>
      <c r="KYF28" s="191"/>
      <c r="KYH28" s="191"/>
      <c r="KYI28" s="191"/>
      <c r="KYJ28" s="191"/>
      <c r="KYL28" s="191"/>
      <c r="KYM28" s="191"/>
      <c r="KYN28" s="191"/>
      <c r="KYP28" s="191"/>
      <c r="KYQ28" s="191"/>
      <c r="KYR28" s="191"/>
      <c r="KYT28" s="191"/>
      <c r="KYU28" s="191"/>
      <c r="KYV28" s="191"/>
      <c r="KYX28" s="191"/>
      <c r="KYY28" s="191"/>
      <c r="KYZ28" s="191"/>
      <c r="KZB28" s="191"/>
      <c r="KZC28" s="191"/>
      <c r="KZD28" s="191"/>
      <c r="KZF28" s="191"/>
      <c r="KZG28" s="191"/>
      <c r="KZH28" s="191"/>
      <c r="KZJ28" s="191"/>
      <c r="KZK28" s="191"/>
      <c r="KZL28" s="191"/>
      <c r="KZN28" s="191"/>
      <c r="KZO28" s="191"/>
      <c r="KZP28" s="191"/>
      <c r="KZR28" s="191"/>
      <c r="KZS28" s="191"/>
      <c r="KZT28" s="191"/>
      <c r="KZV28" s="191"/>
      <c r="KZW28" s="191"/>
      <c r="KZX28" s="191"/>
      <c r="KZZ28" s="191"/>
      <c r="LAA28" s="191"/>
      <c r="LAB28" s="191"/>
      <c r="LAD28" s="191"/>
      <c r="LAE28" s="191"/>
      <c r="LAF28" s="191"/>
      <c r="LAH28" s="191"/>
      <c r="LAI28" s="191"/>
      <c r="LAJ28" s="191"/>
      <c r="LAL28" s="191"/>
      <c r="LAM28" s="191"/>
      <c r="LAN28" s="191"/>
      <c r="LAP28" s="191"/>
      <c r="LAQ28" s="191"/>
      <c r="LAR28" s="191"/>
      <c r="LAT28" s="191"/>
      <c r="LAU28" s="191"/>
      <c r="LAV28" s="191"/>
      <c r="LAX28" s="191"/>
      <c r="LAY28" s="191"/>
      <c r="LAZ28" s="191"/>
      <c r="LBB28" s="191"/>
      <c r="LBC28" s="191"/>
      <c r="LBD28" s="191"/>
      <c r="LBF28" s="191"/>
      <c r="LBG28" s="191"/>
      <c r="LBH28" s="191"/>
      <c r="LBJ28" s="191"/>
      <c r="LBK28" s="191"/>
      <c r="LBL28" s="191"/>
      <c r="LBN28" s="191"/>
      <c r="LBO28" s="191"/>
      <c r="LBP28" s="191"/>
      <c r="LBR28" s="191"/>
      <c r="LBS28" s="191"/>
      <c r="LBT28" s="191"/>
      <c r="LBV28" s="191"/>
      <c r="LBW28" s="191"/>
      <c r="LBX28" s="191"/>
      <c r="LBZ28" s="191"/>
      <c r="LCA28" s="191"/>
      <c r="LCB28" s="191"/>
      <c r="LCD28" s="191"/>
      <c r="LCE28" s="191"/>
      <c r="LCF28" s="191"/>
      <c r="LCH28" s="191"/>
      <c r="LCI28" s="191"/>
      <c r="LCJ28" s="191"/>
      <c r="LCL28" s="191"/>
      <c r="LCM28" s="191"/>
      <c r="LCN28" s="191"/>
      <c r="LCP28" s="191"/>
      <c r="LCQ28" s="191"/>
      <c r="LCR28" s="191"/>
      <c r="LCT28" s="191"/>
      <c r="LCU28" s="191"/>
      <c r="LCV28" s="191"/>
      <c r="LCX28" s="191"/>
      <c r="LCY28" s="191"/>
      <c r="LCZ28" s="191"/>
      <c r="LDB28" s="191"/>
      <c r="LDC28" s="191"/>
      <c r="LDD28" s="191"/>
      <c r="LDF28" s="191"/>
      <c r="LDG28" s="191"/>
      <c r="LDH28" s="191"/>
      <c r="LDJ28" s="191"/>
      <c r="LDK28" s="191"/>
      <c r="LDL28" s="191"/>
      <c r="LDN28" s="191"/>
      <c r="LDO28" s="191"/>
      <c r="LDP28" s="191"/>
      <c r="LDR28" s="191"/>
      <c r="LDS28" s="191"/>
      <c r="LDT28" s="191"/>
      <c r="LDV28" s="191"/>
      <c r="LDW28" s="191"/>
      <c r="LDX28" s="191"/>
      <c r="LDZ28" s="191"/>
      <c r="LEA28" s="191"/>
      <c r="LEB28" s="191"/>
      <c r="LED28" s="191"/>
      <c r="LEE28" s="191"/>
      <c r="LEF28" s="191"/>
      <c r="LEH28" s="191"/>
      <c r="LEI28" s="191"/>
      <c r="LEJ28" s="191"/>
      <c r="LEL28" s="191"/>
      <c r="LEM28" s="191"/>
      <c r="LEN28" s="191"/>
      <c r="LEP28" s="191"/>
      <c r="LEQ28" s="191"/>
      <c r="LER28" s="191"/>
      <c r="LET28" s="191"/>
      <c r="LEU28" s="191"/>
      <c r="LEV28" s="191"/>
      <c r="LEX28" s="191"/>
      <c r="LEY28" s="191"/>
      <c r="LEZ28" s="191"/>
      <c r="LFB28" s="191"/>
      <c r="LFC28" s="191"/>
      <c r="LFD28" s="191"/>
      <c r="LFF28" s="191"/>
      <c r="LFG28" s="191"/>
      <c r="LFH28" s="191"/>
      <c r="LFJ28" s="191"/>
      <c r="LFK28" s="191"/>
      <c r="LFL28" s="191"/>
      <c r="LFN28" s="191"/>
      <c r="LFO28" s="191"/>
      <c r="LFP28" s="191"/>
      <c r="LFR28" s="191"/>
      <c r="LFS28" s="191"/>
      <c r="LFT28" s="191"/>
      <c r="LFV28" s="191"/>
      <c r="LFW28" s="191"/>
      <c r="LFX28" s="191"/>
      <c r="LFZ28" s="191"/>
      <c r="LGA28" s="191"/>
      <c r="LGB28" s="191"/>
      <c r="LGD28" s="191"/>
      <c r="LGE28" s="191"/>
      <c r="LGF28" s="191"/>
      <c r="LGH28" s="191"/>
      <c r="LGI28" s="191"/>
      <c r="LGJ28" s="191"/>
      <c r="LGL28" s="191"/>
      <c r="LGM28" s="191"/>
      <c r="LGN28" s="191"/>
      <c r="LGP28" s="191"/>
      <c r="LGQ28" s="191"/>
      <c r="LGR28" s="191"/>
      <c r="LGT28" s="191"/>
      <c r="LGU28" s="191"/>
      <c r="LGV28" s="191"/>
      <c r="LGX28" s="191"/>
      <c r="LGY28" s="191"/>
      <c r="LGZ28" s="191"/>
      <c r="LHB28" s="191"/>
      <c r="LHC28" s="191"/>
      <c r="LHD28" s="191"/>
      <c r="LHF28" s="191"/>
      <c r="LHG28" s="191"/>
      <c r="LHH28" s="191"/>
      <c r="LHJ28" s="191"/>
      <c r="LHK28" s="191"/>
      <c r="LHL28" s="191"/>
      <c r="LHN28" s="191"/>
      <c r="LHO28" s="191"/>
      <c r="LHP28" s="191"/>
      <c r="LHR28" s="191"/>
      <c r="LHS28" s="191"/>
      <c r="LHT28" s="191"/>
      <c r="LHV28" s="191"/>
      <c r="LHW28" s="191"/>
      <c r="LHX28" s="191"/>
      <c r="LHZ28" s="191"/>
      <c r="LIA28" s="191"/>
      <c r="LIB28" s="191"/>
      <c r="LID28" s="191"/>
      <c r="LIE28" s="191"/>
      <c r="LIF28" s="191"/>
      <c r="LIH28" s="191"/>
      <c r="LII28" s="191"/>
      <c r="LIJ28" s="191"/>
      <c r="LIL28" s="191"/>
      <c r="LIM28" s="191"/>
      <c r="LIN28" s="191"/>
      <c r="LIP28" s="191"/>
      <c r="LIQ28" s="191"/>
      <c r="LIR28" s="191"/>
      <c r="LIT28" s="191"/>
      <c r="LIU28" s="191"/>
      <c r="LIV28" s="191"/>
      <c r="LIX28" s="191"/>
      <c r="LIY28" s="191"/>
      <c r="LIZ28" s="191"/>
      <c r="LJB28" s="191"/>
      <c r="LJC28" s="191"/>
      <c r="LJD28" s="191"/>
      <c r="LJF28" s="191"/>
      <c r="LJG28" s="191"/>
      <c r="LJH28" s="191"/>
      <c r="LJJ28" s="191"/>
      <c r="LJK28" s="191"/>
      <c r="LJL28" s="191"/>
      <c r="LJN28" s="191"/>
      <c r="LJO28" s="191"/>
      <c r="LJP28" s="191"/>
      <c r="LJR28" s="191"/>
      <c r="LJS28" s="191"/>
      <c r="LJT28" s="191"/>
      <c r="LJV28" s="191"/>
      <c r="LJW28" s="191"/>
      <c r="LJX28" s="191"/>
      <c r="LJZ28" s="191"/>
      <c r="LKA28" s="191"/>
      <c r="LKB28" s="191"/>
      <c r="LKD28" s="191"/>
      <c r="LKE28" s="191"/>
      <c r="LKF28" s="191"/>
      <c r="LKH28" s="191"/>
      <c r="LKI28" s="191"/>
      <c r="LKJ28" s="191"/>
      <c r="LKL28" s="191"/>
      <c r="LKM28" s="191"/>
      <c r="LKN28" s="191"/>
      <c r="LKP28" s="191"/>
      <c r="LKQ28" s="191"/>
      <c r="LKR28" s="191"/>
      <c r="LKT28" s="191"/>
      <c r="LKU28" s="191"/>
      <c r="LKV28" s="191"/>
      <c r="LKX28" s="191"/>
      <c r="LKY28" s="191"/>
      <c r="LKZ28" s="191"/>
      <c r="LLB28" s="191"/>
      <c r="LLC28" s="191"/>
      <c r="LLD28" s="191"/>
      <c r="LLF28" s="191"/>
      <c r="LLG28" s="191"/>
      <c r="LLH28" s="191"/>
      <c r="LLJ28" s="191"/>
      <c r="LLK28" s="191"/>
      <c r="LLL28" s="191"/>
      <c r="LLN28" s="191"/>
      <c r="LLO28" s="191"/>
      <c r="LLP28" s="191"/>
      <c r="LLR28" s="191"/>
      <c r="LLS28" s="191"/>
      <c r="LLT28" s="191"/>
      <c r="LLV28" s="191"/>
      <c r="LLW28" s="191"/>
      <c r="LLX28" s="191"/>
      <c r="LLZ28" s="191"/>
      <c r="LMA28" s="191"/>
      <c r="LMB28" s="191"/>
      <c r="LMD28" s="191"/>
      <c r="LME28" s="191"/>
      <c r="LMF28" s="191"/>
      <c r="LMH28" s="191"/>
      <c r="LMI28" s="191"/>
      <c r="LMJ28" s="191"/>
      <c r="LML28" s="191"/>
      <c r="LMM28" s="191"/>
      <c r="LMN28" s="191"/>
      <c r="LMP28" s="191"/>
      <c r="LMQ28" s="191"/>
      <c r="LMR28" s="191"/>
      <c r="LMT28" s="191"/>
      <c r="LMU28" s="191"/>
      <c r="LMV28" s="191"/>
      <c r="LMX28" s="191"/>
      <c r="LMY28" s="191"/>
      <c r="LMZ28" s="191"/>
      <c r="LNB28" s="191"/>
      <c r="LNC28" s="191"/>
      <c r="LND28" s="191"/>
      <c r="LNF28" s="191"/>
      <c r="LNG28" s="191"/>
      <c r="LNH28" s="191"/>
      <c r="LNJ28" s="191"/>
      <c r="LNK28" s="191"/>
      <c r="LNL28" s="191"/>
      <c r="LNN28" s="191"/>
      <c r="LNO28" s="191"/>
      <c r="LNP28" s="191"/>
      <c r="LNR28" s="191"/>
      <c r="LNS28" s="191"/>
      <c r="LNT28" s="191"/>
      <c r="LNV28" s="191"/>
      <c r="LNW28" s="191"/>
      <c r="LNX28" s="191"/>
      <c r="LNZ28" s="191"/>
      <c r="LOA28" s="191"/>
      <c r="LOB28" s="191"/>
      <c r="LOD28" s="191"/>
      <c r="LOE28" s="191"/>
      <c r="LOF28" s="191"/>
      <c r="LOH28" s="191"/>
      <c r="LOI28" s="191"/>
      <c r="LOJ28" s="191"/>
      <c r="LOL28" s="191"/>
      <c r="LOM28" s="191"/>
      <c r="LON28" s="191"/>
      <c r="LOP28" s="191"/>
      <c r="LOQ28" s="191"/>
      <c r="LOR28" s="191"/>
      <c r="LOT28" s="191"/>
      <c r="LOU28" s="191"/>
      <c r="LOV28" s="191"/>
      <c r="LOX28" s="191"/>
      <c r="LOY28" s="191"/>
      <c r="LOZ28" s="191"/>
      <c r="LPB28" s="191"/>
      <c r="LPC28" s="191"/>
      <c r="LPD28" s="191"/>
      <c r="LPF28" s="191"/>
      <c r="LPG28" s="191"/>
      <c r="LPH28" s="191"/>
      <c r="LPJ28" s="191"/>
      <c r="LPK28" s="191"/>
      <c r="LPL28" s="191"/>
      <c r="LPN28" s="191"/>
      <c r="LPO28" s="191"/>
      <c r="LPP28" s="191"/>
      <c r="LPR28" s="191"/>
      <c r="LPS28" s="191"/>
      <c r="LPT28" s="191"/>
      <c r="LPV28" s="191"/>
      <c r="LPW28" s="191"/>
      <c r="LPX28" s="191"/>
      <c r="LPZ28" s="191"/>
      <c r="LQA28" s="191"/>
      <c r="LQB28" s="191"/>
      <c r="LQD28" s="191"/>
      <c r="LQE28" s="191"/>
      <c r="LQF28" s="191"/>
      <c r="LQH28" s="191"/>
      <c r="LQI28" s="191"/>
      <c r="LQJ28" s="191"/>
      <c r="LQL28" s="191"/>
      <c r="LQM28" s="191"/>
      <c r="LQN28" s="191"/>
      <c r="LQP28" s="191"/>
      <c r="LQQ28" s="191"/>
      <c r="LQR28" s="191"/>
      <c r="LQT28" s="191"/>
      <c r="LQU28" s="191"/>
      <c r="LQV28" s="191"/>
      <c r="LQX28" s="191"/>
      <c r="LQY28" s="191"/>
      <c r="LQZ28" s="191"/>
      <c r="LRB28" s="191"/>
      <c r="LRC28" s="191"/>
      <c r="LRD28" s="191"/>
      <c r="LRF28" s="191"/>
      <c r="LRG28" s="191"/>
      <c r="LRH28" s="191"/>
      <c r="LRJ28" s="191"/>
      <c r="LRK28" s="191"/>
      <c r="LRL28" s="191"/>
      <c r="LRN28" s="191"/>
      <c r="LRO28" s="191"/>
      <c r="LRP28" s="191"/>
      <c r="LRR28" s="191"/>
      <c r="LRS28" s="191"/>
      <c r="LRT28" s="191"/>
      <c r="LRV28" s="191"/>
      <c r="LRW28" s="191"/>
      <c r="LRX28" s="191"/>
      <c r="LRZ28" s="191"/>
      <c r="LSA28" s="191"/>
      <c r="LSB28" s="191"/>
      <c r="LSD28" s="191"/>
      <c r="LSE28" s="191"/>
      <c r="LSF28" s="191"/>
      <c r="LSH28" s="191"/>
      <c r="LSI28" s="191"/>
      <c r="LSJ28" s="191"/>
      <c r="LSL28" s="191"/>
      <c r="LSM28" s="191"/>
      <c r="LSN28" s="191"/>
      <c r="LSP28" s="191"/>
      <c r="LSQ28" s="191"/>
      <c r="LSR28" s="191"/>
      <c r="LST28" s="191"/>
      <c r="LSU28" s="191"/>
      <c r="LSV28" s="191"/>
      <c r="LSX28" s="191"/>
      <c r="LSY28" s="191"/>
      <c r="LSZ28" s="191"/>
      <c r="LTB28" s="191"/>
      <c r="LTC28" s="191"/>
      <c r="LTD28" s="191"/>
      <c r="LTF28" s="191"/>
      <c r="LTG28" s="191"/>
      <c r="LTH28" s="191"/>
      <c r="LTJ28" s="191"/>
      <c r="LTK28" s="191"/>
      <c r="LTL28" s="191"/>
      <c r="LTN28" s="191"/>
      <c r="LTO28" s="191"/>
      <c r="LTP28" s="191"/>
      <c r="LTR28" s="191"/>
      <c r="LTS28" s="191"/>
      <c r="LTT28" s="191"/>
      <c r="LTV28" s="191"/>
      <c r="LTW28" s="191"/>
      <c r="LTX28" s="191"/>
      <c r="LTZ28" s="191"/>
      <c r="LUA28" s="191"/>
      <c r="LUB28" s="191"/>
      <c r="LUD28" s="191"/>
      <c r="LUE28" s="191"/>
      <c r="LUF28" s="191"/>
      <c r="LUH28" s="191"/>
      <c r="LUI28" s="191"/>
      <c r="LUJ28" s="191"/>
      <c r="LUL28" s="191"/>
      <c r="LUM28" s="191"/>
      <c r="LUN28" s="191"/>
      <c r="LUP28" s="191"/>
      <c r="LUQ28" s="191"/>
      <c r="LUR28" s="191"/>
      <c r="LUT28" s="191"/>
      <c r="LUU28" s="191"/>
      <c r="LUV28" s="191"/>
      <c r="LUX28" s="191"/>
      <c r="LUY28" s="191"/>
      <c r="LUZ28" s="191"/>
      <c r="LVB28" s="191"/>
      <c r="LVC28" s="191"/>
      <c r="LVD28" s="191"/>
      <c r="LVF28" s="191"/>
      <c r="LVG28" s="191"/>
      <c r="LVH28" s="191"/>
      <c r="LVJ28" s="191"/>
      <c r="LVK28" s="191"/>
      <c r="LVL28" s="191"/>
      <c r="LVN28" s="191"/>
      <c r="LVO28" s="191"/>
      <c r="LVP28" s="191"/>
      <c r="LVR28" s="191"/>
      <c r="LVS28" s="191"/>
      <c r="LVT28" s="191"/>
      <c r="LVV28" s="191"/>
      <c r="LVW28" s="191"/>
      <c r="LVX28" s="191"/>
      <c r="LVZ28" s="191"/>
      <c r="LWA28" s="191"/>
      <c r="LWB28" s="191"/>
      <c r="LWD28" s="191"/>
      <c r="LWE28" s="191"/>
      <c r="LWF28" s="191"/>
      <c r="LWH28" s="191"/>
      <c r="LWI28" s="191"/>
      <c r="LWJ28" s="191"/>
      <c r="LWL28" s="191"/>
      <c r="LWM28" s="191"/>
      <c r="LWN28" s="191"/>
      <c r="LWP28" s="191"/>
      <c r="LWQ28" s="191"/>
      <c r="LWR28" s="191"/>
      <c r="LWT28" s="191"/>
      <c r="LWU28" s="191"/>
      <c r="LWV28" s="191"/>
      <c r="LWX28" s="191"/>
      <c r="LWY28" s="191"/>
      <c r="LWZ28" s="191"/>
      <c r="LXB28" s="191"/>
      <c r="LXC28" s="191"/>
      <c r="LXD28" s="191"/>
      <c r="LXF28" s="191"/>
      <c r="LXG28" s="191"/>
      <c r="LXH28" s="191"/>
      <c r="LXJ28" s="191"/>
      <c r="LXK28" s="191"/>
      <c r="LXL28" s="191"/>
      <c r="LXN28" s="191"/>
      <c r="LXO28" s="191"/>
      <c r="LXP28" s="191"/>
      <c r="LXR28" s="191"/>
      <c r="LXS28" s="191"/>
      <c r="LXT28" s="191"/>
      <c r="LXV28" s="191"/>
      <c r="LXW28" s="191"/>
      <c r="LXX28" s="191"/>
      <c r="LXZ28" s="191"/>
      <c r="LYA28" s="191"/>
      <c r="LYB28" s="191"/>
      <c r="LYD28" s="191"/>
      <c r="LYE28" s="191"/>
      <c r="LYF28" s="191"/>
      <c r="LYH28" s="191"/>
      <c r="LYI28" s="191"/>
      <c r="LYJ28" s="191"/>
      <c r="LYL28" s="191"/>
      <c r="LYM28" s="191"/>
      <c r="LYN28" s="191"/>
      <c r="LYP28" s="191"/>
      <c r="LYQ28" s="191"/>
      <c r="LYR28" s="191"/>
      <c r="LYT28" s="191"/>
      <c r="LYU28" s="191"/>
      <c r="LYV28" s="191"/>
      <c r="LYX28" s="191"/>
      <c r="LYY28" s="191"/>
      <c r="LYZ28" s="191"/>
      <c r="LZB28" s="191"/>
      <c r="LZC28" s="191"/>
      <c r="LZD28" s="191"/>
      <c r="LZF28" s="191"/>
      <c r="LZG28" s="191"/>
      <c r="LZH28" s="191"/>
      <c r="LZJ28" s="191"/>
      <c r="LZK28" s="191"/>
      <c r="LZL28" s="191"/>
      <c r="LZN28" s="191"/>
      <c r="LZO28" s="191"/>
      <c r="LZP28" s="191"/>
      <c r="LZR28" s="191"/>
      <c r="LZS28" s="191"/>
      <c r="LZT28" s="191"/>
      <c r="LZV28" s="191"/>
      <c r="LZW28" s="191"/>
      <c r="LZX28" s="191"/>
      <c r="LZZ28" s="191"/>
      <c r="MAA28" s="191"/>
      <c r="MAB28" s="191"/>
      <c r="MAD28" s="191"/>
      <c r="MAE28" s="191"/>
      <c r="MAF28" s="191"/>
      <c r="MAH28" s="191"/>
      <c r="MAI28" s="191"/>
      <c r="MAJ28" s="191"/>
      <c r="MAL28" s="191"/>
      <c r="MAM28" s="191"/>
      <c r="MAN28" s="191"/>
      <c r="MAP28" s="191"/>
      <c r="MAQ28" s="191"/>
      <c r="MAR28" s="191"/>
      <c r="MAT28" s="191"/>
      <c r="MAU28" s="191"/>
      <c r="MAV28" s="191"/>
      <c r="MAX28" s="191"/>
      <c r="MAY28" s="191"/>
      <c r="MAZ28" s="191"/>
      <c r="MBB28" s="191"/>
      <c r="MBC28" s="191"/>
      <c r="MBD28" s="191"/>
      <c r="MBF28" s="191"/>
      <c r="MBG28" s="191"/>
      <c r="MBH28" s="191"/>
      <c r="MBJ28" s="191"/>
      <c r="MBK28" s="191"/>
      <c r="MBL28" s="191"/>
      <c r="MBN28" s="191"/>
      <c r="MBO28" s="191"/>
      <c r="MBP28" s="191"/>
      <c r="MBR28" s="191"/>
      <c r="MBS28" s="191"/>
      <c r="MBT28" s="191"/>
      <c r="MBV28" s="191"/>
      <c r="MBW28" s="191"/>
      <c r="MBX28" s="191"/>
      <c r="MBZ28" s="191"/>
      <c r="MCA28" s="191"/>
      <c r="MCB28" s="191"/>
      <c r="MCD28" s="191"/>
      <c r="MCE28" s="191"/>
      <c r="MCF28" s="191"/>
      <c r="MCH28" s="191"/>
      <c r="MCI28" s="191"/>
      <c r="MCJ28" s="191"/>
      <c r="MCL28" s="191"/>
      <c r="MCM28" s="191"/>
      <c r="MCN28" s="191"/>
      <c r="MCP28" s="191"/>
      <c r="MCQ28" s="191"/>
      <c r="MCR28" s="191"/>
      <c r="MCT28" s="191"/>
      <c r="MCU28" s="191"/>
      <c r="MCV28" s="191"/>
      <c r="MCX28" s="191"/>
      <c r="MCY28" s="191"/>
      <c r="MCZ28" s="191"/>
      <c r="MDB28" s="191"/>
      <c r="MDC28" s="191"/>
      <c r="MDD28" s="191"/>
      <c r="MDF28" s="191"/>
      <c r="MDG28" s="191"/>
      <c r="MDH28" s="191"/>
      <c r="MDJ28" s="191"/>
      <c r="MDK28" s="191"/>
      <c r="MDL28" s="191"/>
      <c r="MDN28" s="191"/>
      <c r="MDO28" s="191"/>
      <c r="MDP28" s="191"/>
      <c r="MDR28" s="191"/>
      <c r="MDS28" s="191"/>
      <c r="MDT28" s="191"/>
      <c r="MDV28" s="191"/>
      <c r="MDW28" s="191"/>
      <c r="MDX28" s="191"/>
      <c r="MDZ28" s="191"/>
      <c r="MEA28" s="191"/>
      <c r="MEB28" s="191"/>
      <c r="MED28" s="191"/>
      <c r="MEE28" s="191"/>
      <c r="MEF28" s="191"/>
      <c r="MEH28" s="191"/>
      <c r="MEI28" s="191"/>
      <c r="MEJ28" s="191"/>
      <c r="MEL28" s="191"/>
      <c r="MEM28" s="191"/>
      <c r="MEN28" s="191"/>
      <c r="MEP28" s="191"/>
      <c r="MEQ28" s="191"/>
      <c r="MER28" s="191"/>
      <c r="MET28" s="191"/>
      <c r="MEU28" s="191"/>
      <c r="MEV28" s="191"/>
      <c r="MEX28" s="191"/>
      <c r="MEY28" s="191"/>
      <c r="MEZ28" s="191"/>
      <c r="MFB28" s="191"/>
      <c r="MFC28" s="191"/>
      <c r="MFD28" s="191"/>
      <c r="MFF28" s="191"/>
      <c r="MFG28" s="191"/>
      <c r="MFH28" s="191"/>
      <c r="MFJ28" s="191"/>
      <c r="MFK28" s="191"/>
      <c r="MFL28" s="191"/>
      <c r="MFN28" s="191"/>
      <c r="MFO28" s="191"/>
      <c r="MFP28" s="191"/>
      <c r="MFR28" s="191"/>
      <c r="MFS28" s="191"/>
      <c r="MFT28" s="191"/>
      <c r="MFV28" s="191"/>
      <c r="MFW28" s="191"/>
      <c r="MFX28" s="191"/>
      <c r="MFZ28" s="191"/>
      <c r="MGA28" s="191"/>
      <c r="MGB28" s="191"/>
      <c r="MGD28" s="191"/>
      <c r="MGE28" s="191"/>
      <c r="MGF28" s="191"/>
      <c r="MGH28" s="191"/>
      <c r="MGI28" s="191"/>
      <c r="MGJ28" s="191"/>
      <c r="MGL28" s="191"/>
      <c r="MGM28" s="191"/>
      <c r="MGN28" s="191"/>
      <c r="MGP28" s="191"/>
      <c r="MGQ28" s="191"/>
      <c r="MGR28" s="191"/>
      <c r="MGT28" s="191"/>
      <c r="MGU28" s="191"/>
      <c r="MGV28" s="191"/>
      <c r="MGX28" s="191"/>
      <c r="MGY28" s="191"/>
      <c r="MGZ28" s="191"/>
      <c r="MHB28" s="191"/>
      <c r="MHC28" s="191"/>
      <c r="MHD28" s="191"/>
      <c r="MHF28" s="191"/>
      <c r="MHG28" s="191"/>
      <c r="MHH28" s="191"/>
      <c r="MHJ28" s="191"/>
      <c r="MHK28" s="191"/>
      <c r="MHL28" s="191"/>
      <c r="MHN28" s="191"/>
      <c r="MHO28" s="191"/>
      <c r="MHP28" s="191"/>
      <c r="MHR28" s="191"/>
      <c r="MHS28" s="191"/>
      <c r="MHT28" s="191"/>
      <c r="MHV28" s="191"/>
      <c r="MHW28" s="191"/>
      <c r="MHX28" s="191"/>
      <c r="MHZ28" s="191"/>
      <c r="MIA28" s="191"/>
      <c r="MIB28" s="191"/>
      <c r="MID28" s="191"/>
      <c r="MIE28" s="191"/>
      <c r="MIF28" s="191"/>
      <c r="MIH28" s="191"/>
      <c r="MII28" s="191"/>
      <c r="MIJ28" s="191"/>
      <c r="MIL28" s="191"/>
      <c r="MIM28" s="191"/>
      <c r="MIN28" s="191"/>
      <c r="MIP28" s="191"/>
      <c r="MIQ28" s="191"/>
      <c r="MIR28" s="191"/>
      <c r="MIT28" s="191"/>
      <c r="MIU28" s="191"/>
      <c r="MIV28" s="191"/>
      <c r="MIX28" s="191"/>
      <c r="MIY28" s="191"/>
      <c r="MIZ28" s="191"/>
      <c r="MJB28" s="191"/>
      <c r="MJC28" s="191"/>
      <c r="MJD28" s="191"/>
      <c r="MJF28" s="191"/>
      <c r="MJG28" s="191"/>
      <c r="MJH28" s="191"/>
      <c r="MJJ28" s="191"/>
      <c r="MJK28" s="191"/>
      <c r="MJL28" s="191"/>
      <c r="MJN28" s="191"/>
      <c r="MJO28" s="191"/>
      <c r="MJP28" s="191"/>
      <c r="MJR28" s="191"/>
      <c r="MJS28" s="191"/>
      <c r="MJT28" s="191"/>
      <c r="MJV28" s="191"/>
      <c r="MJW28" s="191"/>
      <c r="MJX28" s="191"/>
      <c r="MJZ28" s="191"/>
      <c r="MKA28" s="191"/>
      <c r="MKB28" s="191"/>
      <c r="MKD28" s="191"/>
      <c r="MKE28" s="191"/>
      <c r="MKF28" s="191"/>
      <c r="MKH28" s="191"/>
      <c r="MKI28" s="191"/>
      <c r="MKJ28" s="191"/>
      <c r="MKL28" s="191"/>
      <c r="MKM28" s="191"/>
      <c r="MKN28" s="191"/>
      <c r="MKP28" s="191"/>
      <c r="MKQ28" s="191"/>
      <c r="MKR28" s="191"/>
      <c r="MKT28" s="191"/>
      <c r="MKU28" s="191"/>
      <c r="MKV28" s="191"/>
      <c r="MKX28" s="191"/>
      <c r="MKY28" s="191"/>
      <c r="MKZ28" s="191"/>
      <c r="MLB28" s="191"/>
      <c r="MLC28" s="191"/>
      <c r="MLD28" s="191"/>
      <c r="MLF28" s="191"/>
      <c r="MLG28" s="191"/>
      <c r="MLH28" s="191"/>
      <c r="MLJ28" s="191"/>
      <c r="MLK28" s="191"/>
      <c r="MLL28" s="191"/>
      <c r="MLN28" s="191"/>
      <c r="MLO28" s="191"/>
      <c r="MLP28" s="191"/>
      <c r="MLR28" s="191"/>
      <c r="MLS28" s="191"/>
      <c r="MLT28" s="191"/>
      <c r="MLV28" s="191"/>
      <c r="MLW28" s="191"/>
      <c r="MLX28" s="191"/>
      <c r="MLZ28" s="191"/>
      <c r="MMA28" s="191"/>
      <c r="MMB28" s="191"/>
      <c r="MMD28" s="191"/>
      <c r="MME28" s="191"/>
      <c r="MMF28" s="191"/>
      <c r="MMH28" s="191"/>
      <c r="MMI28" s="191"/>
      <c r="MMJ28" s="191"/>
      <c r="MML28" s="191"/>
      <c r="MMM28" s="191"/>
      <c r="MMN28" s="191"/>
      <c r="MMP28" s="191"/>
      <c r="MMQ28" s="191"/>
      <c r="MMR28" s="191"/>
      <c r="MMT28" s="191"/>
      <c r="MMU28" s="191"/>
      <c r="MMV28" s="191"/>
      <c r="MMX28" s="191"/>
      <c r="MMY28" s="191"/>
      <c r="MMZ28" s="191"/>
      <c r="MNB28" s="191"/>
      <c r="MNC28" s="191"/>
      <c r="MND28" s="191"/>
      <c r="MNF28" s="191"/>
      <c r="MNG28" s="191"/>
      <c r="MNH28" s="191"/>
      <c r="MNJ28" s="191"/>
      <c r="MNK28" s="191"/>
      <c r="MNL28" s="191"/>
      <c r="MNN28" s="191"/>
      <c r="MNO28" s="191"/>
      <c r="MNP28" s="191"/>
      <c r="MNR28" s="191"/>
      <c r="MNS28" s="191"/>
      <c r="MNT28" s="191"/>
      <c r="MNV28" s="191"/>
      <c r="MNW28" s="191"/>
      <c r="MNX28" s="191"/>
      <c r="MNZ28" s="191"/>
      <c r="MOA28" s="191"/>
      <c r="MOB28" s="191"/>
      <c r="MOD28" s="191"/>
      <c r="MOE28" s="191"/>
      <c r="MOF28" s="191"/>
      <c r="MOH28" s="191"/>
      <c r="MOI28" s="191"/>
      <c r="MOJ28" s="191"/>
      <c r="MOL28" s="191"/>
      <c r="MOM28" s="191"/>
      <c r="MON28" s="191"/>
      <c r="MOP28" s="191"/>
      <c r="MOQ28" s="191"/>
      <c r="MOR28" s="191"/>
      <c r="MOT28" s="191"/>
      <c r="MOU28" s="191"/>
      <c r="MOV28" s="191"/>
      <c r="MOX28" s="191"/>
      <c r="MOY28" s="191"/>
      <c r="MOZ28" s="191"/>
      <c r="MPB28" s="191"/>
      <c r="MPC28" s="191"/>
      <c r="MPD28" s="191"/>
      <c r="MPF28" s="191"/>
      <c r="MPG28" s="191"/>
      <c r="MPH28" s="191"/>
      <c r="MPJ28" s="191"/>
      <c r="MPK28" s="191"/>
      <c r="MPL28" s="191"/>
      <c r="MPN28" s="191"/>
      <c r="MPO28" s="191"/>
      <c r="MPP28" s="191"/>
      <c r="MPR28" s="191"/>
      <c r="MPS28" s="191"/>
      <c r="MPT28" s="191"/>
      <c r="MPV28" s="191"/>
      <c r="MPW28" s="191"/>
      <c r="MPX28" s="191"/>
      <c r="MPZ28" s="191"/>
      <c r="MQA28" s="191"/>
      <c r="MQB28" s="191"/>
      <c r="MQD28" s="191"/>
      <c r="MQE28" s="191"/>
      <c r="MQF28" s="191"/>
      <c r="MQH28" s="191"/>
      <c r="MQI28" s="191"/>
      <c r="MQJ28" s="191"/>
      <c r="MQL28" s="191"/>
      <c r="MQM28" s="191"/>
      <c r="MQN28" s="191"/>
      <c r="MQP28" s="191"/>
      <c r="MQQ28" s="191"/>
      <c r="MQR28" s="191"/>
      <c r="MQT28" s="191"/>
      <c r="MQU28" s="191"/>
      <c r="MQV28" s="191"/>
      <c r="MQX28" s="191"/>
      <c r="MQY28" s="191"/>
      <c r="MQZ28" s="191"/>
      <c r="MRB28" s="191"/>
      <c r="MRC28" s="191"/>
      <c r="MRD28" s="191"/>
      <c r="MRF28" s="191"/>
      <c r="MRG28" s="191"/>
      <c r="MRH28" s="191"/>
      <c r="MRJ28" s="191"/>
      <c r="MRK28" s="191"/>
      <c r="MRL28" s="191"/>
      <c r="MRN28" s="191"/>
      <c r="MRO28" s="191"/>
      <c r="MRP28" s="191"/>
      <c r="MRR28" s="191"/>
      <c r="MRS28" s="191"/>
      <c r="MRT28" s="191"/>
      <c r="MRV28" s="191"/>
      <c r="MRW28" s="191"/>
      <c r="MRX28" s="191"/>
      <c r="MRZ28" s="191"/>
      <c r="MSA28" s="191"/>
      <c r="MSB28" s="191"/>
      <c r="MSD28" s="191"/>
      <c r="MSE28" s="191"/>
      <c r="MSF28" s="191"/>
      <c r="MSH28" s="191"/>
      <c r="MSI28" s="191"/>
      <c r="MSJ28" s="191"/>
      <c r="MSL28" s="191"/>
      <c r="MSM28" s="191"/>
      <c r="MSN28" s="191"/>
      <c r="MSP28" s="191"/>
      <c r="MSQ28" s="191"/>
      <c r="MSR28" s="191"/>
      <c r="MST28" s="191"/>
      <c r="MSU28" s="191"/>
      <c r="MSV28" s="191"/>
      <c r="MSX28" s="191"/>
      <c r="MSY28" s="191"/>
      <c r="MSZ28" s="191"/>
      <c r="MTB28" s="191"/>
      <c r="MTC28" s="191"/>
      <c r="MTD28" s="191"/>
      <c r="MTF28" s="191"/>
      <c r="MTG28" s="191"/>
      <c r="MTH28" s="191"/>
      <c r="MTJ28" s="191"/>
      <c r="MTK28" s="191"/>
      <c r="MTL28" s="191"/>
      <c r="MTN28" s="191"/>
      <c r="MTO28" s="191"/>
      <c r="MTP28" s="191"/>
      <c r="MTR28" s="191"/>
      <c r="MTS28" s="191"/>
      <c r="MTT28" s="191"/>
      <c r="MTV28" s="191"/>
      <c r="MTW28" s="191"/>
      <c r="MTX28" s="191"/>
      <c r="MTZ28" s="191"/>
      <c r="MUA28" s="191"/>
      <c r="MUB28" s="191"/>
      <c r="MUD28" s="191"/>
      <c r="MUE28" s="191"/>
      <c r="MUF28" s="191"/>
      <c r="MUH28" s="191"/>
      <c r="MUI28" s="191"/>
      <c r="MUJ28" s="191"/>
      <c r="MUL28" s="191"/>
      <c r="MUM28" s="191"/>
      <c r="MUN28" s="191"/>
      <c r="MUP28" s="191"/>
      <c r="MUQ28" s="191"/>
      <c r="MUR28" s="191"/>
      <c r="MUT28" s="191"/>
      <c r="MUU28" s="191"/>
      <c r="MUV28" s="191"/>
      <c r="MUX28" s="191"/>
      <c r="MUY28" s="191"/>
      <c r="MUZ28" s="191"/>
      <c r="MVB28" s="191"/>
      <c r="MVC28" s="191"/>
      <c r="MVD28" s="191"/>
      <c r="MVF28" s="191"/>
      <c r="MVG28" s="191"/>
      <c r="MVH28" s="191"/>
      <c r="MVJ28" s="191"/>
      <c r="MVK28" s="191"/>
      <c r="MVL28" s="191"/>
      <c r="MVN28" s="191"/>
      <c r="MVO28" s="191"/>
      <c r="MVP28" s="191"/>
      <c r="MVR28" s="191"/>
      <c r="MVS28" s="191"/>
      <c r="MVT28" s="191"/>
      <c r="MVV28" s="191"/>
      <c r="MVW28" s="191"/>
      <c r="MVX28" s="191"/>
      <c r="MVZ28" s="191"/>
      <c r="MWA28" s="191"/>
      <c r="MWB28" s="191"/>
      <c r="MWD28" s="191"/>
      <c r="MWE28" s="191"/>
      <c r="MWF28" s="191"/>
      <c r="MWH28" s="191"/>
      <c r="MWI28" s="191"/>
      <c r="MWJ28" s="191"/>
      <c r="MWL28" s="191"/>
      <c r="MWM28" s="191"/>
      <c r="MWN28" s="191"/>
      <c r="MWP28" s="191"/>
      <c r="MWQ28" s="191"/>
      <c r="MWR28" s="191"/>
      <c r="MWT28" s="191"/>
      <c r="MWU28" s="191"/>
      <c r="MWV28" s="191"/>
      <c r="MWX28" s="191"/>
      <c r="MWY28" s="191"/>
      <c r="MWZ28" s="191"/>
      <c r="MXB28" s="191"/>
      <c r="MXC28" s="191"/>
      <c r="MXD28" s="191"/>
      <c r="MXF28" s="191"/>
      <c r="MXG28" s="191"/>
      <c r="MXH28" s="191"/>
      <c r="MXJ28" s="191"/>
      <c r="MXK28" s="191"/>
      <c r="MXL28" s="191"/>
      <c r="MXN28" s="191"/>
      <c r="MXO28" s="191"/>
      <c r="MXP28" s="191"/>
      <c r="MXR28" s="191"/>
      <c r="MXS28" s="191"/>
      <c r="MXT28" s="191"/>
      <c r="MXV28" s="191"/>
      <c r="MXW28" s="191"/>
      <c r="MXX28" s="191"/>
      <c r="MXZ28" s="191"/>
      <c r="MYA28" s="191"/>
      <c r="MYB28" s="191"/>
      <c r="MYD28" s="191"/>
      <c r="MYE28" s="191"/>
      <c r="MYF28" s="191"/>
      <c r="MYH28" s="191"/>
      <c r="MYI28" s="191"/>
      <c r="MYJ28" s="191"/>
      <c r="MYL28" s="191"/>
      <c r="MYM28" s="191"/>
      <c r="MYN28" s="191"/>
      <c r="MYP28" s="191"/>
      <c r="MYQ28" s="191"/>
      <c r="MYR28" s="191"/>
      <c r="MYT28" s="191"/>
      <c r="MYU28" s="191"/>
      <c r="MYV28" s="191"/>
      <c r="MYX28" s="191"/>
      <c r="MYY28" s="191"/>
      <c r="MYZ28" s="191"/>
      <c r="MZB28" s="191"/>
      <c r="MZC28" s="191"/>
      <c r="MZD28" s="191"/>
      <c r="MZF28" s="191"/>
      <c r="MZG28" s="191"/>
      <c r="MZH28" s="191"/>
      <c r="MZJ28" s="191"/>
      <c r="MZK28" s="191"/>
      <c r="MZL28" s="191"/>
      <c r="MZN28" s="191"/>
      <c r="MZO28" s="191"/>
      <c r="MZP28" s="191"/>
      <c r="MZR28" s="191"/>
      <c r="MZS28" s="191"/>
      <c r="MZT28" s="191"/>
      <c r="MZV28" s="191"/>
      <c r="MZW28" s="191"/>
      <c r="MZX28" s="191"/>
      <c r="MZZ28" s="191"/>
      <c r="NAA28" s="191"/>
      <c r="NAB28" s="191"/>
      <c r="NAD28" s="191"/>
      <c r="NAE28" s="191"/>
      <c r="NAF28" s="191"/>
      <c r="NAH28" s="191"/>
      <c r="NAI28" s="191"/>
      <c r="NAJ28" s="191"/>
      <c r="NAL28" s="191"/>
      <c r="NAM28" s="191"/>
      <c r="NAN28" s="191"/>
      <c r="NAP28" s="191"/>
      <c r="NAQ28" s="191"/>
      <c r="NAR28" s="191"/>
      <c r="NAT28" s="191"/>
      <c r="NAU28" s="191"/>
      <c r="NAV28" s="191"/>
      <c r="NAX28" s="191"/>
      <c r="NAY28" s="191"/>
      <c r="NAZ28" s="191"/>
      <c r="NBB28" s="191"/>
      <c r="NBC28" s="191"/>
      <c r="NBD28" s="191"/>
      <c r="NBF28" s="191"/>
      <c r="NBG28" s="191"/>
      <c r="NBH28" s="191"/>
      <c r="NBJ28" s="191"/>
      <c r="NBK28" s="191"/>
      <c r="NBL28" s="191"/>
      <c r="NBN28" s="191"/>
      <c r="NBO28" s="191"/>
      <c r="NBP28" s="191"/>
      <c r="NBR28" s="191"/>
      <c r="NBS28" s="191"/>
      <c r="NBT28" s="191"/>
      <c r="NBV28" s="191"/>
      <c r="NBW28" s="191"/>
      <c r="NBX28" s="191"/>
      <c r="NBZ28" s="191"/>
      <c r="NCA28" s="191"/>
      <c r="NCB28" s="191"/>
      <c r="NCD28" s="191"/>
      <c r="NCE28" s="191"/>
      <c r="NCF28" s="191"/>
      <c r="NCH28" s="191"/>
      <c r="NCI28" s="191"/>
      <c r="NCJ28" s="191"/>
      <c r="NCL28" s="191"/>
      <c r="NCM28" s="191"/>
      <c r="NCN28" s="191"/>
      <c r="NCP28" s="191"/>
      <c r="NCQ28" s="191"/>
      <c r="NCR28" s="191"/>
      <c r="NCT28" s="191"/>
      <c r="NCU28" s="191"/>
      <c r="NCV28" s="191"/>
      <c r="NCX28" s="191"/>
      <c r="NCY28" s="191"/>
      <c r="NCZ28" s="191"/>
      <c r="NDB28" s="191"/>
      <c r="NDC28" s="191"/>
      <c r="NDD28" s="191"/>
      <c r="NDF28" s="191"/>
      <c r="NDG28" s="191"/>
      <c r="NDH28" s="191"/>
      <c r="NDJ28" s="191"/>
      <c r="NDK28" s="191"/>
      <c r="NDL28" s="191"/>
      <c r="NDN28" s="191"/>
      <c r="NDO28" s="191"/>
      <c r="NDP28" s="191"/>
      <c r="NDR28" s="191"/>
      <c r="NDS28" s="191"/>
      <c r="NDT28" s="191"/>
      <c r="NDV28" s="191"/>
      <c r="NDW28" s="191"/>
      <c r="NDX28" s="191"/>
      <c r="NDZ28" s="191"/>
      <c r="NEA28" s="191"/>
      <c r="NEB28" s="191"/>
      <c r="NED28" s="191"/>
      <c r="NEE28" s="191"/>
      <c r="NEF28" s="191"/>
      <c r="NEH28" s="191"/>
      <c r="NEI28" s="191"/>
      <c r="NEJ28" s="191"/>
      <c r="NEL28" s="191"/>
      <c r="NEM28" s="191"/>
      <c r="NEN28" s="191"/>
      <c r="NEP28" s="191"/>
      <c r="NEQ28" s="191"/>
      <c r="NER28" s="191"/>
      <c r="NET28" s="191"/>
      <c r="NEU28" s="191"/>
      <c r="NEV28" s="191"/>
      <c r="NEX28" s="191"/>
      <c r="NEY28" s="191"/>
      <c r="NEZ28" s="191"/>
      <c r="NFB28" s="191"/>
      <c r="NFC28" s="191"/>
      <c r="NFD28" s="191"/>
      <c r="NFF28" s="191"/>
      <c r="NFG28" s="191"/>
      <c r="NFH28" s="191"/>
      <c r="NFJ28" s="191"/>
      <c r="NFK28" s="191"/>
      <c r="NFL28" s="191"/>
      <c r="NFN28" s="191"/>
      <c r="NFO28" s="191"/>
      <c r="NFP28" s="191"/>
      <c r="NFR28" s="191"/>
      <c r="NFS28" s="191"/>
      <c r="NFT28" s="191"/>
      <c r="NFV28" s="191"/>
      <c r="NFW28" s="191"/>
      <c r="NFX28" s="191"/>
      <c r="NFZ28" s="191"/>
      <c r="NGA28" s="191"/>
      <c r="NGB28" s="191"/>
      <c r="NGD28" s="191"/>
      <c r="NGE28" s="191"/>
      <c r="NGF28" s="191"/>
      <c r="NGH28" s="191"/>
      <c r="NGI28" s="191"/>
      <c r="NGJ28" s="191"/>
      <c r="NGL28" s="191"/>
      <c r="NGM28" s="191"/>
      <c r="NGN28" s="191"/>
      <c r="NGP28" s="191"/>
      <c r="NGQ28" s="191"/>
      <c r="NGR28" s="191"/>
      <c r="NGT28" s="191"/>
      <c r="NGU28" s="191"/>
      <c r="NGV28" s="191"/>
      <c r="NGX28" s="191"/>
      <c r="NGY28" s="191"/>
      <c r="NGZ28" s="191"/>
      <c r="NHB28" s="191"/>
      <c r="NHC28" s="191"/>
      <c r="NHD28" s="191"/>
      <c r="NHF28" s="191"/>
      <c r="NHG28" s="191"/>
      <c r="NHH28" s="191"/>
      <c r="NHJ28" s="191"/>
      <c r="NHK28" s="191"/>
      <c r="NHL28" s="191"/>
      <c r="NHN28" s="191"/>
      <c r="NHO28" s="191"/>
      <c r="NHP28" s="191"/>
      <c r="NHR28" s="191"/>
      <c r="NHS28" s="191"/>
      <c r="NHT28" s="191"/>
      <c r="NHV28" s="191"/>
      <c r="NHW28" s="191"/>
      <c r="NHX28" s="191"/>
      <c r="NHZ28" s="191"/>
      <c r="NIA28" s="191"/>
      <c r="NIB28" s="191"/>
      <c r="NID28" s="191"/>
      <c r="NIE28" s="191"/>
      <c r="NIF28" s="191"/>
      <c r="NIH28" s="191"/>
      <c r="NII28" s="191"/>
      <c r="NIJ28" s="191"/>
      <c r="NIL28" s="191"/>
      <c r="NIM28" s="191"/>
      <c r="NIN28" s="191"/>
      <c r="NIP28" s="191"/>
      <c r="NIQ28" s="191"/>
      <c r="NIR28" s="191"/>
      <c r="NIT28" s="191"/>
      <c r="NIU28" s="191"/>
      <c r="NIV28" s="191"/>
      <c r="NIX28" s="191"/>
      <c r="NIY28" s="191"/>
      <c r="NIZ28" s="191"/>
      <c r="NJB28" s="191"/>
      <c r="NJC28" s="191"/>
      <c r="NJD28" s="191"/>
      <c r="NJF28" s="191"/>
      <c r="NJG28" s="191"/>
      <c r="NJH28" s="191"/>
      <c r="NJJ28" s="191"/>
      <c r="NJK28" s="191"/>
      <c r="NJL28" s="191"/>
      <c r="NJN28" s="191"/>
      <c r="NJO28" s="191"/>
      <c r="NJP28" s="191"/>
      <c r="NJR28" s="191"/>
      <c r="NJS28" s="191"/>
      <c r="NJT28" s="191"/>
      <c r="NJV28" s="191"/>
      <c r="NJW28" s="191"/>
      <c r="NJX28" s="191"/>
      <c r="NJZ28" s="191"/>
      <c r="NKA28" s="191"/>
      <c r="NKB28" s="191"/>
      <c r="NKD28" s="191"/>
      <c r="NKE28" s="191"/>
      <c r="NKF28" s="191"/>
      <c r="NKH28" s="191"/>
      <c r="NKI28" s="191"/>
      <c r="NKJ28" s="191"/>
      <c r="NKL28" s="191"/>
      <c r="NKM28" s="191"/>
      <c r="NKN28" s="191"/>
      <c r="NKP28" s="191"/>
      <c r="NKQ28" s="191"/>
      <c r="NKR28" s="191"/>
      <c r="NKT28" s="191"/>
      <c r="NKU28" s="191"/>
      <c r="NKV28" s="191"/>
      <c r="NKX28" s="191"/>
      <c r="NKY28" s="191"/>
      <c r="NKZ28" s="191"/>
      <c r="NLB28" s="191"/>
      <c r="NLC28" s="191"/>
      <c r="NLD28" s="191"/>
      <c r="NLF28" s="191"/>
      <c r="NLG28" s="191"/>
      <c r="NLH28" s="191"/>
      <c r="NLJ28" s="191"/>
      <c r="NLK28" s="191"/>
      <c r="NLL28" s="191"/>
      <c r="NLN28" s="191"/>
      <c r="NLO28" s="191"/>
      <c r="NLP28" s="191"/>
      <c r="NLR28" s="191"/>
      <c r="NLS28" s="191"/>
      <c r="NLT28" s="191"/>
      <c r="NLV28" s="191"/>
      <c r="NLW28" s="191"/>
      <c r="NLX28" s="191"/>
      <c r="NLZ28" s="191"/>
      <c r="NMA28" s="191"/>
      <c r="NMB28" s="191"/>
      <c r="NMD28" s="191"/>
      <c r="NME28" s="191"/>
      <c r="NMF28" s="191"/>
      <c r="NMH28" s="191"/>
      <c r="NMI28" s="191"/>
      <c r="NMJ28" s="191"/>
      <c r="NML28" s="191"/>
      <c r="NMM28" s="191"/>
      <c r="NMN28" s="191"/>
      <c r="NMP28" s="191"/>
      <c r="NMQ28" s="191"/>
      <c r="NMR28" s="191"/>
      <c r="NMT28" s="191"/>
      <c r="NMU28" s="191"/>
      <c r="NMV28" s="191"/>
      <c r="NMX28" s="191"/>
      <c r="NMY28" s="191"/>
      <c r="NMZ28" s="191"/>
      <c r="NNB28" s="191"/>
      <c r="NNC28" s="191"/>
      <c r="NND28" s="191"/>
      <c r="NNF28" s="191"/>
      <c r="NNG28" s="191"/>
      <c r="NNH28" s="191"/>
      <c r="NNJ28" s="191"/>
      <c r="NNK28" s="191"/>
      <c r="NNL28" s="191"/>
      <c r="NNN28" s="191"/>
      <c r="NNO28" s="191"/>
      <c r="NNP28" s="191"/>
      <c r="NNR28" s="191"/>
      <c r="NNS28" s="191"/>
      <c r="NNT28" s="191"/>
      <c r="NNV28" s="191"/>
      <c r="NNW28" s="191"/>
      <c r="NNX28" s="191"/>
      <c r="NNZ28" s="191"/>
      <c r="NOA28" s="191"/>
      <c r="NOB28" s="191"/>
      <c r="NOD28" s="191"/>
      <c r="NOE28" s="191"/>
      <c r="NOF28" s="191"/>
      <c r="NOH28" s="191"/>
      <c r="NOI28" s="191"/>
      <c r="NOJ28" s="191"/>
      <c r="NOL28" s="191"/>
      <c r="NOM28" s="191"/>
      <c r="NON28" s="191"/>
      <c r="NOP28" s="191"/>
      <c r="NOQ28" s="191"/>
      <c r="NOR28" s="191"/>
      <c r="NOT28" s="191"/>
      <c r="NOU28" s="191"/>
      <c r="NOV28" s="191"/>
      <c r="NOX28" s="191"/>
      <c r="NOY28" s="191"/>
      <c r="NOZ28" s="191"/>
      <c r="NPB28" s="191"/>
      <c r="NPC28" s="191"/>
      <c r="NPD28" s="191"/>
      <c r="NPF28" s="191"/>
      <c r="NPG28" s="191"/>
      <c r="NPH28" s="191"/>
      <c r="NPJ28" s="191"/>
      <c r="NPK28" s="191"/>
      <c r="NPL28" s="191"/>
      <c r="NPN28" s="191"/>
      <c r="NPO28" s="191"/>
      <c r="NPP28" s="191"/>
      <c r="NPR28" s="191"/>
      <c r="NPS28" s="191"/>
      <c r="NPT28" s="191"/>
      <c r="NPV28" s="191"/>
      <c r="NPW28" s="191"/>
      <c r="NPX28" s="191"/>
      <c r="NPZ28" s="191"/>
      <c r="NQA28" s="191"/>
      <c r="NQB28" s="191"/>
      <c r="NQD28" s="191"/>
      <c r="NQE28" s="191"/>
      <c r="NQF28" s="191"/>
      <c r="NQH28" s="191"/>
      <c r="NQI28" s="191"/>
      <c r="NQJ28" s="191"/>
      <c r="NQL28" s="191"/>
      <c r="NQM28" s="191"/>
      <c r="NQN28" s="191"/>
      <c r="NQP28" s="191"/>
      <c r="NQQ28" s="191"/>
      <c r="NQR28" s="191"/>
      <c r="NQT28" s="191"/>
      <c r="NQU28" s="191"/>
      <c r="NQV28" s="191"/>
      <c r="NQX28" s="191"/>
      <c r="NQY28" s="191"/>
      <c r="NQZ28" s="191"/>
      <c r="NRB28" s="191"/>
      <c r="NRC28" s="191"/>
      <c r="NRD28" s="191"/>
      <c r="NRF28" s="191"/>
      <c r="NRG28" s="191"/>
      <c r="NRH28" s="191"/>
      <c r="NRJ28" s="191"/>
      <c r="NRK28" s="191"/>
      <c r="NRL28" s="191"/>
      <c r="NRN28" s="191"/>
      <c r="NRO28" s="191"/>
      <c r="NRP28" s="191"/>
      <c r="NRR28" s="191"/>
      <c r="NRS28" s="191"/>
      <c r="NRT28" s="191"/>
      <c r="NRV28" s="191"/>
      <c r="NRW28" s="191"/>
      <c r="NRX28" s="191"/>
      <c r="NRZ28" s="191"/>
      <c r="NSA28" s="191"/>
      <c r="NSB28" s="191"/>
      <c r="NSD28" s="191"/>
      <c r="NSE28" s="191"/>
      <c r="NSF28" s="191"/>
      <c r="NSH28" s="191"/>
      <c r="NSI28" s="191"/>
      <c r="NSJ28" s="191"/>
      <c r="NSL28" s="191"/>
      <c r="NSM28" s="191"/>
      <c r="NSN28" s="191"/>
      <c r="NSP28" s="191"/>
      <c r="NSQ28" s="191"/>
      <c r="NSR28" s="191"/>
      <c r="NST28" s="191"/>
      <c r="NSU28" s="191"/>
      <c r="NSV28" s="191"/>
      <c r="NSX28" s="191"/>
      <c r="NSY28" s="191"/>
      <c r="NSZ28" s="191"/>
      <c r="NTB28" s="191"/>
      <c r="NTC28" s="191"/>
      <c r="NTD28" s="191"/>
      <c r="NTF28" s="191"/>
      <c r="NTG28" s="191"/>
      <c r="NTH28" s="191"/>
      <c r="NTJ28" s="191"/>
      <c r="NTK28" s="191"/>
      <c r="NTL28" s="191"/>
      <c r="NTN28" s="191"/>
      <c r="NTO28" s="191"/>
      <c r="NTP28" s="191"/>
      <c r="NTR28" s="191"/>
      <c r="NTS28" s="191"/>
      <c r="NTT28" s="191"/>
      <c r="NTV28" s="191"/>
      <c r="NTW28" s="191"/>
      <c r="NTX28" s="191"/>
      <c r="NTZ28" s="191"/>
      <c r="NUA28" s="191"/>
      <c r="NUB28" s="191"/>
      <c r="NUD28" s="191"/>
      <c r="NUE28" s="191"/>
      <c r="NUF28" s="191"/>
      <c r="NUH28" s="191"/>
      <c r="NUI28" s="191"/>
      <c r="NUJ28" s="191"/>
      <c r="NUL28" s="191"/>
      <c r="NUM28" s="191"/>
      <c r="NUN28" s="191"/>
      <c r="NUP28" s="191"/>
      <c r="NUQ28" s="191"/>
      <c r="NUR28" s="191"/>
      <c r="NUT28" s="191"/>
      <c r="NUU28" s="191"/>
      <c r="NUV28" s="191"/>
      <c r="NUX28" s="191"/>
      <c r="NUY28" s="191"/>
      <c r="NUZ28" s="191"/>
      <c r="NVB28" s="191"/>
      <c r="NVC28" s="191"/>
      <c r="NVD28" s="191"/>
      <c r="NVF28" s="191"/>
      <c r="NVG28" s="191"/>
      <c r="NVH28" s="191"/>
      <c r="NVJ28" s="191"/>
      <c r="NVK28" s="191"/>
      <c r="NVL28" s="191"/>
      <c r="NVN28" s="191"/>
      <c r="NVO28" s="191"/>
      <c r="NVP28" s="191"/>
      <c r="NVR28" s="191"/>
      <c r="NVS28" s="191"/>
      <c r="NVT28" s="191"/>
      <c r="NVV28" s="191"/>
      <c r="NVW28" s="191"/>
      <c r="NVX28" s="191"/>
      <c r="NVZ28" s="191"/>
      <c r="NWA28" s="191"/>
      <c r="NWB28" s="191"/>
      <c r="NWD28" s="191"/>
      <c r="NWE28" s="191"/>
      <c r="NWF28" s="191"/>
      <c r="NWH28" s="191"/>
      <c r="NWI28" s="191"/>
      <c r="NWJ28" s="191"/>
      <c r="NWL28" s="191"/>
      <c r="NWM28" s="191"/>
      <c r="NWN28" s="191"/>
      <c r="NWP28" s="191"/>
      <c r="NWQ28" s="191"/>
      <c r="NWR28" s="191"/>
      <c r="NWT28" s="191"/>
      <c r="NWU28" s="191"/>
      <c r="NWV28" s="191"/>
      <c r="NWX28" s="191"/>
      <c r="NWY28" s="191"/>
      <c r="NWZ28" s="191"/>
      <c r="NXB28" s="191"/>
      <c r="NXC28" s="191"/>
      <c r="NXD28" s="191"/>
      <c r="NXF28" s="191"/>
      <c r="NXG28" s="191"/>
      <c r="NXH28" s="191"/>
      <c r="NXJ28" s="191"/>
      <c r="NXK28" s="191"/>
      <c r="NXL28" s="191"/>
      <c r="NXN28" s="191"/>
      <c r="NXO28" s="191"/>
      <c r="NXP28" s="191"/>
      <c r="NXR28" s="191"/>
      <c r="NXS28" s="191"/>
      <c r="NXT28" s="191"/>
      <c r="NXV28" s="191"/>
      <c r="NXW28" s="191"/>
      <c r="NXX28" s="191"/>
      <c r="NXZ28" s="191"/>
      <c r="NYA28" s="191"/>
      <c r="NYB28" s="191"/>
      <c r="NYD28" s="191"/>
      <c r="NYE28" s="191"/>
      <c r="NYF28" s="191"/>
      <c r="NYH28" s="191"/>
      <c r="NYI28" s="191"/>
      <c r="NYJ28" s="191"/>
      <c r="NYL28" s="191"/>
      <c r="NYM28" s="191"/>
      <c r="NYN28" s="191"/>
      <c r="NYP28" s="191"/>
      <c r="NYQ28" s="191"/>
      <c r="NYR28" s="191"/>
      <c r="NYT28" s="191"/>
      <c r="NYU28" s="191"/>
      <c r="NYV28" s="191"/>
      <c r="NYX28" s="191"/>
      <c r="NYY28" s="191"/>
      <c r="NYZ28" s="191"/>
      <c r="NZB28" s="191"/>
      <c r="NZC28" s="191"/>
      <c r="NZD28" s="191"/>
      <c r="NZF28" s="191"/>
      <c r="NZG28" s="191"/>
      <c r="NZH28" s="191"/>
      <c r="NZJ28" s="191"/>
      <c r="NZK28" s="191"/>
      <c r="NZL28" s="191"/>
      <c r="NZN28" s="191"/>
      <c r="NZO28" s="191"/>
      <c r="NZP28" s="191"/>
      <c r="NZR28" s="191"/>
      <c r="NZS28" s="191"/>
      <c r="NZT28" s="191"/>
      <c r="NZV28" s="191"/>
      <c r="NZW28" s="191"/>
      <c r="NZX28" s="191"/>
      <c r="NZZ28" s="191"/>
      <c r="OAA28" s="191"/>
      <c r="OAB28" s="191"/>
      <c r="OAD28" s="191"/>
      <c r="OAE28" s="191"/>
      <c r="OAF28" s="191"/>
      <c r="OAH28" s="191"/>
      <c r="OAI28" s="191"/>
      <c r="OAJ28" s="191"/>
      <c r="OAL28" s="191"/>
      <c r="OAM28" s="191"/>
      <c r="OAN28" s="191"/>
      <c r="OAP28" s="191"/>
      <c r="OAQ28" s="191"/>
      <c r="OAR28" s="191"/>
      <c r="OAT28" s="191"/>
      <c r="OAU28" s="191"/>
      <c r="OAV28" s="191"/>
      <c r="OAX28" s="191"/>
      <c r="OAY28" s="191"/>
      <c r="OAZ28" s="191"/>
      <c r="OBB28" s="191"/>
      <c r="OBC28" s="191"/>
      <c r="OBD28" s="191"/>
      <c r="OBF28" s="191"/>
      <c r="OBG28" s="191"/>
      <c r="OBH28" s="191"/>
      <c r="OBJ28" s="191"/>
      <c r="OBK28" s="191"/>
      <c r="OBL28" s="191"/>
      <c r="OBN28" s="191"/>
      <c r="OBO28" s="191"/>
      <c r="OBP28" s="191"/>
      <c r="OBR28" s="191"/>
      <c r="OBS28" s="191"/>
      <c r="OBT28" s="191"/>
      <c r="OBV28" s="191"/>
      <c r="OBW28" s="191"/>
      <c r="OBX28" s="191"/>
      <c r="OBZ28" s="191"/>
      <c r="OCA28" s="191"/>
      <c r="OCB28" s="191"/>
      <c r="OCD28" s="191"/>
      <c r="OCE28" s="191"/>
      <c r="OCF28" s="191"/>
      <c r="OCH28" s="191"/>
      <c r="OCI28" s="191"/>
      <c r="OCJ28" s="191"/>
      <c r="OCL28" s="191"/>
      <c r="OCM28" s="191"/>
      <c r="OCN28" s="191"/>
      <c r="OCP28" s="191"/>
      <c r="OCQ28" s="191"/>
      <c r="OCR28" s="191"/>
      <c r="OCT28" s="191"/>
      <c r="OCU28" s="191"/>
      <c r="OCV28" s="191"/>
      <c r="OCX28" s="191"/>
      <c r="OCY28" s="191"/>
      <c r="OCZ28" s="191"/>
      <c r="ODB28" s="191"/>
      <c r="ODC28" s="191"/>
      <c r="ODD28" s="191"/>
      <c r="ODF28" s="191"/>
      <c r="ODG28" s="191"/>
      <c r="ODH28" s="191"/>
      <c r="ODJ28" s="191"/>
      <c r="ODK28" s="191"/>
      <c r="ODL28" s="191"/>
      <c r="ODN28" s="191"/>
      <c r="ODO28" s="191"/>
      <c r="ODP28" s="191"/>
      <c r="ODR28" s="191"/>
      <c r="ODS28" s="191"/>
      <c r="ODT28" s="191"/>
      <c r="ODV28" s="191"/>
      <c r="ODW28" s="191"/>
      <c r="ODX28" s="191"/>
      <c r="ODZ28" s="191"/>
      <c r="OEA28" s="191"/>
      <c r="OEB28" s="191"/>
      <c r="OED28" s="191"/>
      <c r="OEE28" s="191"/>
      <c r="OEF28" s="191"/>
      <c r="OEH28" s="191"/>
      <c r="OEI28" s="191"/>
      <c r="OEJ28" s="191"/>
      <c r="OEL28" s="191"/>
      <c r="OEM28" s="191"/>
      <c r="OEN28" s="191"/>
      <c r="OEP28" s="191"/>
      <c r="OEQ28" s="191"/>
      <c r="OER28" s="191"/>
      <c r="OET28" s="191"/>
      <c r="OEU28" s="191"/>
      <c r="OEV28" s="191"/>
      <c r="OEX28" s="191"/>
      <c r="OEY28" s="191"/>
      <c r="OEZ28" s="191"/>
      <c r="OFB28" s="191"/>
      <c r="OFC28" s="191"/>
      <c r="OFD28" s="191"/>
      <c r="OFF28" s="191"/>
      <c r="OFG28" s="191"/>
      <c r="OFH28" s="191"/>
      <c r="OFJ28" s="191"/>
      <c r="OFK28" s="191"/>
      <c r="OFL28" s="191"/>
      <c r="OFN28" s="191"/>
      <c r="OFO28" s="191"/>
      <c r="OFP28" s="191"/>
      <c r="OFR28" s="191"/>
      <c r="OFS28" s="191"/>
      <c r="OFT28" s="191"/>
      <c r="OFV28" s="191"/>
      <c r="OFW28" s="191"/>
      <c r="OFX28" s="191"/>
      <c r="OFZ28" s="191"/>
      <c r="OGA28" s="191"/>
      <c r="OGB28" s="191"/>
      <c r="OGD28" s="191"/>
      <c r="OGE28" s="191"/>
      <c r="OGF28" s="191"/>
      <c r="OGH28" s="191"/>
      <c r="OGI28" s="191"/>
      <c r="OGJ28" s="191"/>
      <c r="OGL28" s="191"/>
      <c r="OGM28" s="191"/>
      <c r="OGN28" s="191"/>
      <c r="OGP28" s="191"/>
      <c r="OGQ28" s="191"/>
      <c r="OGR28" s="191"/>
      <c r="OGT28" s="191"/>
      <c r="OGU28" s="191"/>
      <c r="OGV28" s="191"/>
      <c r="OGX28" s="191"/>
      <c r="OGY28" s="191"/>
      <c r="OGZ28" s="191"/>
      <c r="OHB28" s="191"/>
      <c r="OHC28" s="191"/>
      <c r="OHD28" s="191"/>
      <c r="OHF28" s="191"/>
      <c r="OHG28" s="191"/>
      <c r="OHH28" s="191"/>
      <c r="OHJ28" s="191"/>
      <c r="OHK28" s="191"/>
      <c r="OHL28" s="191"/>
      <c r="OHN28" s="191"/>
      <c r="OHO28" s="191"/>
      <c r="OHP28" s="191"/>
      <c r="OHR28" s="191"/>
      <c r="OHS28" s="191"/>
      <c r="OHT28" s="191"/>
      <c r="OHV28" s="191"/>
      <c r="OHW28" s="191"/>
      <c r="OHX28" s="191"/>
      <c r="OHZ28" s="191"/>
      <c r="OIA28" s="191"/>
      <c r="OIB28" s="191"/>
      <c r="OID28" s="191"/>
      <c r="OIE28" s="191"/>
      <c r="OIF28" s="191"/>
      <c r="OIH28" s="191"/>
      <c r="OII28" s="191"/>
      <c r="OIJ28" s="191"/>
      <c r="OIL28" s="191"/>
      <c r="OIM28" s="191"/>
      <c r="OIN28" s="191"/>
      <c r="OIP28" s="191"/>
      <c r="OIQ28" s="191"/>
      <c r="OIR28" s="191"/>
      <c r="OIT28" s="191"/>
      <c r="OIU28" s="191"/>
      <c r="OIV28" s="191"/>
      <c r="OIX28" s="191"/>
      <c r="OIY28" s="191"/>
      <c r="OIZ28" s="191"/>
      <c r="OJB28" s="191"/>
      <c r="OJC28" s="191"/>
      <c r="OJD28" s="191"/>
      <c r="OJF28" s="191"/>
      <c r="OJG28" s="191"/>
      <c r="OJH28" s="191"/>
      <c r="OJJ28" s="191"/>
      <c r="OJK28" s="191"/>
      <c r="OJL28" s="191"/>
      <c r="OJN28" s="191"/>
      <c r="OJO28" s="191"/>
      <c r="OJP28" s="191"/>
      <c r="OJR28" s="191"/>
      <c r="OJS28" s="191"/>
      <c r="OJT28" s="191"/>
      <c r="OJV28" s="191"/>
      <c r="OJW28" s="191"/>
      <c r="OJX28" s="191"/>
      <c r="OJZ28" s="191"/>
      <c r="OKA28" s="191"/>
      <c r="OKB28" s="191"/>
      <c r="OKD28" s="191"/>
      <c r="OKE28" s="191"/>
      <c r="OKF28" s="191"/>
      <c r="OKH28" s="191"/>
      <c r="OKI28" s="191"/>
      <c r="OKJ28" s="191"/>
      <c r="OKL28" s="191"/>
      <c r="OKM28" s="191"/>
      <c r="OKN28" s="191"/>
      <c r="OKP28" s="191"/>
      <c r="OKQ28" s="191"/>
      <c r="OKR28" s="191"/>
      <c r="OKT28" s="191"/>
      <c r="OKU28" s="191"/>
      <c r="OKV28" s="191"/>
      <c r="OKX28" s="191"/>
      <c r="OKY28" s="191"/>
      <c r="OKZ28" s="191"/>
      <c r="OLB28" s="191"/>
      <c r="OLC28" s="191"/>
      <c r="OLD28" s="191"/>
      <c r="OLF28" s="191"/>
      <c r="OLG28" s="191"/>
      <c r="OLH28" s="191"/>
      <c r="OLJ28" s="191"/>
      <c r="OLK28" s="191"/>
      <c r="OLL28" s="191"/>
      <c r="OLN28" s="191"/>
      <c r="OLO28" s="191"/>
      <c r="OLP28" s="191"/>
      <c r="OLR28" s="191"/>
      <c r="OLS28" s="191"/>
      <c r="OLT28" s="191"/>
      <c r="OLV28" s="191"/>
      <c r="OLW28" s="191"/>
      <c r="OLX28" s="191"/>
      <c r="OLZ28" s="191"/>
      <c r="OMA28" s="191"/>
      <c r="OMB28" s="191"/>
      <c r="OMD28" s="191"/>
      <c r="OME28" s="191"/>
      <c r="OMF28" s="191"/>
      <c r="OMH28" s="191"/>
      <c r="OMI28" s="191"/>
      <c r="OMJ28" s="191"/>
      <c r="OML28" s="191"/>
      <c r="OMM28" s="191"/>
      <c r="OMN28" s="191"/>
      <c r="OMP28" s="191"/>
      <c r="OMQ28" s="191"/>
      <c r="OMR28" s="191"/>
      <c r="OMT28" s="191"/>
      <c r="OMU28" s="191"/>
      <c r="OMV28" s="191"/>
      <c r="OMX28" s="191"/>
      <c r="OMY28" s="191"/>
      <c r="OMZ28" s="191"/>
      <c r="ONB28" s="191"/>
      <c r="ONC28" s="191"/>
      <c r="OND28" s="191"/>
      <c r="ONF28" s="191"/>
      <c r="ONG28" s="191"/>
      <c r="ONH28" s="191"/>
      <c r="ONJ28" s="191"/>
      <c r="ONK28" s="191"/>
      <c r="ONL28" s="191"/>
      <c r="ONN28" s="191"/>
      <c r="ONO28" s="191"/>
      <c r="ONP28" s="191"/>
      <c r="ONR28" s="191"/>
      <c r="ONS28" s="191"/>
      <c r="ONT28" s="191"/>
      <c r="ONV28" s="191"/>
      <c r="ONW28" s="191"/>
      <c r="ONX28" s="191"/>
      <c r="ONZ28" s="191"/>
      <c r="OOA28" s="191"/>
      <c r="OOB28" s="191"/>
      <c r="OOD28" s="191"/>
      <c r="OOE28" s="191"/>
      <c r="OOF28" s="191"/>
      <c r="OOH28" s="191"/>
      <c r="OOI28" s="191"/>
      <c r="OOJ28" s="191"/>
      <c r="OOL28" s="191"/>
      <c r="OOM28" s="191"/>
      <c r="OON28" s="191"/>
      <c r="OOP28" s="191"/>
      <c r="OOQ28" s="191"/>
      <c r="OOR28" s="191"/>
      <c r="OOT28" s="191"/>
      <c r="OOU28" s="191"/>
      <c r="OOV28" s="191"/>
      <c r="OOX28" s="191"/>
      <c r="OOY28" s="191"/>
      <c r="OOZ28" s="191"/>
      <c r="OPB28" s="191"/>
      <c r="OPC28" s="191"/>
      <c r="OPD28" s="191"/>
      <c r="OPF28" s="191"/>
      <c r="OPG28" s="191"/>
      <c r="OPH28" s="191"/>
      <c r="OPJ28" s="191"/>
      <c r="OPK28" s="191"/>
      <c r="OPL28" s="191"/>
      <c r="OPN28" s="191"/>
      <c r="OPO28" s="191"/>
      <c r="OPP28" s="191"/>
      <c r="OPR28" s="191"/>
      <c r="OPS28" s="191"/>
      <c r="OPT28" s="191"/>
      <c r="OPV28" s="191"/>
      <c r="OPW28" s="191"/>
      <c r="OPX28" s="191"/>
      <c r="OPZ28" s="191"/>
      <c r="OQA28" s="191"/>
      <c r="OQB28" s="191"/>
      <c r="OQD28" s="191"/>
      <c r="OQE28" s="191"/>
      <c r="OQF28" s="191"/>
      <c r="OQH28" s="191"/>
      <c r="OQI28" s="191"/>
      <c r="OQJ28" s="191"/>
      <c r="OQL28" s="191"/>
      <c r="OQM28" s="191"/>
      <c r="OQN28" s="191"/>
      <c r="OQP28" s="191"/>
      <c r="OQQ28" s="191"/>
      <c r="OQR28" s="191"/>
      <c r="OQT28" s="191"/>
      <c r="OQU28" s="191"/>
      <c r="OQV28" s="191"/>
      <c r="OQX28" s="191"/>
      <c r="OQY28" s="191"/>
      <c r="OQZ28" s="191"/>
      <c r="ORB28" s="191"/>
      <c r="ORC28" s="191"/>
      <c r="ORD28" s="191"/>
      <c r="ORF28" s="191"/>
      <c r="ORG28" s="191"/>
      <c r="ORH28" s="191"/>
      <c r="ORJ28" s="191"/>
      <c r="ORK28" s="191"/>
      <c r="ORL28" s="191"/>
      <c r="ORN28" s="191"/>
      <c r="ORO28" s="191"/>
      <c r="ORP28" s="191"/>
      <c r="ORR28" s="191"/>
      <c r="ORS28" s="191"/>
      <c r="ORT28" s="191"/>
      <c r="ORV28" s="191"/>
      <c r="ORW28" s="191"/>
      <c r="ORX28" s="191"/>
      <c r="ORZ28" s="191"/>
      <c r="OSA28" s="191"/>
      <c r="OSB28" s="191"/>
      <c r="OSD28" s="191"/>
      <c r="OSE28" s="191"/>
      <c r="OSF28" s="191"/>
      <c r="OSH28" s="191"/>
      <c r="OSI28" s="191"/>
      <c r="OSJ28" s="191"/>
      <c r="OSL28" s="191"/>
      <c r="OSM28" s="191"/>
      <c r="OSN28" s="191"/>
      <c r="OSP28" s="191"/>
      <c r="OSQ28" s="191"/>
      <c r="OSR28" s="191"/>
      <c r="OST28" s="191"/>
      <c r="OSU28" s="191"/>
      <c r="OSV28" s="191"/>
      <c r="OSX28" s="191"/>
      <c r="OSY28" s="191"/>
      <c r="OSZ28" s="191"/>
      <c r="OTB28" s="191"/>
      <c r="OTC28" s="191"/>
      <c r="OTD28" s="191"/>
      <c r="OTF28" s="191"/>
      <c r="OTG28" s="191"/>
      <c r="OTH28" s="191"/>
      <c r="OTJ28" s="191"/>
      <c r="OTK28" s="191"/>
      <c r="OTL28" s="191"/>
      <c r="OTN28" s="191"/>
      <c r="OTO28" s="191"/>
      <c r="OTP28" s="191"/>
      <c r="OTR28" s="191"/>
      <c r="OTS28" s="191"/>
      <c r="OTT28" s="191"/>
      <c r="OTV28" s="191"/>
      <c r="OTW28" s="191"/>
      <c r="OTX28" s="191"/>
      <c r="OTZ28" s="191"/>
      <c r="OUA28" s="191"/>
      <c r="OUB28" s="191"/>
      <c r="OUD28" s="191"/>
      <c r="OUE28" s="191"/>
      <c r="OUF28" s="191"/>
      <c r="OUH28" s="191"/>
      <c r="OUI28" s="191"/>
      <c r="OUJ28" s="191"/>
      <c r="OUL28" s="191"/>
      <c r="OUM28" s="191"/>
      <c r="OUN28" s="191"/>
      <c r="OUP28" s="191"/>
      <c r="OUQ28" s="191"/>
      <c r="OUR28" s="191"/>
      <c r="OUT28" s="191"/>
      <c r="OUU28" s="191"/>
      <c r="OUV28" s="191"/>
      <c r="OUX28" s="191"/>
      <c r="OUY28" s="191"/>
      <c r="OUZ28" s="191"/>
      <c r="OVB28" s="191"/>
      <c r="OVC28" s="191"/>
      <c r="OVD28" s="191"/>
      <c r="OVF28" s="191"/>
      <c r="OVG28" s="191"/>
      <c r="OVH28" s="191"/>
      <c r="OVJ28" s="191"/>
      <c r="OVK28" s="191"/>
      <c r="OVL28" s="191"/>
      <c r="OVN28" s="191"/>
      <c r="OVO28" s="191"/>
      <c r="OVP28" s="191"/>
      <c r="OVR28" s="191"/>
      <c r="OVS28" s="191"/>
      <c r="OVT28" s="191"/>
      <c r="OVV28" s="191"/>
      <c r="OVW28" s="191"/>
      <c r="OVX28" s="191"/>
      <c r="OVZ28" s="191"/>
      <c r="OWA28" s="191"/>
      <c r="OWB28" s="191"/>
      <c r="OWD28" s="191"/>
      <c r="OWE28" s="191"/>
      <c r="OWF28" s="191"/>
      <c r="OWH28" s="191"/>
      <c r="OWI28" s="191"/>
      <c r="OWJ28" s="191"/>
      <c r="OWL28" s="191"/>
      <c r="OWM28" s="191"/>
      <c r="OWN28" s="191"/>
      <c r="OWP28" s="191"/>
      <c r="OWQ28" s="191"/>
      <c r="OWR28" s="191"/>
      <c r="OWT28" s="191"/>
      <c r="OWU28" s="191"/>
      <c r="OWV28" s="191"/>
      <c r="OWX28" s="191"/>
      <c r="OWY28" s="191"/>
      <c r="OWZ28" s="191"/>
      <c r="OXB28" s="191"/>
      <c r="OXC28" s="191"/>
      <c r="OXD28" s="191"/>
      <c r="OXF28" s="191"/>
      <c r="OXG28" s="191"/>
      <c r="OXH28" s="191"/>
      <c r="OXJ28" s="191"/>
      <c r="OXK28" s="191"/>
      <c r="OXL28" s="191"/>
      <c r="OXN28" s="191"/>
      <c r="OXO28" s="191"/>
      <c r="OXP28" s="191"/>
      <c r="OXR28" s="191"/>
      <c r="OXS28" s="191"/>
      <c r="OXT28" s="191"/>
      <c r="OXV28" s="191"/>
      <c r="OXW28" s="191"/>
      <c r="OXX28" s="191"/>
      <c r="OXZ28" s="191"/>
      <c r="OYA28" s="191"/>
      <c r="OYB28" s="191"/>
      <c r="OYD28" s="191"/>
      <c r="OYE28" s="191"/>
      <c r="OYF28" s="191"/>
      <c r="OYH28" s="191"/>
      <c r="OYI28" s="191"/>
      <c r="OYJ28" s="191"/>
      <c r="OYL28" s="191"/>
      <c r="OYM28" s="191"/>
      <c r="OYN28" s="191"/>
      <c r="OYP28" s="191"/>
      <c r="OYQ28" s="191"/>
      <c r="OYR28" s="191"/>
      <c r="OYT28" s="191"/>
      <c r="OYU28" s="191"/>
      <c r="OYV28" s="191"/>
      <c r="OYX28" s="191"/>
      <c r="OYY28" s="191"/>
      <c r="OYZ28" s="191"/>
      <c r="OZB28" s="191"/>
      <c r="OZC28" s="191"/>
      <c r="OZD28" s="191"/>
      <c r="OZF28" s="191"/>
      <c r="OZG28" s="191"/>
      <c r="OZH28" s="191"/>
      <c r="OZJ28" s="191"/>
      <c r="OZK28" s="191"/>
      <c r="OZL28" s="191"/>
      <c r="OZN28" s="191"/>
      <c r="OZO28" s="191"/>
      <c r="OZP28" s="191"/>
      <c r="OZR28" s="191"/>
      <c r="OZS28" s="191"/>
      <c r="OZT28" s="191"/>
      <c r="OZV28" s="191"/>
      <c r="OZW28" s="191"/>
      <c r="OZX28" s="191"/>
      <c r="OZZ28" s="191"/>
      <c r="PAA28" s="191"/>
      <c r="PAB28" s="191"/>
      <c r="PAD28" s="191"/>
      <c r="PAE28" s="191"/>
      <c r="PAF28" s="191"/>
      <c r="PAH28" s="191"/>
      <c r="PAI28" s="191"/>
      <c r="PAJ28" s="191"/>
      <c r="PAL28" s="191"/>
      <c r="PAM28" s="191"/>
      <c r="PAN28" s="191"/>
      <c r="PAP28" s="191"/>
      <c r="PAQ28" s="191"/>
      <c r="PAR28" s="191"/>
      <c r="PAT28" s="191"/>
      <c r="PAU28" s="191"/>
      <c r="PAV28" s="191"/>
      <c r="PAX28" s="191"/>
      <c r="PAY28" s="191"/>
      <c r="PAZ28" s="191"/>
      <c r="PBB28" s="191"/>
      <c r="PBC28" s="191"/>
      <c r="PBD28" s="191"/>
      <c r="PBF28" s="191"/>
      <c r="PBG28" s="191"/>
      <c r="PBH28" s="191"/>
      <c r="PBJ28" s="191"/>
      <c r="PBK28" s="191"/>
      <c r="PBL28" s="191"/>
      <c r="PBN28" s="191"/>
      <c r="PBO28" s="191"/>
      <c r="PBP28" s="191"/>
      <c r="PBR28" s="191"/>
      <c r="PBS28" s="191"/>
      <c r="PBT28" s="191"/>
      <c r="PBV28" s="191"/>
      <c r="PBW28" s="191"/>
      <c r="PBX28" s="191"/>
      <c r="PBZ28" s="191"/>
      <c r="PCA28" s="191"/>
      <c r="PCB28" s="191"/>
      <c r="PCD28" s="191"/>
      <c r="PCE28" s="191"/>
      <c r="PCF28" s="191"/>
      <c r="PCH28" s="191"/>
      <c r="PCI28" s="191"/>
      <c r="PCJ28" s="191"/>
      <c r="PCL28" s="191"/>
      <c r="PCM28" s="191"/>
      <c r="PCN28" s="191"/>
      <c r="PCP28" s="191"/>
      <c r="PCQ28" s="191"/>
      <c r="PCR28" s="191"/>
      <c r="PCT28" s="191"/>
      <c r="PCU28" s="191"/>
      <c r="PCV28" s="191"/>
      <c r="PCX28" s="191"/>
      <c r="PCY28" s="191"/>
      <c r="PCZ28" s="191"/>
      <c r="PDB28" s="191"/>
      <c r="PDC28" s="191"/>
      <c r="PDD28" s="191"/>
      <c r="PDF28" s="191"/>
      <c r="PDG28" s="191"/>
      <c r="PDH28" s="191"/>
      <c r="PDJ28" s="191"/>
      <c r="PDK28" s="191"/>
      <c r="PDL28" s="191"/>
      <c r="PDN28" s="191"/>
      <c r="PDO28" s="191"/>
      <c r="PDP28" s="191"/>
      <c r="PDR28" s="191"/>
      <c r="PDS28" s="191"/>
      <c r="PDT28" s="191"/>
      <c r="PDV28" s="191"/>
      <c r="PDW28" s="191"/>
      <c r="PDX28" s="191"/>
      <c r="PDZ28" s="191"/>
      <c r="PEA28" s="191"/>
      <c r="PEB28" s="191"/>
      <c r="PED28" s="191"/>
      <c r="PEE28" s="191"/>
      <c r="PEF28" s="191"/>
      <c r="PEH28" s="191"/>
      <c r="PEI28" s="191"/>
      <c r="PEJ28" s="191"/>
      <c r="PEL28" s="191"/>
      <c r="PEM28" s="191"/>
      <c r="PEN28" s="191"/>
      <c r="PEP28" s="191"/>
      <c r="PEQ28" s="191"/>
      <c r="PER28" s="191"/>
      <c r="PET28" s="191"/>
      <c r="PEU28" s="191"/>
      <c r="PEV28" s="191"/>
      <c r="PEX28" s="191"/>
      <c r="PEY28" s="191"/>
      <c r="PEZ28" s="191"/>
      <c r="PFB28" s="191"/>
      <c r="PFC28" s="191"/>
      <c r="PFD28" s="191"/>
      <c r="PFF28" s="191"/>
      <c r="PFG28" s="191"/>
      <c r="PFH28" s="191"/>
      <c r="PFJ28" s="191"/>
      <c r="PFK28" s="191"/>
      <c r="PFL28" s="191"/>
      <c r="PFN28" s="191"/>
      <c r="PFO28" s="191"/>
      <c r="PFP28" s="191"/>
      <c r="PFR28" s="191"/>
      <c r="PFS28" s="191"/>
      <c r="PFT28" s="191"/>
      <c r="PFV28" s="191"/>
      <c r="PFW28" s="191"/>
      <c r="PFX28" s="191"/>
      <c r="PFZ28" s="191"/>
      <c r="PGA28" s="191"/>
      <c r="PGB28" s="191"/>
      <c r="PGD28" s="191"/>
      <c r="PGE28" s="191"/>
      <c r="PGF28" s="191"/>
      <c r="PGH28" s="191"/>
      <c r="PGI28" s="191"/>
      <c r="PGJ28" s="191"/>
      <c r="PGL28" s="191"/>
      <c r="PGM28" s="191"/>
      <c r="PGN28" s="191"/>
      <c r="PGP28" s="191"/>
      <c r="PGQ28" s="191"/>
      <c r="PGR28" s="191"/>
      <c r="PGT28" s="191"/>
      <c r="PGU28" s="191"/>
      <c r="PGV28" s="191"/>
      <c r="PGX28" s="191"/>
      <c r="PGY28" s="191"/>
      <c r="PGZ28" s="191"/>
      <c r="PHB28" s="191"/>
      <c r="PHC28" s="191"/>
      <c r="PHD28" s="191"/>
      <c r="PHF28" s="191"/>
      <c r="PHG28" s="191"/>
      <c r="PHH28" s="191"/>
      <c r="PHJ28" s="191"/>
      <c r="PHK28" s="191"/>
      <c r="PHL28" s="191"/>
      <c r="PHN28" s="191"/>
      <c r="PHO28" s="191"/>
      <c r="PHP28" s="191"/>
      <c r="PHR28" s="191"/>
      <c r="PHS28" s="191"/>
      <c r="PHT28" s="191"/>
      <c r="PHV28" s="191"/>
      <c r="PHW28" s="191"/>
      <c r="PHX28" s="191"/>
      <c r="PHZ28" s="191"/>
      <c r="PIA28" s="191"/>
      <c r="PIB28" s="191"/>
      <c r="PID28" s="191"/>
      <c r="PIE28" s="191"/>
      <c r="PIF28" s="191"/>
      <c r="PIH28" s="191"/>
      <c r="PII28" s="191"/>
      <c r="PIJ28" s="191"/>
      <c r="PIL28" s="191"/>
      <c r="PIM28" s="191"/>
      <c r="PIN28" s="191"/>
      <c r="PIP28" s="191"/>
      <c r="PIQ28" s="191"/>
      <c r="PIR28" s="191"/>
      <c r="PIT28" s="191"/>
      <c r="PIU28" s="191"/>
      <c r="PIV28" s="191"/>
      <c r="PIX28" s="191"/>
      <c r="PIY28" s="191"/>
      <c r="PIZ28" s="191"/>
      <c r="PJB28" s="191"/>
      <c r="PJC28" s="191"/>
      <c r="PJD28" s="191"/>
      <c r="PJF28" s="191"/>
      <c r="PJG28" s="191"/>
      <c r="PJH28" s="191"/>
      <c r="PJJ28" s="191"/>
      <c r="PJK28" s="191"/>
      <c r="PJL28" s="191"/>
      <c r="PJN28" s="191"/>
      <c r="PJO28" s="191"/>
      <c r="PJP28" s="191"/>
      <c r="PJR28" s="191"/>
      <c r="PJS28" s="191"/>
      <c r="PJT28" s="191"/>
      <c r="PJV28" s="191"/>
      <c r="PJW28" s="191"/>
      <c r="PJX28" s="191"/>
      <c r="PJZ28" s="191"/>
      <c r="PKA28" s="191"/>
      <c r="PKB28" s="191"/>
      <c r="PKD28" s="191"/>
      <c r="PKE28" s="191"/>
      <c r="PKF28" s="191"/>
      <c r="PKH28" s="191"/>
      <c r="PKI28" s="191"/>
      <c r="PKJ28" s="191"/>
      <c r="PKL28" s="191"/>
      <c r="PKM28" s="191"/>
      <c r="PKN28" s="191"/>
      <c r="PKP28" s="191"/>
      <c r="PKQ28" s="191"/>
      <c r="PKR28" s="191"/>
      <c r="PKT28" s="191"/>
      <c r="PKU28" s="191"/>
      <c r="PKV28" s="191"/>
      <c r="PKX28" s="191"/>
      <c r="PKY28" s="191"/>
      <c r="PKZ28" s="191"/>
      <c r="PLB28" s="191"/>
      <c r="PLC28" s="191"/>
      <c r="PLD28" s="191"/>
      <c r="PLF28" s="191"/>
      <c r="PLG28" s="191"/>
      <c r="PLH28" s="191"/>
      <c r="PLJ28" s="191"/>
      <c r="PLK28" s="191"/>
      <c r="PLL28" s="191"/>
      <c r="PLN28" s="191"/>
      <c r="PLO28" s="191"/>
      <c r="PLP28" s="191"/>
      <c r="PLR28" s="191"/>
      <c r="PLS28" s="191"/>
      <c r="PLT28" s="191"/>
      <c r="PLV28" s="191"/>
      <c r="PLW28" s="191"/>
      <c r="PLX28" s="191"/>
      <c r="PLZ28" s="191"/>
      <c r="PMA28" s="191"/>
      <c r="PMB28" s="191"/>
      <c r="PMD28" s="191"/>
      <c r="PME28" s="191"/>
      <c r="PMF28" s="191"/>
      <c r="PMH28" s="191"/>
      <c r="PMI28" s="191"/>
      <c r="PMJ28" s="191"/>
      <c r="PML28" s="191"/>
      <c r="PMM28" s="191"/>
      <c r="PMN28" s="191"/>
      <c r="PMP28" s="191"/>
      <c r="PMQ28" s="191"/>
      <c r="PMR28" s="191"/>
      <c r="PMT28" s="191"/>
      <c r="PMU28" s="191"/>
      <c r="PMV28" s="191"/>
      <c r="PMX28" s="191"/>
      <c r="PMY28" s="191"/>
      <c r="PMZ28" s="191"/>
      <c r="PNB28" s="191"/>
      <c r="PNC28" s="191"/>
      <c r="PND28" s="191"/>
      <c r="PNF28" s="191"/>
      <c r="PNG28" s="191"/>
      <c r="PNH28" s="191"/>
      <c r="PNJ28" s="191"/>
      <c r="PNK28" s="191"/>
      <c r="PNL28" s="191"/>
      <c r="PNN28" s="191"/>
      <c r="PNO28" s="191"/>
      <c r="PNP28" s="191"/>
      <c r="PNR28" s="191"/>
      <c r="PNS28" s="191"/>
      <c r="PNT28" s="191"/>
      <c r="PNV28" s="191"/>
      <c r="PNW28" s="191"/>
      <c r="PNX28" s="191"/>
      <c r="PNZ28" s="191"/>
      <c r="POA28" s="191"/>
      <c r="POB28" s="191"/>
      <c r="POD28" s="191"/>
      <c r="POE28" s="191"/>
      <c r="POF28" s="191"/>
      <c r="POH28" s="191"/>
      <c r="POI28" s="191"/>
      <c r="POJ28" s="191"/>
      <c r="POL28" s="191"/>
      <c r="POM28" s="191"/>
      <c r="PON28" s="191"/>
      <c r="POP28" s="191"/>
      <c r="POQ28" s="191"/>
      <c r="POR28" s="191"/>
      <c r="POT28" s="191"/>
      <c r="POU28" s="191"/>
      <c r="POV28" s="191"/>
      <c r="POX28" s="191"/>
      <c r="POY28" s="191"/>
      <c r="POZ28" s="191"/>
      <c r="PPB28" s="191"/>
      <c r="PPC28" s="191"/>
      <c r="PPD28" s="191"/>
      <c r="PPF28" s="191"/>
      <c r="PPG28" s="191"/>
      <c r="PPH28" s="191"/>
      <c r="PPJ28" s="191"/>
      <c r="PPK28" s="191"/>
      <c r="PPL28" s="191"/>
      <c r="PPN28" s="191"/>
      <c r="PPO28" s="191"/>
      <c r="PPP28" s="191"/>
      <c r="PPR28" s="191"/>
      <c r="PPS28" s="191"/>
      <c r="PPT28" s="191"/>
      <c r="PPV28" s="191"/>
      <c r="PPW28" s="191"/>
      <c r="PPX28" s="191"/>
      <c r="PPZ28" s="191"/>
      <c r="PQA28" s="191"/>
      <c r="PQB28" s="191"/>
      <c r="PQD28" s="191"/>
      <c r="PQE28" s="191"/>
      <c r="PQF28" s="191"/>
      <c r="PQH28" s="191"/>
      <c r="PQI28" s="191"/>
      <c r="PQJ28" s="191"/>
      <c r="PQL28" s="191"/>
      <c r="PQM28" s="191"/>
      <c r="PQN28" s="191"/>
      <c r="PQP28" s="191"/>
      <c r="PQQ28" s="191"/>
      <c r="PQR28" s="191"/>
      <c r="PQT28" s="191"/>
      <c r="PQU28" s="191"/>
      <c r="PQV28" s="191"/>
      <c r="PQX28" s="191"/>
      <c r="PQY28" s="191"/>
      <c r="PQZ28" s="191"/>
      <c r="PRB28" s="191"/>
      <c r="PRC28" s="191"/>
      <c r="PRD28" s="191"/>
      <c r="PRF28" s="191"/>
      <c r="PRG28" s="191"/>
      <c r="PRH28" s="191"/>
      <c r="PRJ28" s="191"/>
      <c r="PRK28" s="191"/>
      <c r="PRL28" s="191"/>
      <c r="PRN28" s="191"/>
      <c r="PRO28" s="191"/>
      <c r="PRP28" s="191"/>
      <c r="PRR28" s="191"/>
      <c r="PRS28" s="191"/>
      <c r="PRT28" s="191"/>
      <c r="PRV28" s="191"/>
      <c r="PRW28" s="191"/>
      <c r="PRX28" s="191"/>
      <c r="PRZ28" s="191"/>
      <c r="PSA28" s="191"/>
      <c r="PSB28" s="191"/>
      <c r="PSD28" s="191"/>
      <c r="PSE28" s="191"/>
      <c r="PSF28" s="191"/>
      <c r="PSH28" s="191"/>
      <c r="PSI28" s="191"/>
      <c r="PSJ28" s="191"/>
      <c r="PSL28" s="191"/>
      <c r="PSM28" s="191"/>
      <c r="PSN28" s="191"/>
      <c r="PSP28" s="191"/>
      <c r="PSQ28" s="191"/>
      <c r="PSR28" s="191"/>
      <c r="PST28" s="191"/>
      <c r="PSU28" s="191"/>
      <c r="PSV28" s="191"/>
      <c r="PSX28" s="191"/>
      <c r="PSY28" s="191"/>
      <c r="PSZ28" s="191"/>
      <c r="PTB28" s="191"/>
      <c r="PTC28" s="191"/>
      <c r="PTD28" s="191"/>
      <c r="PTF28" s="191"/>
      <c r="PTG28" s="191"/>
      <c r="PTH28" s="191"/>
      <c r="PTJ28" s="191"/>
      <c r="PTK28" s="191"/>
      <c r="PTL28" s="191"/>
      <c r="PTN28" s="191"/>
      <c r="PTO28" s="191"/>
      <c r="PTP28" s="191"/>
      <c r="PTR28" s="191"/>
      <c r="PTS28" s="191"/>
      <c r="PTT28" s="191"/>
      <c r="PTV28" s="191"/>
      <c r="PTW28" s="191"/>
      <c r="PTX28" s="191"/>
      <c r="PTZ28" s="191"/>
      <c r="PUA28" s="191"/>
      <c r="PUB28" s="191"/>
      <c r="PUD28" s="191"/>
      <c r="PUE28" s="191"/>
      <c r="PUF28" s="191"/>
      <c r="PUH28" s="191"/>
      <c r="PUI28" s="191"/>
      <c r="PUJ28" s="191"/>
      <c r="PUL28" s="191"/>
      <c r="PUM28" s="191"/>
      <c r="PUN28" s="191"/>
      <c r="PUP28" s="191"/>
      <c r="PUQ28" s="191"/>
      <c r="PUR28" s="191"/>
      <c r="PUT28" s="191"/>
      <c r="PUU28" s="191"/>
      <c r="PUV28" s="191"/>
      <c r="PUX28" s="191"/>
      <c r="PUY28" s="191"/>
      <c r="PUZ28" s="191"/>
      <c r="PVB28" s="191"/>
      <c r="PVC28" s="191"/>
      <c r="PVD28" s="191"/>
      <c r="PVF28" s="191"/>
      <c r="PVG28" s="191"/>
      <c r="PVH28" s="191"/>
      <c r="PVJ28" s="191"/>
      <c r="PVK28" s="191"/>
      <c r="PVL28" s="191"/>
      <c r="PVN28" s="191"/>
      <c r="PVO28" s="191"/>
      <c r="PVP28" s="191"/>
      <c r="PVR28" s="191"/>
      <c r="PVS28" s="191"/>
      <c r="PVT28" s="191"/>
      <c r="PVV28" s="191"/>
      <c r="PVW28" s="191"/>
      <c r="PVX28" s="191"/>
      <c r="PVZ28" s="191"/>
      <c r="PWA28" s="191"/>
      <c r="PWB28" s="191"/>
      <c r="PWD28" s="191"/>
      <c r="PWE28" s="191"/>
      <c r="PWF28" s="191"/>
      <c r="PWH28" s="191"/>
      <c r="PWI28" s="191"/>
      <c r="PWJ28" s="191"/>
      <c r="PWL28" s="191"/>
      <c r="PWM28" s="191"/>
      <c r="PWN28" s="191"/>
      <c r="PWP28" s="191"/>
      <c r="PWQ28" s="191"/>
      <c r="PWR28" s="191"/>
      <c r="PWT28" s="191"/>
      <c r="PWU28" s="191"/>
      <c r="PWV28" s="191"/>
      <c r="PWX28" s="191"/>
      <c r="PWY28" s="191"/>
      <c r="PWZ28" s="191"/>
      <c r="PXB28" s="191"/>
      <c r="PXC28" s="191"/>
      <c r="PXD28" s="191"/>
      <c r="PXF28" s="191"/>
      <c r="PXG28" s="191"/>
      <c r="PXH28" s="191"/>
      <c r="PXJ28" s="191"/>
      <c r="PXK28" s="191"/>
      <c r="PXL28" s="191"/>
      <c r="PXN28" s="191"/>
      <c r="PXO28" s="191"/>
      <c r="PXP28" s="191"/>
      <c r="PXR28" s="191"/>
      <c r="PXS28" s="191"/>
      <c r="PXT28" s="191"/>
      <c r="PXV28" s="191"/>
      <c r="PXW28" s="191"/>
      <c r="PXX28" s="191"/>
      <c r="PXZ28" s="191"/>
      <c r="PYA28" s="191"/>
      <c r="PYB28" s="191"/>
      <c r="PYD28" s="191"/>
      <c r="PYE28" s="191"/>
      <c r="PYF28" s="191"/>
      <c r="PYH28" s="191"/>
      <c r="PYI28" s="191"/>
      <c r="PYJ28" s="191"/>
      <c r="PYL28" s="191"/>
      <c r="PYM28" s="191"/>
      <c r="PYN28" s="191"/>
      <c r="PYP28" s="191"/>
      <c r="PYQ28" s="191"/>
      <c r="PYR28" s="191"/>
      <c r="PYT28" s="191"/>
      <c r="PYU28" s="191"/>
      <c r="PYV28" s="191"/>
      <c r="PYX28" s="191"/>
      <c r="PYY28" s="191"/>
      <c r="PYZ28" s="191"/>
      <c r="PZB28" s="191"/>
      <c r="PZC28" s="191"/>
      <c r="PZD28" s="191"/>
      <c r="PZF28" s="191"/>
      <c r="PZG28" s="191"/>
      <c r="PZH28" s="191"/>
      <c r="PZJ28" s="191"/>
      <c r="PZK28" s="191"/>
      <c r="PZL28" s="191"/>
      <c r="PZN28" s="191"/>
      <c r="PZO28" s="191"/>
      <c r="PZP28" s="191"/>
      <c r="PZR28" s="191"/>
      <c r="PZS28" s="191"/>
      <c r="PZT28" s="191"/>
      <c r="PZV28" s="191"/>
      <c r="PZW28" s="191"/>
      <c r="PZX28" s="191"/>
      <c r="PZZ28" s="191"/>
      <c r="QAA28" s="191"/>
      <c r="QAB28" s="191"/>
      <c r="QAD28" s="191"/>
      <c r="QAE28" s="191"/>
      <c r="QAF28" s="191"/>
      <c r="QAH28" s="191"/>
      <c r="QAI28" s="191"/>
      <c r="QAJ28" s="191"/>
      <c r="QAL28" s="191"/>
      <c r="QAM28" s="191"/>
      <c r="QAN28" s="191"/>
      <c r="QAP28" s="191"/>
      <c r="QAQ28" s="191"/>
      <c r="QAR28" s="191"/>
      <c r="QAT28" s="191"/>
      <c r="QAU28" s="191"/>
      <c r="QAV28" s="191"/>
      <c r="QAX28" s="191"/>
      <c r="QAY28" s="191"/>
      <c r="QAZ28" s="191"/>
      <c r="QBB28" s="191"/>
      <c r="QBC28" s="191"/>
      <c r="QBD28" s="191"/>
      <c r="QBF28" s="191"/>
      <c r="QBG28" s="191"/>
      <c r="QBH28" s="191"/>
      <c r="QBJ28" s="191"/>
      <c r="QBK28" s="191"/>
      <c r="QBL28" s="191"/>
      <c r="QBN28" s="191"/>
      <c r="QBO28" s="191"/>
      <c r="QBP28" s="191"/>
      <c r="QBR28" s="191"/>
      <c r="QBS28" s="191"/>
      <c r="QBT28" s="191"/>
      <c r="QBV28" s="191"/>
      <c r="QBW28" s="191"/>
      <c r="QBX28" s="191"/>
      <c r="QBZ28" s="191"/>
      <c r="QCA28" s="191"/>
      <c r="QCB28" s="191"/>
      <c r="QCD28" s="191"/>
      <c r="QCE28" s="191"/>
      <c r="QCF28" s="191"/>
      <c r="QCH28" s="191"/>
      <c r="QCI28" s="191"/>
      <c r="QCJ28" s="191"/>
      <c r="QCL28" s="191"/>
      <c r="QCM28" s="191"/>
      <c r="QCN28" s="191"/>
      <c r="QCP28" s="191"/>
      <c r="QCQ28" s="191"/>
      <c r="QCR28" s="191"/>
      <c r="QCT28" s="191"/>
      <c r="QCU28" s="191"/>
      <c r="QCV28" s="191"/>
      <c r="QCX28" s="191"/>
      <c r="QCY28" s="191"/>
      <c r="QCZ28" s="191"/>
      <c r="QDB28" s="191"/>
      <c r="QDC28" s="191"/>
      <c r="QDD28" s="191"/>
      <c r="QDF28" s="191"/>
      <c r="QDG28" s="191"/>
      <c r="QDH28" s="191"/>
      <c r="QDJ28" s="191"/>
      <c r="QDK28" s="191"/>
      <c r="QDL28" s="191"/>
      <c r="QDN28" s="191"/>
      <c r="QDO28" s="191"/>
      <c r="QDP28" s="191"/>
      <c r="QDR28" s="191"/>
      <c r="QDS28" s="191"/>
      <c r="QDT28" s="191"/>
      <c r="QDV28" s="191"/>
      <c r="QDW28" s="191"/>
      <c r="QDX28" s="191"/>
      <c r="QDZ28" s="191"/>
      <c r="QEA28" s="191"/>
      <c r="QEB28" s="191"/>
      <c r="QED28" s="191"/>
      <c r="QEE28" s="191"/>
      <c r="QEF28" s="191"/>
      <c r="QEH28" s="191"/>
      <c r="QEI28" s="191"/>
      <c r="QEJ28" s="191"/>
      <c r="QEL28" s="191"/>
      <c r="QEM28" s="191"/>
      <c r="QEN28" s="191"/>
      <c r="QEP28" s="191"/>
      <c r="QEQ28" s="191"/>
      <c r="QER28" s="191"/>
      <c r="QET28" s="191"/>
      <c r="QEU28" s="191"/>
      <c r="QEV28" s="191"/>
      <c r="QEX28" s="191"/>
      <c r="QEY28" s="191"/>
      <c r="QEZ28" s="191"/>
      <c r="QFB28" s="191"/>
      <c r="QFC28" s="191"/>
      <c r="QFD28" s="191"/>
      <c r="QFF28" s="191"/>
      <c r="QFG28" s="191"/>
      <c r="QFH28" s="191"/>
      <c r="QFJ28" s="191"/>
      <c r="QFK28" s="191"/>
      <c r="QFL28" s="191"/>
      <c r="QFN28" s="191"/>
      <c r="QFO28" s="191"/>
      <c r="QFP28" s="191"/>
      <c r="QFR28" s="191"/>
      <c r="QFS28" s="191"/>
      <c r="QFT28" s="191"/>
      <c r="QFV28" s="191"/>
      <c r="QFW28" s="191"/>
      <c r="QFX28" s="191"/>
      <c r="QFZ28" s="191"/>
      <c r="QGA28" s="191"/>
      <c r="QGB28" s="191"/>
      <c r="QGD28" s="191"/>
      <c r="QGE28" s="191"/>
      <c r="QGF28" s="191"/>
      <c r="QGH28" s="191"/>
      <c r="QGI28" s="191"/>
      <c r="QGJ28" s="191"/>
      <c r="QGL28" s="191"/>
      <c r="QGM28" s="191"/>
      <c r="QGN28" s="191"/>
      <c r="QGP28" s="191"/>
      <c r="QGQ28" s="191"/>
      <c r="QGR28" s="191"/>
      <c r="QGT28" s="191"/>
      <c r="QGU28" s="191"/>
      <c r="QGV28" s="191"/>
      <c r="QGX28" s="191"/>
      <c r="QGY28" s="191"/>
      <c r="QGZ28" s="191"/>
      <c r="QHB28" s="191"/>
      <c r="QHC28" s="191"/>
      <c r="QHD28" s="191"/>
      <c r="QHF28" s="191"/>
      <c r="QHG28" s="191"/>
      <c r="QHH28" s="191"/>
      <c r="QHJ28" s="191"/>
      <c r="QHK28" s="191"/>
      <c r="QHL28" s="191"/>
      <c r="QHN28" s="191"/>
      <c r="QHO28" s="191"/>
      <c r="QHP28" s="191"/>
      <c r="QHR28" s="191"/>
      <c r="QHS28" s="191"/>
      <c r="QHT28" s="191"/>
      <c r="QHV28" s="191"/>
      <c r="QHW28" s="191"/>
      <c r="QHX28" s="191"/>
      <c r="QHZ28" s="191"/>
      <c r="QIA28" s="191"/>
      <c r="QIB28" s="191"/>
      <c r="QID28" s="191"/>
      <c r="QIE28" s="191"/>
      <c r="QIF28" s="191"/>
      <c r="QIH28" s="191"/>
      <c r="QII28" s="191"/>
      <c r="QIJ28" s="191"/>
      <c r="QIL28" s="191"/>
      <c r="QIM28" s="191"/>
      <c r="QIN28" s="191"/>
      <c r="QIP28" s="191"/>
      <c r="QIQ28" s="191"/>
      <c r="QIR28" s="191"/>
      <c r="QIT28" s="191"/>
      <c r="QIU28" s="191"/>
      <c r="QIV28" s="191"/>
      <c r="QIX28" s="191"/>
      <c r="QIY28" s="191"/>
      <c r="QIZ28" s="191"/>
      <c r="QJB28" s="191"/>
      <c r="QJC28" s="191"/>
      <c r="QJD28" s="191"/>
      <c r="QJF28" s="191"/>
      <c r="QJG28" s="191"/>
      <c r="QJH28" s="191"/>
      <c r="QJJ28" s="191"/>
      <c r="QJK28" s="191"/>
      <c r="QJL28" s="191"/>
      <c r="QJN28" s="191"/>
      <c r="QJO28" s="191"/>
      <c r="QJP28" s="191"/>
      <c r="QJR28" s="191"/>
      <c r="QJS28" s="191"/>
      <c r="QJT28" s="191"/>
      <c r="QJV28" s="191"/>
      <c r="QJW28" s="191"/>
      <c r="QJX28" s="191"/>
      <c r="QJZ28" s="191"/>
      <c r="QKA28" s="191"/>
      <c r="QKB28" s="191"/>
      <c r="QKD28" s="191"/>
      <c r="QKE28" s="191"/>
      <c r="QKF28" s="191"/>
      <c r="QKH28" s="191"/>
      <c r="QKI28" s="191"/>
      <c r="QKJ28" s="191"/>
      <c r="QKL28" s="191"/>
      <c r="QKM28" s="191"/>
      <c r="QKN28" s="191"/>
      <c r="QKP28" s="191"/>
      <c r="QKQ28" s="191"/>
      <c r="QKR28" s="191"/>
      <c r="QKT28" s="191"/>
      <c r="QKU28" s="191"/>
      <c r="QKV28" s="191"/>
      <c r="QKX28" s="191"/>
      <c r="QKY28" s="191"/>
      <c r="QKZ28" s="191"/>
      <c r="QLB28" s="191"/>
      <c r="QLC28" s="191"/>
      <c r="QLD28" s="191"/>
      <c r="QLF28" s="191"/>
      <c r="QLG28" s="191"/>
      <c r="QLH28" s="191"/>
      <c r="QLJ28" s="191"/>
      <c r="QLK28" s="191"/>
      <c r="QLL28" s="191"/>
      <c r="QLN28" s="191"/>
      <c r="QLO28" s="191"/>
      <c r="QLP28" s="191"/>
      <c r="QLR28" s="191"/>
      <c r="QLS28" s="191"/>
      <c r="QLT28" s="191"/>
      <c r="QLV28" s="191"/>
      <c r="QLW28" s="191"/>
      <c r="QLX28" s="191"/>
      <c r="QLZ28" s="191"/>
      <c r="QMA28" s="191"/>
      <c r="QMB28" s="191"/>
      <c r="QMD28" s="191"/>
      <c r="QME28" s="191"/>
      <c r="QMF28" s="191"/>
      <c r="QMH28" s="191"/>
      <c r="QMI28" s="191"/>
      <c r="QMJ28" s="191"/>
      <c r="QML28" s="191"/>
      <c r="QMM28" s="191"/>
      <c r="QMN28" s="191"/>
      <c r="QMP28" s="191"/>
      <c r="QMQ28" s="191"/>
      <c r="QMR28" s="191"/>
      <c r="QMT28" s="191"/>
      <c r="QMU28" s="191"/>
      <c r="QMV28" s="191"/>
      <c r="QMX28" s="191"/>
      <c r="QMY28" s="191"/>
      <c r="QMZ28" s="191"/>
      <c r="QNB28" s="191"/>
      <c r="QNC28" s="191"/>
      <c r="QND28" s="191"/>
      <c r="QNF28" s="191"/>
      <c r="QNG28" s="191"/>
      <c r="QNH28" s="191"/>
      <c r="QNJ28" s="191"/>
      <c r="QNK28" s="191"/>
      <c r="QNL28" s="191"/>
      <c r="QNN28" s="191"/>
      <c r="QNO28" s="191"/>
      <c r="QNP28" s="191"/>
      <c r="QNR28" s="191"/>
      <c r="QNS28" s="191"/>
      <c r="QNT28" s="191"/>
      <c r="QNV28" s="191"/>
      <c r="QNW28" s="191"/>
      <c r="QNX28" s="191"/>
      <c r="QNZ28" s="191"/>
      <c r="QOA28" s="191"/>
      <c r="QOB28" s="191"/>
      <c r="QOD28" s="191"/>
      <c r="QOE28" s="191"/>
      <c r="QOF28" s="191"/>
      <c r="QOH28" s="191"/>
      <c r="QOI28" s="191"/>
      <c r="QOJ28" s="191"/>
      <c r="QOL28" s="191"/>
      <c r="QOM28" s="191"/>
      <c r="QON28" s="191"/>
      <c r="QOP28" s="191"/>
      <c r="QOQ28" s="191"/>
      <c r="QOR28" s="191"/>
      <c r="QOT28" s="191"/>
      <c r="QOU28" s="191"/>
      <c r="QOV28" s="191"/>
      <c r="QOX28" s="191"/>
      <c r="QOY28" s="191"/>
      <c r="QOZ28" s="191"/>
      <c r="QPB28" s="191"/>
      <c r="QPC28" s="191"/>
      <c r="QPD28" s="191"/>
      <c r="QPF28" s="191"/>
      <c r="QPG28" s="191"/>
      <c r="QPH28" s="191"/>
      <c r="QPJ28" s="191"/>
      <c r="QPK28" s="191"/>
      <c r="QPL28" s="191"/>
      <c r="QPN28" s="191"/>
      <c r="QPO28" s="191"/>
      <c r="QPP28" s="191"/>
      <c r="QPR28" s="191"/>
      <c r="QPS28" s="191"/>
      <c r="QPT28" s="191"/>
      <c r="QPV28" s="191"/>
      <c r="QPW28" s="191"/>
      <c r="QPX28" s="191"/>
      <c r="QPZ28" s="191"/>
      <c r="QQA28" s="191"/>
      <c r="QQB28" s="191"/>
      <c r="QQD28" s="191"/>
      <c r="QQE28" s="191"/>
      <c r="QQF28" s="191"/>
      <c r="QQH28" s="191"/>
      <c r="QQI28" s="191"/>
      <c r="QQJ28" s="191"/>
      <c r="QQL28" s="191"/>
      <c r="QQM28" s="191"/>
      <c r="QQN28" s="191"/>
      <c r="QQP28" s="191"/>
      <c r="QQQ28" s="191"/>
      <c r="QQR28" s="191"/>
      <c r="QQT28" s="191"/>
      <c r="QQU28" s="191"/>
      <c r="QQV28" s="191"/>
      <c r="QQX28" s="191"/>
      <c r="QQY28" s="191"/>
      <c r="QQZ28" s="191"/>
      <c r="QRB28" s="191"/>
      <c r="QRC28" s="191"/>
      <c r="QRD28" s="191"/>
      <c r="QRF28" s="191"/>
      <c r="QRG28" s="191"/>
      <c r="QRH28" s="191"/>
      <c r="QRJ28" s="191"/>
      <c r="QRK28" s="191"/>
      <c r="QRL28" s="191"/>
      <c r="QRN28" s="191"/>
      <c r="QRO28" s="191"/>
      <c r="QRP28" s="191"/>
      <c r="QRR28" s="191"/>
      <c r="QRS28" s="191"/>
      <c r="QRT28" s="191"/>
      <c r="QRV28" s="191"/>
      <c r="QRW28" s="191"/>
      <c r="QRX28" s="191"/>
      <c r="QRZ28" s="191"/>
      <c r="QSA28" s="191"/>
      <c r="QSB28" s="191"/>
      <c r="QSD28" s="191"/>
      <c r="QSE28" s="191"/>
      <c r="QSF28" s="191"/>
      <c r="QSH28" s="191"/>
      <c r="QSI28" s="191"/>
      <c r="QSJ28" s="191"/>
      <c r="QSL28" s="191"/>
      <c r="QSM28" s="191"/>
      <c r="QSN28" s="191"/>
      <c r="QSP28" s="191"/>
      <c r="QSQ28" s="191"/>
      <c r="QSR28" s="191"/>
      <c r="QST28" s="191"/>
      <c r="QSU28" s="191"/>
      <c r="QSV28" s="191"/>
      <c r="QSX28" s="191"/>
      <c r="QSY28" s="191"/>
      <c r="QSZ28" s="191"/>
      <c r="QTB28" s="191"/>
      <c r="QTC28" s="191"/>
      <c r="QTD28" s="191"/>
      <c r="QTF28" s="191"/>
      <c r="QTG28" s="191"/>
      <c r="QTH28" s="191"/>
      <c r="QTJ28" s="191"/>
      <c r="QTK28" s="191"/>
      <c r="QTL28" s="191"/>
      <c r="QTN28" s="191"/>
      <c r="QTO28" s="191"/>
      <c r="QTP28" s="191"/>
      <c r="QTR28" s="191"/>
      <c r="QTS28" s="191"/>
      <c r="QTT28" s="191"/>
      <c r="QTV28" s="191"/>
      <c r="QTW28" s="191"/>
      <c r="QTX28" s="191"/>
      <c r="QTZ28" s="191"/>
      <c r="QUA28" s="191"/>
      <c r="QUB28" s="191"/>
      <c r="QUD28" s="191"/>
      <c r="QUE28" s="191"/>
      <c r="QUF28" s="191"/>
      <c r="QUH28" s="191"/>
      <c r="QUI28" s="191"/>
      <c r="QUJ28" s="191"/>
      <c r="QUL28" s="191"/>
      <c r="QUM28" s="191"/>
      <c r="QUN28" s="191"/>
      <c r="QUP28" s="191"/>
      <c r="QUQ28" s="191"/>
      <c r="QUR28" s="191"/>
      <c r="QUT28" s="191"/>
      <c r="QUU28" s="191"/>
      <c r="QUV28" s="191"/>
      <c r="QUX28" s="191"/>
      <c r="QUY28" s="191"/>
      <c r="QUZ28" s="191"/>
      <c r="QVB28" s="191"/>
      <c r="QVC28" s="191"/>
      <c r="QVD28" s="191"/>
      <c r="QVF28" s="191"/>
      <c r="QVG28" s="191"/>
      <c r="QVH28" s="191"/>
      <c r="QVJ28" s="191"/>
      <c r="QVK28" s="191"/>
      <c r="QVL28" s="191"/>
      <c r="QVN28" s="191"/>
      <c r="QVO28" s="191"/>
      <c r="QVP28" s="191"/>
      <c r="QVR28" s="191"/>
      <c r="QVS28" s="191"/>
      <c r="QVT28" s="191"/>
      <c r="QVV28" s="191"/>
      <c r="QVW28" s="191"/>
      <c r="QVX28" s="191"/>
      <c r="QVZ28" s="191"/>
      <c r="QWA28" s="191"/>
      <c r="QWB28" s="191"/>
      <c r="QWD28" s="191"/>
      <c r="QWE28" s="191"/>
      <c r="QWF28" s="191"/>
      <c r="QWH28" s="191"/>
      <c r="QWI28" s="191"/>
      <c r="QWJ28" s="191"/>
      <c r="QWL28" s="191"/>
      <c r="QWM28" s="191"/>
      <c r="QWN28" s="191"/>
      <c r="QWP28" s="191"/>
      <c r="QWQ28" s="191"/>
      <c r="QWR28" s="191"/>
      <c r="QWT28" s="191"/>
      <c r="QWU28" s="191"/>
      <c r="QWV28" s="191"/>
      <c r="QWX28" s="191"/>
      <c r="QWY28" s="191"/>
      <c r="QWZ28" s="191"/>
      <c r="QXB28" s="191"/>
      <c r="QXC28" s="191"/>
      <c r="QXD28" s="191"/>
      <c r="QXF28" s="191"/>
      <c r="QXG28" s="191"/>
      <c r="QXH28" s="191"/>
      <c r="QXJ28" s="191"/>
      <c r="QXK28" s="191"/>
      <c r="QXL28" s="191"/>
      <c r="QXN28" s="191"/>
      <c r="QXO28" s="191"/>
      <c r="QXP28" s="191"/>
      <c r="QXR28" s="191"/>
      <c r="QXS28" s="191"/>
      <c r="QXT28" s="191"/>
      <c r="QXV28" s="191"/>
      <c r="QXW28" s="191"/>
      <c r="QXX28" s="191"/>
      <c r="QXZ28" s="191"/>
      <c r="QYA28" s="191"/>
      <c r="QYB28" s="191"/>
      <c r="QYD28" s="191"/>
      <c r="QYE28" s="191"/>
      <c r="QYF28" s="191"/>
      <c r="QYH28" s="191"/>
      <c r="QYI28" s="191"/>
      <c r="QYJ28" s="191"/>
      <c r="QYL28" s="191"/>
      <c r="QYM28" s="191"/>
      <c r="QYN28" s="191"/>
      <c r="QYP28" s="191"/>
      <c r="QYQ28" s="191"/>
      <c r="QYR28" s="191"/>
      <c r="QYT28" s="191"/>
      <c r="QYU28" s="191"/>
      <c r="QYV28" s="191"/>
      <c r="QYX28" s="191"/>
      <c r="QYY28" s="191"/>
      <c r="QYZ28" s="191"/>
      <c r="QZB28" s="191"/>
      <c r="QZC28" s="191"/>
      <c r="QZD28" s="191"/>
      <c r="QZF28" s="191"/>
      <c r="QZG28" s="191"/>
      <c r="QZH28" s="191"/>
      <c r="QZJ28" s="191"/>
      <c r="QZK28" s="191"/>
      <c r="QZL28" s="191"/>
      <c r="QZN28" s="191"/>
      <c r="QZO28" s="191"/>
      <c r="QZP28" s="191"/>
      <c r="QZR28" s="191"/>
      <c r="QZS28" s="191"/>
      <c r="QZT28" s="191"/>
      <c r="QZV28" s="191"/>
      <c r="QZW28" s="191"/>
      <c r="QZX28" s="191"/>
      <c r="QZZ28" s="191"/>
      <c r="RAA28" s="191"/>
      <c r="RAB28" s="191"/>
      <c r="RAD28" s="191"/>
      <c r="RAE28" s="191"/>
      <c r="RAF28" s="191"/>
      <c r="RAH28" s="191"/>
      <c r="RAI28" s="191"/>
      <c r="RAJ28" s="191"/>
      <c r="RAL28" s="191"/>
      <c r="RAM28" s="191"/>
      <c r="RAN28" s="191"/>
      <c r="RAP28" s="191"/>
      <c r="RAQ28" s="191"/>
      <c r="RAR28" s="191"/>
      <c r="RAT28" s="191"/>
      <c r="RAU28" s="191"/>
      <c r="RAV28" s="191"/>
      <c r="RAX28" s="191"/>
      <c r="RAY28" s="191"/>
      <c r="RAZ28" s="191"/>
      <c r="RBB28" s="191"/>
      <c r="RBC28" s="191"/>
      <c r="RBD28" s="191"/>
      <c r="RBF28" s="191"/>
      <c r="RBG28" s="191"/>
      <c r="RBH28" s="191"/>
      <c r="RBJ28" s="191"/>
      <c r="RBK28" s="191"/>
      <c r="RBL28" s="191"/>
      <c r="RBN28" s="191"/>
      <c r="RBO28" s="191"/>
      <c r="RBP28" s="191"/>
      <c r="RBR28" s="191"/>
      <c r="RBS28" s="191"/>
      <c r="RBT28" s="191"/>
      <c r="RBV28" s="191"/>
      <c r="RBW28" s="191"/>
      <c r="RBX28" s="191"/>
      <c r="RBZ28" s="191"/>
      <c r="RCA28" s="191"/>
      <c r="RCB28" s="191"/>
      <c r="RCD28" s="191"/>
      <c r="RCE28" s="191"/>
      <c r="RCF28" s="191"/>
      <c r="RCH28" s="191"/>
      <c r="RCI28" s="191"/>
      <c r="RCJ28" s="191"/>
      <c r="RCL28" s="191"/>
      <c r="RCM28" s="191"/>
      <c r="RCN28" s="191"/>
      <c r="RCP28" s="191"/>
      <c r="RCQ28" s="191"/>
      <c r="RCR28" s="191"/>
      <c r="RCT28" s="191"/>
      <c r="RCU28" s="191"/>
      <c r="RCV28" s="191"/>
      <c r="RCX28" s="191"/>
      <c r="RCY28" s="191"/>
      <c r="RCZ28" s="191"/>
      <c r="RDB28" s="191"/>
      <c r="RDC28" s="191"/>
      <c r="RDD28" s="191"/>
      <c r="RDF28" s="191"/>
      <c r="RDG28" s="191"/>
      <c r="RDH28" s="191"/>
      <c r="RDJ28" s="191"/>
      <c r="RDK28" s="191"/>
      <c r="RDL28" s="191"/>
      <c r="RDN28" s="191"/>
      <c r="RDO28" s="191"/>
      <c r="RDP28" s="191"/>
      <c r="RDR28" s="191"/>
      <c r="RDS28" s="191"/>
      <c r="RDT28" s="191"/>
      <c r="RDV28" s="191"/>
      <c r="RDW28" s="191"/>
      <c r="RDX28" s="191"/>
      <c r="RDZ28" s="191"/>
      <c r="REA28" s="191"/>
      <c r="REB28" s="191"/>
      <c r="RED28" s="191"/>
      <c r="REE28" s="191"/>
      <c r="REF28" s="191"/>
      <c r="REH28" s="191"/>
      <c r="REI28" s="191"/>
      <c r="REJ28" s="191"/>
      <c r="REL28" s="191"/>
      <c r="REM28" s="191"/>
      <c r="REN28" s="191"/>
      <c r="REP28" s="191"/>
      <c r="REQ28" s="191"/>
      <c r="RER28" s="191"/>
      <c r="RET28" s="191"/>
      <c r="REU28" s="191"/>
      <c r="REV28" s="191"/>
      <c r="REX28" s="191"/>
      <c r="REY28" s="191"/>
      <c r="REZ28" s="191"/>
      <c r="RFB28" s="191"/>
      <c r="RFC28" s="191"/>
      <c r="RFD28" s="191"/>
      <c r="RFF28" s="191"/>
      <c r="RFG28" s="191"/>
      <c r="RFH28" s="191"/>
      <c r="RFJ28" s="191"/>
      <c r="RFK28" s="191"/>
      <c r="RFL28" s="191"/>
      <c r="RFN28" s="191"/>
      <c r="RFO28" s="191"/>
      <c r="RFP28" s="191"/>
      <c r="RFR28" s="191"/>
      <c r="RFS28" s="191"/>
      <c r="RFT28" s="191"/>
      <c r="RFV28" s="191"/>
      <c r="RFW28" s="191"/>
      <c r="RFX28" s="191"/>
      <c r="RFZ28" s="191"/>
      <c r="RGA28" s="191"/>
      <c r="RGB28" s="191"/>
      <c r="RGD28" s="191"/>
      <c r="RGE28" s="191"/>
      <c r="RGF28" s="191"/>
      <c r="RGH28" s="191"/>
      <c r="RGI28" s="191"/>
      <c r="RGJ28" s="191"/>
      <c r="RGL28" s="191"/>
      <c r="RGM28" s="191"/>
      <c r="RGN28" s="191"/>
      <c r="RGP28" s="191"/>
      <c r="RGQ28" s="191"/>
      <c r="RGR28" s="191"/>
      <c r="RGT28" s="191"/>
      <c r="RGU28" s="191"/>
      <c r="RGV28" s="191"/>
      <c r="RGX28" s="191"/>
      <c r="RGY28" s="191"/>
      <c r="RGZ28" s="191"/>
      <c r="RHB28" s="191"/>
      <c r="RHC28" s="191"/>
      <c r="RHD28" s="191"/>
      <c r="RHF28" s="191"/>
      <c r="RHG28" s="191"/>
      <c r="RHH28" s="191"/>
      <c r="RHJ28" s="191"/>
      <c r="RHK28" s="191"/>
      <c r="RHL28" s="191"/>
      <c r="RHN28" s="191"/>
      <c r="RHO28" s="191"/>
      <c r="RHP28" s="191"/>
      <c r="RHR28" s="191"/>
      <c r="RHS28" s="191"/>
      <c r="RHT28" s="191"/>
      <c r="RHV28" s="191"/>
      <c r="RHW28" s="191"/>
      <c r="RHX28" s="191"/>
      <c r="RHZ28" s="191"/>
      <c r="RIA28" s="191"/>
      <c r="RIB28" s="191"/>
      <c r="RID28" s="191"/>
      <c r="RIE28" s="191"/>
      <c r="RIF28" s="191"/>
      <c r="RIH28" s="191"/>
      <c r="RII28" s="191"/>
      <c r="RIJ28" s="191"/>
      <c r="RIL28" s="191"/>
      <c r="RIM28" s="191"/>
      <c r="RIN28" s="191"/>
      <c r="RIP28" s="191"/>
      <c r="RIQ28" s="191"/>
      <c r="RIR28" s="191"/>
      <c r="RIT28" s="191"/>
      <c r="RIU28" s="191"/>
      <c r="RIV28" s="191"/>
      <c r="RIX28" s="191"/>
      <c r="RIY28" s="191"/>
      <c r="RIZ28" s="191"/>
      <c r="RJB28" s="191"/>
      <c r="RJC28" s="191"/>
      <c r="RJD28" s="191"/>
      <c r="RJF28" s="191"/>
      <c r="RJG28" s="191"/>
      <c r="RJH28" s="191"/>
      <c r="RJJ28" s="191"/>
      <c r="RJK28" s="191"/>
      <c r="RJL28" s="191"/>
      <c r="RJN28" s="191"/>
      <c r="RJO28" s="191"/>
      <c r="RJP28" s="191"/>
      <c r="RJR28" s="191"/>
      <c r="RJS28" s="191"/>
      <c r="RJT28" s="191"/>
      <c r="RJV28" s="191"/>
      <c r="RJW28" s="191"/>
      <c r="RJX28" s="191"/>
      <c r="RJZ28" s="191"/>
      <c r="RKA28" s="191"/>
      <c r="RKB28" s="191"/>
      <c r="RKD28" s="191"/>
      <c r="RKE28" s="191"/>
      <c r="RKF28" s="191"/>
      <c r="RKH28" s="191"/>
      <c r="RKI28" s="191"/>
      <c r="RKJ28" s="191"/>
      <c r="RKL28" s="191"/>
      <c r="RKM28" s="191"/>
      <c r="RKN28" s="191"/>
      <c r="RKP28" s="191"/>
      <c r="RKQ28" s="191"/>
      <c r="RKR28" s="191"/>
      <c r="RKT28" s="191"/>
      <c r="RKU28" s="191"/>
      <c r="RKV28" s="191"/>
      <c r="RKX28" s="191"/>
      <c r="RKY28" s="191"/>
      <c r="RKZ28" s="191"/>
      <c r="RLB28" s="191"/>
      <c r="RLC28" s="191"/>
      <c r="RLD28" s="191"/>
      <c r="RLF28" s="191"/>
      <c r="RLG28" s="191"/>
      <c r="RLH28" s="191"/>
      <c r="RLJ28" s="191"/>
      <c r="RLK28" s="191"/>
      <c r="RLL28" s="191"/>
      <c r="RLN28" s="191"/>
      <c r="RLO28" s="191"/>
      <c r="RLP28" s="191"/>
      <c r="RLR28" s="191"/>
      <c r="RLS28" s="191"/>
      <c r="RLT28" s="191"/>
      <c r="RLV28" s="191"/>
      <c r="RLW28" s="191"/>
      <c r="RLX28" s="191"/>
      <c r="RLZ28" s="191"/>
      <c r="RMA28" s="191"/>
      <c r="RMB28" s="191"/>
      <c r="RMD28" s="191"/>
      <c r="RME28" s="191"/>
      <c r="RMF28" s="191"/>
      <c r="RMH28" s="191"/>
      <c r="RMI28" s="191"/>
      <c r="RMJ28" s="191"/>
      <c r="RML28" s="191"/>
      <c r="RMM28" s="191"/>
      <c r="RMN28" s="191"/>
      <c r="RMP28" s="191"/>
      <c r="RMQ28" s="191"/>
      <c r="RMR28" s="191"/>
      <c r="RMT28" s="191"/>
      <c r="RMU28" s="191"/>
      <c r="RMV28" s="191"/>
      <c r="RMX28" s="191"/>
      <c r="RMY28" s="191"/>
      <c r="RMZ28" s="191"/>
      <c r="RNB28" s="191"/>
      <c r="RNC28" s="191"/>
      <c r="RND28" s="191"/>
      <c r="RNF28" s="191"/>
      <c r="RNG28" s="191"/>
      <c r="RNH28" s="191"/>
      <c r="RNJ28" s="191"/>
      <c r="RNK28" s="191"/>
      <c r="RNL28" s="191"/>
      <c r="RNN28" s="191"/>
      <c r="RNO28" s="191"/>
      <c r="RNP28" s="191"/>
      <c r="RNR28" s="191"/>
      <c r="RNS28" s="191"/>
      <c r="RNT28" s="191"/>
      <c r="RNV28" s="191"/>
      <c r="RNW28" s="191"/>
      <c r="RNX28" s="191"/>
      <c r="RNZ28" s="191"/>
      <c r="ROA28" s="191"/>
      <c r="ROB28" s="191"/>
      <c r="ROD28" s="191"/>
      <c r="ROE28" s="191"/>
      <c r="ROF28" s="191"/>
      <c r="ROH28" s="191"/>
      <c r="ROI28" s="191"/>
      <c r="ROJ28" s="191"/>
      <c r="ROL28" s="191"/>
      <c r="ROM28" s="191"/>
      <c r="RON28" s="191"/>
      <c r="ROP28" s="191"/>
      <c r="ROQ28" s="191"/>
      <c r="ROR28" s="191"/>
      <c r="ROT28" s="191"/>
      <c r="ROU28" s="191"/>
      <c r="ROV28" s="191"/>
      <c r="ROX28" s="191"/>
      <c r="ROY28" s="191"/>
      <c r="ROZ28" s="191"/>
      <c r="RPB28" s="191"/>
      <c r="RPC28" s="191"/>
      <c r="RPD28" s="191"/>
      <c r="RPF28" s="191"/>
      <c r="RPG28" s="191"/>
      <c r="RPH28" s="191"/>
      <c r="RPJ28" s="191"/>
      <c r="RPK28" s="191"/>
      <c r="RPL28" s="191"/>
      <c r="RPN28" s="191"/>
      <c r="RPO28" s="191"/>
      <c r="RPP28" s="191"/>
      <c r="RPR28" s="191"/>
      <c r="RPS28" s="191"/>
      <c r="RPT28" s="191"/>
      <c r="RPV28" s="191"/>
      <c r="RPW28" s="191"/>
      <c r="RPX28" s="191"/>
      <c r="RPZ28" s="191"/>
      <c r="RQA28" s="191"/>
      <c r="RQB28" s="191"/>
      <c r="RQD28" s="191"/>
      <c r="RQE28" s="191"/>
      <c r="RQF28" s="191"/>
      <c r="RQH28" s="191"/>
      <c r="RQI28" s="191"/>
      <c r="RQJ28" s="191"/>
      <c r="RQL28" s="191"/>
      <c r="RQM28" s="191"/>
      <c r="RQN28" s="191"/>
      <c r="RQP28" s="191"/>
      <c r="RQQ28" s="191"/>
      <c r="RQR28" s="191"/>
      <c r="RQT28" s="191"/>
      <c r="RQU28" s="191"/>
      <c r="RQV28" s="191"/>
      <c r="RQX28" s="191"/>
      <c r="RQY28" s="191"/>
      <c r="RQZ28" s="191"/>
      <c r="RRB28" s="191"/>
      <c r="RRC28" s="191"/>
      <c r="RRD28" s="191"/>
      <c r="RRF28" s="191"/>
      <c r="RRG28" s="191"/>
      <c r="RRH28" s="191"/>
      <c r="RRJ28" s="191"/>
      <c r="RRK28" s="191"/>
      <c r="RRL28" s="191"/>
      <c r="RRN28" s="191"/>
      <c r="RRO28" s="191"/>
      <c r="RRP28" s="191"/>
      <c r="RRR28" s="191"/>
      <c r="RRS28" s="191"/>
      <c r="RRT28" s="191"/>
      <c r="RRV28" s="191"/>
      <c r="RRW28" s="191"/>
      <c r="RRX28" s="191"/>
      <c r="RRZ28" s="191"/>
      <c r="RSA28" s="191"/>
      <c r="RSB28" s="191"/>
      <c r="RSD28" s="191"/>
      <c r="RSE28" s="191"/>
      <c r="RSF28" s="191"/>
      <c r="RSH28" s="191"/>
      <c r="RSI28" s="191"/>
      <c r="RSJ28" s="191"/>
      <c r="RSL28" s="191"/>
      <c r="RSM28" s="191"/>
      <c r="RSN28" s="191"/>
      <c r="RSP28" s="191"/>
      <c r="RSQ28" s="191"/>
      <c r="RSR28" s="191"/>
      <c r="RST28" s="191"/>
      <c r="RSU28" s="191"/>
      <c r="RSV28" s="191"/>
      <c r="RSX28" s="191"/>
      <c r="RSY28" s="191"/>
      <c r="RSZ28" s="191"/>
      <c r="RTB28" s="191"/>
      <c r="RTC28" s="191"/>
      <c r="RTD28" s="191"/>
      <c r="RTF28" s="191"/>
      <c r="RTG28" s="191"/>
      <c r="RTH28" s="191"/>
      <c r="RTJ28" s="191"/>
      <c r="RTK28" s="191"/>
      <c r="RTL28" s="191"/>
      <c r="RTN28" s="191"/>
      <c r="RTO28" s="191"/>
      <c r="RTP28" s="191"/>
      <c r="RTR28" s="191"/>
      <c r="RTS28" s="191"/>
      <c r="RTT28" s="191"/>
      <c r="RTV28" s="191"/>
      <c r="RTW28" s="191"/>
      <c r="RTX28" s="191"/>
      <c r="RTZ28" s="191"/>
      <c r="RUA28" s="191"/>
      <c r="RUB28" s="191"/>
      <c r="RUD28" s="191"/>
      <c r="RUE28" s="191"/>
      <c r="RUF28" s="191"/>
      <c r="RUH28" s="191"/>
      <c r="RUI28" s="191"/>
      <c r="RUJ28" s="191"/>
      <c r="RUL28" s="191"/>
      <c r="RUM28" s="191"/>
      <c r="RUN28" s="191"/>
      <c r="RUP28" s="191"/>
      <c r="RUQ28" s="191"/>
      <c r="RUR28" s="191"/>
      <c r="RUT28" s="191"/>
      <c r="RUU28" s="191"/>
      <c r="RUV28" s="191"/>
      <c r="RUX28" s="191"/>
      <c r="RUY28" s="191"/>
      <c r="RUZ28" s="191"/>
      <c r="RVB28" s="191"/>
      <c r="RVC28" s="191"/>
      <c r="RVD28" s="191"/>
      <c r="RVF28" s="191"/>
      <c r="RVG28" s="191"/>
      <c r="RVH28" s="191"/>
      <c r="RVJ28" s="191"/>
      <c r="RVK28" s="191"/>
      <c r="RVL28" s="191"/>
      <c r="RVN28" s="191"/>
      <c r="RVO28" s="191"/>
      <c r="RVP28" s="191"/>
      <c r="RVR28" s="191"/>
      <c r="RVS28" s="191"/>
      <c r="RVT28" s="191"/>
      <c r="RVV28" s="191"/>
      <c r="RVW28" s="191"/>
      <c r="RVX28" s="191"/>
      <c r="RVZ28" s="191"/>
      <c r="RWA28" s="191"/>
      <c r="RWB28" s="191"/>
      <c r="RWD28" s="191"/>
      <c r="RWE28" s="191"/>
      <c r="RWF28" s="191"/>
      <c r="RWH28" s="191"/>
      <c r="RWI28" s="191"/>
      <c r="RWJ28" s="191"/>
      <c r="RWL28" s="191"/>
      <c r="RWM28" s="191"/>
      <c r="RWN28" s="191"/>
      <c r="RWP28" s="191"/>
      <c r="RWQ28" s="191"/>
      <c r="RWR28" s="191"/>
      <c r="RWT28" s="191"/>
      <c r="RWU28" s="191"/>
      <c r="RWV28" s="191"/>
      <c r="RWX28" s="191"/>
      <c r="RWY28" s="191"/>
      <c r="RWZ28" s="191"/>
      <c r="RXB28" s="191"/>
      <c r="RXC28" s="191"/>
      <c r="RXD28" s="191"/>
      <c r="RXF28" s="191"/>
      <c r="RXG28" s="191"/>
      <c r="RXH28" s="191"/>
      <c r="RXJ28" s="191"/>
      <c r="RXK28" s="191"/>
      <c r="RXL28" s="191"/>
      <c r="RXN28" s="191"/>
      <c r="RXO28" s="191"/>
      <c r="RXP28" s="191"/>
      <c r="RXR28" s="191"/>
      <c r="RXS28" s="191"/>
      <c r="RXT28" s="191"/>
      <c r="RXV28" s="191"/>
      <c r="RXW28" s="191"/>
      <c r="RXX28" s="191"/>
      <c r="RXZ28" s="191"/>
      <c r="RYA28" s="191"/>
      <c r="RYB28" s="191"/>
      <c r="RYD28" s="191"/>
      <c r="RYE28" s="191"/>
      <c r="RYF28" s="191"/>
      <c r="RYH28" s="191"/>
      <c r="RYI28" s="191"/>
      <c r="RYJ28" s="191"/>
      <c r="RYL28" s="191"/>
      <c r="RYM28" s="191"/>
      <c r="RYN28" s="191"/>
      <c r="RYP28" s="191"/>
      <c r="RYQ28" s="191"/>
      <c r="RYR28" s="191"/>
      <c r="RYT28" s="191"/>
      <c r="RYU28" s="191"/>
      <c r="RYV28" s="191"/>
      <c r="RYX28" s="191"/>
      <c r="RYY28" s="191"/>
      <c r="RYZ28" s="191"/>
      <c r="RZB28" s="191"/>
      <c r="RZC28" s="191"/>
      <c r="RZD28" s="191"/>
      <c r="RZF28" s="191"/>
      <c r="RZG28" s="191"/>
      <c r="RZH28" s="191"/>
      <c r="RZJ28" s="191"/>
      <c r="RZK28" s="191"/>
      <c r="RZL28" s="191"/>
      <c r="RZN28" s="191"/>
      <c r="RZO28" s="191"/>
      <c r="RZP28" s="191"/>
      <c r="RZR28" s="191"/>
      <c r="RZS28" s="191"/>
      <c r="RZT28" s="191"/>
      <c r="RZV28" s="191"/>
      <c r="RZW28" s="191"/>
      <c r="RZX28" s="191"/>
      <c r="RZZ28" s="191"/>
      <c r="SAA28" s="191"/>
      <c r="SAB28" s="191"/>
      <c r="SAD28" s="191"/>
      <c r="SAE28" s="191"/>
      <c r="SAF28" s="191"/>
      <c r="SAH28" s="191"/>
      <c r="SAI28" s="191"/>
      <c r="SAJ28" s="191"/>
      <c r="SAL28" s="191"/>
      <c r="SAM28" s="191"/>
      <c r="SAN28" s="191"/>
      <c r="SAP28" s="191"/>
      <c r="SAQ28" s="191"/>
      <c r="SAR28" s="191"/>
      <c r="SAT28" s="191"/>
      <c r="SAU28" s="191"/>
      <c r="SAV28" s="191"/>
      <c r="SAX28" s="191"/>
      <c r="SAY28" s="191"/>
      <c r="SAZ28" s="191"/>
      <c r="SBB28" s="191"/>
      <c r="SBC28" s="191"/>
      <c r="SBD28" s="191"/>
      <c r="SBF28" s="191"/>
      <c r="SBG28" s="191"/>
      <c r="SBH28" s="191"/>
      <c r="SBJ28" s="191"/>
      <c r="SBK28" s="191"/>
      <c r="SBL28" s="191"/>
      <c r="SBN28" s="191"/>
      <c r="SBO28" s="191"/>
      <c r="SBP28" s="191"/>
      <c r="SBR28" s="191"/>
      <c r="SBS28" s="191"/>
      <c r="SBT28" s="191"/>
      <c r="SBV28" s="191"/>
      <c r="SBW28" s="191"/>
      <c r="SBX28" s="191"/>
      <c r="SBZ28" s="191"/>
      <c r="SCA28" s="191"/>
      <c r="SCB28" s="191"/>
      <c r="SCD28" s="191"/>
      <c r="SCE28" s="191"/>
      <c r="SCF28" s="191"/>
      <c r="SCH28" s="191"/>
      <c r="SCI28" s="191"/>
      <c r="SCJ28" s="191"/>
      <c r="SCL28" s="191"/>
      <c r="SCM28" s="191"/>
      <c r="SCN28" s="191"/>
      <c r="SCP28" s="191"/>
      <c r="SCQ28" s="191"/>
      <c r="SCR28" s="191"/>
      <c r="SCT28" s="191"/>
      <c r="SCU28" s="191"/>
      <c r="SCV28" s="191"/>
      <c r="SCX28" s="191"/>
      <c r="SCY28" s="191"/>
      <c r="SCZ28" s="191"/>
      <c r="SDB28" s="191"/>
      <c r="SDC28" s="191"/>
      <c r="SDD28" s="191"/>
      <c r="SDF28" s="191"/>
      <c r="SDG28" s="191"/>
      <c r="SDH28" s="191"/>
      <c r="SDJ28" s="191"/>
      <c r="SDK28" s="191"/>
      <c r="SDL28" s="191"/>
      <c r="SDN28" s="191"/>
      <c r="SDO28" s="191"/>
      <c r="SDP28" s="191"/>
      <c r="SDR28" s="191"/>
      <c r="SDS28" s="191"/>
      <c r="SDT28" s="191"/>
      <c r="SDV28" s="191"/>
      <c r="SDW28" s="191"/>
      <c r="SDX28" s="191"/>
      <c r="SDZ28" s="191"/>
      <c r="SEA28" s="191"/>
      <c r="SEB28" s="191"/>
      <c r="SED28" s="191"/>
      <c r="SEE28" s="191"/>
      <c r="SEF28" s="191"/>
      <c r="SEH28" s="191"/>
      <c r="SEI28" s="191"/>
      <c r="SEJ28" s="191"/>
      <c r="SEL28" s="191"/>
      <c r="SEM28" s="191"/>
      <c r="SEN28" s="191"/>
      <c r="SEP28" s="191"/>
      <c r="SEQ28" s="191"/>
      <c r="SER28" s="191"/>
      <c r="SET28" s="191"/>
      <c r="SEU28" s="191"/>
      <c r="SEV28" s="191"/>
      <c r="SEX28" s="191"/>
      <c r="SEY28" s="191"/>
      <c r="SEZ28" s="191"/>
      <c r="SFB28" s="191"/>
      <c r="SFC28" s="191"/>
      <c r="SFD28" s="191"/>
      <c r="SFF28" s="191"/>
      <c r="SFG28" s="191"/>
      <c r="SFH28" s="191"/>
      <c r="SFJ28" s="191"/>
      <c r="SFK28" s="191"/>
      <c r="SFL28" s="191"/>
      <c r="SFN28" s="191"/>
      <c r="SFO28" s="191"/>
      <c r="SFP28" s="191"/>
      <c r="SFR28" s="191"/>
      <c r="SFS28" s="191"/>
      <c r="SFT28" s="191"/>
      <c r="SFV28" s="191"/>
      <c r="SFW28" s="191"/>
      <c r="SFX28" s="191"/>
      <c r="SFZ28" s="191"/>
      <c r="SGA28" s="191"/>
      <c r="SGB28" s="191"/>
      <c r="SGD28" s="191"/>
      <c r="SGE28" s="191"/>
      <c r="SGF28" s="191"/>
      <c r="SGH28" s="191"/>
      <c r="SGI28" s="191"/>
      <c r="SGJ28" s="191"/>
      <c r="SGL28" s="191"/>
      <c r="SGM28" s="191"/>
      <c r="SGN28" s="191"/>
      <c r="SGP28" s="191"/>
      <c r="SGQ28" s="191"/>
      <c r="SGR28" s="191"/>
      <c r="SGT28" s="191"/>
      <c r="SGU28" s="191"/>
      <c r="SGV28" s="191"/>
      <c r="SGX28" s="191"/>
      <c r="SGY28" s="191"/>
      <c r="SGZ28" s="191"/>
      <c r="SHB28" s="191"/>
      <c r="SHC28" s="191"/>
      <c r="SHD28" s="191"/>
      <c r="SHF28" s="191"/>
      <c r="SHG28" s="191"/>
      <c r="SHH28" s="191"/>
      <c r="SHJ28" s="191"/>
      <c r="SHK28" s="191"/>
      <c r="SHL28" s="191"/>
      <c r="SHN28" s="191"/>
      <c r="SHO28" s="191"/>
      <c r="SHP28" s="191"/>
      <c r="SHR28" s="191"/>
      <c r="SHS28" s="191"/>
      <c r="SHT28" s="191"/>
      <c r="SHV28" s="191"/>
      <c r="SHW28" s="191"/>
      <c r="SHX28" s="191"/>
      <c r="SHZ28" s="191"/>
      <c r="SIA28" s="191"/>
      <c r="SIB28" s="191"/>
      <c r="SID28" s="191"/>
      <c r="SIE28" s="191"/>
      <c r="SIF28" s="191"/>
      <c r="SIH28" s="191"/>
      <c r="SII28" s="191"/>
      <c r="SIJ28" s="191"/>
      <c r="SIL28" s="191"/>
      <c r="SIM28" s="191"/>
      <c r="SIN28" s="191"/>
      <c r="SIP28" s="191"/>
      <c r="SIQ28" s="191"/>
      <c r="SIR28" s="191"/>
      <c r="SIT28" s="191"/>
      <c r="SIU28" s="191"/>
      <c r="SIV28" s="191"/>
      <c r="SIX28" s="191"/>
      <c r="SIY28" s="191"/>
      <c r="SIZ28" s="191"/>
      <c r="SJB28" s="191"/>
      <c r="SJC28" s="191"/>
      <c r="SJD28" s="191"/>
      <c r="SJF28" s="191"/>
      <c r="SJG28" s="191"/>
      <c r="SJH28" s="191"/>
      <c r="SJJ28" s="191"/>
      <c r="SJK28" s="191"/>
      <c r="SJL28" s="191"/>
      <c r="SJN28" s="191"/>
      <c r="SJO28" s="191"/>
      <c r="SJP28" s="191"/>
      <c r="SJR28" s="191"/>
      <c r="SJS28" s="191"/>
      <c r="SJT28" s="191"/>
      <c r="SJV28" s="191"/>
      <c r="SJW28" s="191"/>
      <c r="SJX28" s="191"/>
      <c r="SJZ28" s="191"/>
      <c r="SKA28" s="191"/>
      <c r="SKB28" s="191"/>
      <c r="SKD28" s="191"/>
      <c r="SKE28" s="191"/>
      <c r="SKF28" s="191"/>
      <c r="SKH28" s="191"/>
      <c r="SKI28" s="191"/>
      <c r="SKJ28" s="191"/>
      <c r="SKL28" s="191"/>
      <c r="SKM28" s="191"/>
      <c r="SKN28" s="191"/>
      <c r="SKP28" s="191"/>
      <c r="SKQ28" s="191"/>
      <c r="SKR28" s="191"/>
      <c r="SKT28" s="191"/>
      <c r="SKU28" s="191"/>
      <c r="SKV28" s="191"/>
      <c r="SKX28" s="191"/>
      <c r="SKY28" s="191"/>
      <c r="SKZ28" s="191"/>
      <c r="SLB28" s="191"/>
      <c r="SLC28" s="191"/>
      <c r="SLD28" s="191"/>
      <c r="SLF28" s="191"/>
      <c r="SLG28" s="191"/>
      <c r="SLH28" s="191"/>
      <c r="SLJ28" s="191"/>
      <c r="SLK28" s="191"/>
      <c r="SLL28" s="191"/>
      <c r="SLN28" s="191"/>
      <c r="SLO28" s="191"/>
      <c r="SLP28" s="191"/>
      <c r="SLR28" s="191"/>
      <c r="SLS28" s="191"/>
      <c r="SLT28" s="191"/>
      <c r="SLV28" s="191"/>
      <c r="SLW28" s="191"/>
      <c r="SLX28" s="191"/>
      <c r="SLZ28" s="191"/>
      <c r="SMA28" s="191"/>
      <c r="SMB28" s="191"/>
      <c r="SMD28" s="191"/>
      <c r="SME28" s="191"/>
      <c r="SMF28" s="191"/>
      <c r="SMH28" s="191"/>
      <c r="SMI28" s="191"/>
      <c r="SMJ28" s="191"/>
      <c r="SML28" s="191"/>
      <c r="SMM28" s="191"/>
      <c r="SMN28" s="191"/>
      <c r="SMP28" s="191"/>
      <c r="SMQ28" s="191"/>
      <c r="SMR28" s="191"/>
      <c r="SMT28" s="191"/>
      <c r="SMU28" s="191"/>
      <c r="SMV28" s="191"/>
      <c r="SMX28" s="191"/>
      <c r="SMY28" s="191"/>
      <c r="SMZ28" s="191"/>
      <c r="SNB28" s="191"/>
      <c r="SNC28" s="191"/>
      <c r="SND28" s="191"/>
      <c r="SNF28" s="191"/>
      <c r="SNG28" s="191"/>
      <c r="SNH28" s="191"/>
      <c r="SNJ28" s="191"/>
      <c r="SNK28" s="191"/>
      <c r="SNL28" s="191"/>
      <c r="SNN28" s="191"/>
      <c r="SNO28" s="191"/>
      <c r="SNP28" s="191"/>
      <c r="SNR28" s="191"/>
      <c r="SNS28" s="191"/>
      <c r="SNT28" s="191"/>
      <c r="SNV28" s="191"/>
      <c r="SNW28" s="191"/>
      <c r="SNX28" s="191"/>
      <c r="SNZ28" s="191"/>
      <c r="SOA28" s="191"/>
      <c r="SOB28" s="191"/>
      <c r="SOD28" s="191"/>
      <c r="SOE28" s="191"/>
      <c r="SOF28" s="191"/>
      <c r="SOH28" s="191"/>
      <c r="SOI28" s="191"/>
      <c r="SOJ28" s="191"/>
      <c r="SOL28" s="191"/>
      <c r="SOM28" s="191"/>
      <c r="SON28" s="191"/>
      <c r="SOP28" s="191"/>
      <c r="SOQ28" s="191"/>
      <c r="SOR28" s="191"/>
      <c r="SOT28" s="191"/>
      <c r="SOU28" s="191"/>
      <c r="SOV28" s="191"/>
      <c r="SOX28" s="191"/>
      <c r="SOY28" s="191"/>
      <c r="SOZ28" s="191"/>
      <c r="SPB28" s="191"/>
      <c r="SPC28" s="191"/>
      <c r="SPD28" s="191"/>
      <c r="SPF28" s="191"/>
      <c r="SPG28" s="191"/>
      <c r="SPH28" s="191"/>
      <c r="SPJ28" s="191"/>
      <c r="SPK28" s="191"/>
      <c r="SPL28" s="191"/>
      <c r="SPN28" s="191"/>
      <c r="SPO28" s="191"/>
      <c r="SPP28" s="191"/>
      <c r="SPR28" s="191"/>
      <c r="SPS28" s="191"/>
      <c r="SPT28" s="191"/>
      <c r="SPV28" s="191"/>
      <c r="SPW28" s="191"/>
      <c r="SPX28" s="191"/>
      <c r="SPZ28" s="191"/>
      <c r="SQA28" s="191"/>
      <c r="SQB28" s="191"/>
      <c r="SQD28" s="191"/>
      <c r="SQE28" s="191"/>
      <c r="SQF28" s="191"/>
      <c r="SQH28" s="191"/>
      <c r="SQI28" s="191"/>
      <c r="SQJ28" s="191"/>
      <c r="SQL28" s="191"/>
      <c r="SQM28" s="191"/>
      <c r="SQN28" s="191"/>
      <c r="SQP28" s="191"/>
      <c r="SQQ28" s="191"/>
      <c r="SQR28" s="191"/>
      <c r="SQT28" s="191"/>
      <c r="SQU28" s="191"/>
      <c r="SQV28" s="191"/>
      <c r="SQX28" s="191"/>
      <c r="SQY28" s="191"/>
      <c r="SQZ28" s="191"/>
      <c r="SRB28" s="191"/>
      <c r="SRC28" s="191"/>
      <c r="SRD28" s="191"/>
      <c r="SRF28" s="191"/>
      <c r="SRG28" s="191"/>
      <c r="SRH28" s="191"/>
      <c r="SRJ28" s="191"/>
      <c r="SRK28" s="191"/>
      <c r="SRL28" s="191"/>
      <c r="SRN28" s="191"/>
      <c r="SRO28" s="191"/>
      <c r="SRP28" s="191"/>
      <c r="SRR28" s="191"/>
      <c r="SRS28" s="191"/>
      <c r="SRT28" s="191"/>
      <c r="SRV28" s="191"/>
      <c r="SRW28" s="191"/>
      <c r="SRX28" s="191"/>
      <c r="SRZ28" s="191"/>
      <c r="SSA28" s="191"/>
      <c r="SSB28" s="191"/>
      <c r="SSD28" s="191"/>
      <c r="SSE28" s="191"/>
      <c r="SSF28" s="191"/>
      <c r="SSH28" s="191"/>
      <c r="SSI28" s="191"/>
      <c r="SSJ28" s="191"/>
      <c r="SSL28" s="191"/>
      <c r="SSM28" s="191"/>
      <c r="SSN28" s="191"/>
      <c r="SSP28" s="191"/>
      <c r="SSQ28" s="191"/>
      <c r="SSR28" s="191"/>
      <c r="SST28" s="191"/>
      <c r="SSU28" s="191"/>
      <c r="SSV28" s="191"/>
      <c r="SSX28" s="191"/>
      <c r="SSY28" s="191"/>
      <c r="SSZ28" s="191"/>
      <c r="STB28" s="191"/>
      <c r="STC28" s="191"/>
      <c r="STD28" s="191"/>
      <c r="STF28" s="191"/>
      <c r="STG28" s="191"/>
      <c r="STH28" s="191"/>
      <c r="STJ28" s="191"/>
      <c r="STK28" s="191"/>
      <c r="STL28" s="191"/>
      <c r="STN28" s="191"/>
      <c r="STO28" s="191"/>
      <c r="STP28" s="191"/>
      <c r="STR28" s="191"/>
      <c r="STS28" s="191"/>
      <c r="STT28" s="191"/>
      <c r="STV28" s="191"/>
      <c r="STW28" s="191"/>
      <c r="STX28" s="191"/>
      <c r="STZ28" s="191"/>
      <c r="SUA28" s="191"/>
      <c r="SUB28" s="191"/>
      <c r="SUD28" s="191"/>
      <c r="SUE28" s="191"/>
      <c r="SUF28" s="191"/>
      <c r="SUH28" s="191"/>
      <c r="SUI28" s="191"/>
      <c r="SUJ28" s="191"/>
      <c r="SUL28" s="191"/>
      <c r="SUM28" s="191"/>
      <c r="SUN28" s="191"/>
      <c r="SUP28" s="191"/>
      <c r="SUQ28" s="191"/>
      <c r="SUR28" s="191"/>
      <c r="SUT28" s="191"/>
      <c r="SUU28" s="191"/>
      <c r="SUV28" s="191"/>
      <c r="SUX28" s="191"/>
      <c r="SUY28" s="191"/>
      <c r="SUZ28" s="191"/>
      <c r="SVB28" s="191"/>
      <c r="SVC28" s="191"/>
      <c r="SVD28" s="191"/>
      <c r="SVF28" s="191"/>
      <c r="SVG28" s="191"/>
      <c r="SVH28" s="191"/>
      <c r="SVJ28" s="191"/>
      <c r="SVK28" s="191"/>
      <c r="SVL28" s="191"/>
      <c r="SVN28" s="191"/>
      <c r="SVO28" s="191"/>
      <c r="SVP28" s="191"/>
      <c r="SVR28" s="191"/>
      <c r="SVS28" s="191"/>
      <c r="SVT28" s="191"/>
      <c r="SVV28" s="191"/>
      <c r="SVW28" s="191"/>
      <c r="SVX28" s="191"/>
      <c r="SVZ28" s="191"/>
      <c r="SWA28" s="191"/>
      <c r="SWB28" s="191"/>
      <c r="SWD28" s="191"/>
      <c r="SWE28" s="191"/>
      <c r="SWF28" s="191"/>
      <c r="SWH28" s="191"/>
      <c r="SWI28" s="191"/>
      <c r="SWJ28" s="191"/>
      <c r="SWL28" s="191"/>
      <c r="SWM28" s="191"/>
      <c r="SWN28" s="191"/>
      <c r="SWP28" s="191"/>
      <c r="SWQ28" s="191"/>
      <c r="SWR28" s="191"/>
      <c r="SWT28" s="191"/>
      <c r="SWU28" s="191"/>
      <c r="SWV28" s="191"/>
      <c r="SWX28" s="191"/>
      <c r="SWY28" s="191"/>
      <c r="SWZ28" s="191"/>
      <c r="SXB28" s="191"/>
      <c r="SXC28" s="191"/>
      <c r="SXD28" s="191"/>
      <c r="SXF28" s="191"/>
      <c r="SXG28" s="191"/>
      <c r="SXH28" s="191"/>
      <c r="SXJ28" s="191"/>
      <c r="SXK28" s="191"/>
      <c r="SXL28" s="191"/>
      <c r="SXN28" s="191"/>
      <c r="SXO28" s="191"/>
      <c r="SXP28" s="191"/>
      <c r="SXR28" s="191"/>
      <c r="SXS28" s="191"/>
      <c r="SXT28" s="191"/>
      <c r="SXV28" s="191"/>
      <c r="SXW28" s="191"/>
      <c r="SXX28" s="191"/>
      <c r="SXZ28" s="191"/>
      <c r="SYA28" s="191"/>
      <c r="SYB28" s="191"/>
      <c r="SYD28" s="191"/>
      <c r="SYE28" s="191"/>
      <c r="SYF28" s="191"/>
      <c r="SYH28" s="191"/>
      <c r="SYI28" s="191"/>
      <c r="SYJ28" s="191"/>
      <c r="SYL28" s="191"/>
      <c r="SYM28" s="191"/>
      <c r="SYN28" s="191"/>
      <c r="SYP28" s="191"/>
      <c r="SYQ28" s="191"/>
      <c r="SYR28" s="191"/>
      <c r="SYT28" s="191"/>
      <c r="SYU28" s="191"/>
      <c r="SYV28" s="191"/>
      <c r="SYX28" s="191"/>
      <c r="SYY28" s="191"/>
      <c r="SYZ28" s="191"/>
      <c r="SZB28" s="191"/>
      <c r="SZC28" s="191"/>
      <c r="SZD28" s="191"/>
      <c r="SZF28" s="191"/>
      <c r="SZG28" s="191"/>
      <c r="SZH28" s="191"/>
      <c r="SZJ28" s="191"/>
      <c r="SZK28" s="191"/>
      <c r="SZL28" s="191"/>
      <c r="SZN28" s="191"/>
      <c r="SZO28" s="191"/>
      <c r="SZP28" s="191"/>
      <c r="SZR28" s="191"/>
      <c r="SZS28" s="191"/>
      <c r="SZT28" s="191"/>
      <c r="SZV28" s="191"/>
      <c r="SZW28" s="191"/>
      <c r="SZX28" s="191"/>
      <c r="SZZ28" s="191"/>
      <c r="TAA28" s="191"/>
      <c r="TAB28" s="191"/>
      <c r="TAD28" s="191"/>
      <c r="TAE28" s="191"/>
      <c r="TAF28" s="191"/>
      <c r="TAH28" s="191"/>
      <c r="TAI28" s="191"/>
      <c r="TAJ28" s="191"/>
      <c r="TAL28" s="191"/>
      <c r="TAM28" s="191"/>
      <c r="TAN28" s="191"/>
      <c r="TAP28" s="191"/>
      <c r="TAQ28" s="191"/>
      <c r="TAR28" s="191"/>
      <c r="TAT28" s="191"/>
      <c r="TAU28" s="191"/>
      <c r="TAV28" s="191"/>
      <c r="TAX28" s="191"/>
      <c r="TAY28" s="191"/>
      <c r="TAZ28" s="191"/>
      <c r="TBB28" s="191"/>
      <c r="TBC28" s="191"/>
      <c r="TBD28" s="191"/>
      <c r="TBF28" s="191"/>
      <c r="TBG28" s="191"/>
      <c r="TBH28" s="191"/>
      <c r="TBJ28" s="191"/>
      <c r="TBK28" s="191"/>
      <c r="TBL28" s="191"/>
      <c r="TBN28" s="191"/>
      <c r="TBO28" s="191"/>
      <c r="TBP28" s="191"/>
      <c r="TBR28" s="191"/>
      <c r="TBS28" s="191"/>
      <c r="TBT28" s="191"/>
      <c r="TBV28" s="191"/>
      <c r="TBW28" s="191"/>
      <c r="TBX28" s="191"/>
      <c r="TBZ28" s="191"/>
      <c r="TCA28" s="191"/>
      <c r="TCB28" s="191"/>
      <c r="TCD28" s="191"/>
      <c r="TCE28" s="191"/>
      <c r="TCF28" s="191"/>
      <c r="TCH28" s="191"/>
      <c r="TCI28" s="191"/>
      <c r="TCJ28" s="191"/>
      <c r="TCL28" s="191"/>
      <c r="TCM28" s="191"/>
      <c r="TCN28" s="191"/>
      <c r="TCP28" s="191"/>
      <c r="TCQ28" s="191"/>
      <c r="TCR28" s="191"/>
      <c r="TCT28" s="191"/>
      <c r="TCU28" s="191"/>
      <c r="TCV28" s="191"/>
      <c r="TCX28" s="191"/>
      <c r="TCY28" s="191"/>
      <c r="TCZ28" s="191"/>
      <c r="TDB28" s="191"/>
      <c r="TDC28" s="191"/>
      <c r="TDD28" s="191"/>
      <c r="TDF28" s="191"/>
      <c r="TDG28" s="191"/>
      <c r="TDH28" s="191"/>
      <c r="TDJ28" s="191"/>
      <c r="TDK28" s="191"/>
      <c r="TDL28" s="191"/>
      <c r="TDN28" s="191"/>
      <c r="TDO28" s="191"/>
      <c r="TDP28" s="191"/>
      <c r="TDR28" s="191"/>
      <c r="TDS28" s="191"/>
      <c r="TDT28" s="191"/>
      <c r="TDV28" s="191"/>
      <c r="TDW28" s="191"/>
      <c r="TDX28" s="191"/>
      <c r="TDZ28" s="191"/>
      <c r="TEA28" s="191"/>
      <c r="TEB28" s="191"/>
      <c r="TED28" s="191"/>
      <c r="TEE28" s="191"/>
      <c r="TEF28" s="191"/>
      <c r="TEH28" s="191"/>
      <c r="TEI28" s="191"/>
      <c r="TEJ28" s="191"/>
      <c r="TEL28" s="191"/>
      <c r="TEM28" s="191"/>
      <c r="TEN28" s="191"/>
      <c r="TEP28" s="191"/>
      <c r="TEQ28" s="191"/>
      <c r="TER28" s="191"/>
      <c r="TET28" s="191"/>
      <c r="TEU28" s="191"/>
      <c r="TEV28" s="191"/>
      <c r="TEX28" s="191"/>
      <c r="TEY28" s="191"/>
      <c r="TEZ28" s="191"/>
      <c r="TFB28" s="191"/>
      <c r="TFC28" s="191"/>
      <c r="TFD28" s="191"/>
      <c r="TFF28" s="191"/>
      <c r="TFG28" s="191"/>
      <c r="TFH28" s="191"/>
      <c r="TFJ28" s="191"/>
      <c r="TFK28" s="191"/>
      <c r="TFL28" s="191"/>
      <c r="TFN28" s="191"/>
      <c r="TFO28" s="191"/>
      <c r="TFP28" s="191"/>
      <c r="TFR28" s="191"/>
      <c r="TFS28" s="191"/>
      <c r="TFT28" s="191"/>
      <c r="TFV28" s="191"/>
      <c r="TFW28" s="191"/>
      <c r="TFX28" s="191"/>
      <c r="TFZ28" s="191"/>
      <c r="TGA28" s="191"/>
      <c r="TGB28" s="191"/>
      <c r="TGD28" s="191"/>
      <c r="TGE28" s="191"/>
      <c r="TGF28" s="191"/>
      <c r="TGH28" s="191"/>
      <c r="TGI28" s="191"/>
      <c r="TGJ28" s="191"/>
      <c r="TGL28" s="191"/>
      <c r="TGM28" s="191"/>
      <c r="TGN28" s="191"/>
      <c r="TGP28" s="191"/>
      <c r="TGQ28" s="191"/>
      <c r="TGR28" s="191"/>
      <c r="TGT28" s="191"/>
      <c r="TGU28" s="191"/>
      <c r="TGV28" s="191"/>
      <c r="TGX28" s="191"/>
      <c r="TGY28" s="191"/>
      <c r="TGZ28" s="191"/>
      <c r="THB28" s="191"/>
      <c r="THC28" s="191"/>
      <c r="THD28" s="191"/>
      <c r="THF28" s="191"/>
      <c r="THG28" s="191"/>
      <c r="THH28" s="191"/>
      <c r="THJ28" s="191"/>
      <c r="THK28" s="191"/>
      <c r="THL28" s="191"/>
      <c r="THN28" s="191"/>
      <c r="THO28" s="191"/>
      <c r="THP28" s="191"/>
      <c r="THR28" s="191"/>
      <c r="THS28" s="191"/>
      <c r="THT28" s="191"/>
      <c r="THV28" s="191"/>
      <c r="THW28" s="191"/>
      <c r="THX28" s="191"/>
      <c r="THZ28" s="191"/>
      <c r="TIA28" s="191"/>
      <c r="TIB28" s="191"/>
      <c r="TID28" s="191"/>
      <c r="TIE28" s="191"/>
      <c r="TIF28" s="191"/>
      <c r="TIH28" s="191"/>
      <c r="TII28" s="191"/>
      <c r="TIJ28" s="191"/>
      <c r="TIL28" s="191"/>
      <c r="TIM28" s="191"/>
      <c r="TIN28" s="191"/>
      <c r="TIP28" s="191"/>
      <c r="TIQ28" s="191"/>
      <c r="TIR28" s="191"/>
      <c r="TIT28" s="191"/>
      <c r="TIU28" s="191"/>
      <c r="TIV28" s="191"/>
      <c r="TIX28" s="191"/>
      <c r="TIY28" s="191"/>
      <c r="TIZ28" s="191"/>
      <c r="TJB28" s="191"/>
      <c r="TJC28" s="191"/>
      <c r="TJD28" s="191"/>
      <c r="TJF28" s="191"/>
      <c r="TJG28" s="191"/>
      <c r="TJH28" s="191"/>
      <c r="TJJ28" s="191"/>
      <c r="TJK28" s="191"/>
      <c r="TJL28" s="191"/>
      <c r="TJN28" s="191"/>
      <c r="TJO28" s="191"/>
      <c r="TJP28" s="191"/>
      <c r="TJR28" s="191"/>
      <c r="TJS28" s="191"/>
      <c r="TJT28" s="191"/>
      <c r="TJV28" s="191"/>
      <c r="TJW28" s="191"/>
      <c r="TJX28" s="191"/>
      <c r="TJZ28" s="191"/>
      <c r="TKA28" s="191"/>
      <c r="TKB28" s="191"/>
      <c r="TKD28" s="191"/>
      <c r="TKE28" s="191"/>
      <c r="TKF28" s="191"/>
      <c r="TKH28" s="191"/>
      <c r="TKI28" s="191"/>
      <c r="TKJ28" s="191"/>
      <c r="TKL28" s="191"/>
      <c r="TKM28" s="191"/>
      <c r="TKN28" s="191"/>
      <c r="TKP28" s="191"/>
      <c r="TKQ28" s="191"/>
      <c r="TKR28" s="191"/>
      <c r="TKT28" s="191"/>
      <c r="TKU28" s="191"/>
      <c r="TKV28" s="191"/>
      <c r="TKX28" s="191"/>
      <c r="TKY28" s="191"/>
      <c r="TKZ28" s="191"/>
      <c r="TLB28" s="191"/>
      <c r="TLC28" s="191"/>
      <c r="TLD28" s="191"/>
      <c r="TLF28" s="191"/>
      <c r="TLG28" s="191"/>
      <c r="TLH28" s="191"/>
      <c r="TLJ28" s="191"/>
      <c r="TLK28" s="191"/>
      <c r="TLL28" s="191"/>
      <c r="TLN28" s="191"/>
      <c r="TLO28" s="191"/>
      <c r="TLP28" s="191"/>
      <c r="TLR28" s="191"/>
      <c r="TLS28" s="191"/>
      <c r="TLT28" s="191"/>
      <c r="TLV28" s="191"/>
      <c r="TLW28" s="191"/>
      <c r="TLX28" s="191"/>
      <c r="TLZ28" s="191"/>
      <c r="TMA28" s="191"/>
      <c r="TMB28" s="191"/>
      <c r="TMD28" s="191"/>
      <c r="TME28" s="191"/>
      <c r="TMF28" s="191"/>
      <c r="TMH28" s="191"/>
      <c r="TMI28" s="191"/>
      <c r="TMJ28" s="191"/>
      <c r="TML28" s="191"/>
      <c r="TMM28" s="191"/>
      <c r="TMN28" s="191"/>
      <c r="TMP28" s="191"/>
      <c r="TMQ28" s="191"/>
      <c r="TMR28" s="191"/>
      <c r="TMT28" s="191"/>
      <c r="TMU28" s="191"/>
      <c r="TMV28" s="191"/>
      <c r="TMX28" s="191"/>
      <c r="TMY28" s="191"/>
      <c r="TMZ28" s="191"/>
      <c r="TNB28" s="191"/>
      <c r="TNC28" s="191"/>
      <c r="TND28" s="191"/>
      <c r="TNF28" s="191"/>
      <c r="TNG28" s="191"/>
      <c r="TNH28" s="191"/>
      <c r="TNJ28" s="191"/>
      <c r="TNK28" s="191"/>
      <c r="TNL28" s="191"/>
      <c r="TNN28" s="191"/>
      <c r="TNO28" s="191"/>
      <c r="TNP28" s="191"/>
      <c r="TNR28" s="191"/>
      <c r="TNS28" s="191"/>
      <c r="TNT28" s="191"/>
      <c r="TNV28" s="191"/>
      <c r="TNW28" s="191"/>
      <c r="TNX28" s="191"/>
      <c r="TNZ28" s="191"/>
      <c r="TOA28" s="191"/>
      <c r="TOB28" s="191"/>
      <c r="TOD28" s="191"/>
      <c r="TOE28" s="191"/>
      <c r="TOF28" s="191"/>
      <c r="TOH28" s="191"/>
      <c r="TOI28" s="191"/>
      <c r="TOJ28" s="191"/>
      <c r="TOL28" s="191"/>
      <c r="TOM28" s="191"/>
      <c r="TON28" s="191"/>
      <c r="TOP28" s="191"/>
      <c r="TOQ28" s="191"/>
      <c r="TOR28" s="191"/>
      <c r="TOT28" s="191"/>
      <c r="TOU28" s="191"/>
      <c r="TOV28" s="191"/>
      <c r="TOX28" s="191"/>
      <c r="TOY28" s="191"/>
      <c r="TOZ28" s="191"/>
      <c r="TPB28" s="191"/>
      <c r="TPC28" s="191"/>
      <c r="TPD28" s="191"/>
      <c r="TPF28" s="191"/>
      <c r="TPG28" s="191"/>
      <c r="TPH28" s="191"/>
      <c r="TPJ28" s="191"/>
      <c r="TPK28" s="191"/>
      <c r="TPL28" s="191"/>
      <c r="TPN28" s="191"/>
      <c r="TPO28" s="191"/>
      <c r="TPP28" s="191"/>
      <c r="TPR28" s="191"/>
      <c r="TPS28" s="191"/>
      <c r="TPT28" s="191"/>
      <c r="TPV28" s="191"/>
      <c r="TPW28" s="191"/>
      <c r="TPX28" s="191"/>
      <c r="TPZ28" s="191"/>
      <c r="TQA28" s="191"/>
      <c r="TQB28" s="191"/>
      <c r="TQD28" s="191"/>
      <c r="TQE28" s="191"/>
      <c r="TQF28" s="191"/>
      <c r="TQH28" s="191"/>
      <c r="TQI28" s="191"/>
      <c r="TQJ28" s="191"/>
      <c r="TQL28" s="191"/>
      <c r="TQM28" s="191"/>
      <c r="TQN28" s="191"/>
      <c r="TQP28" s="191"/>
      <c r="TQQ28" s="191"/>
      <c r="TQR28" s="191"/>
      <c r="TQT28" s="191"/>
      <c r="TQU28" s="191"/>
      <c r="TQV28" s="191"/>
      <c r="TQX28" s="191"/>
      <c r="TQY28" s="191"/>
      <c r="TQZ28" s="191"/>
      <c r="TRB28" s="191"/>
      <c r="TRC28" s="191"/>
      <c r="TRD28" s="191"/>
      <c r="TRF28" s="191"/>
      <c r="TRG28" s="191"/>
      <c r="TRH28" s="191"/>
      <c r="TRJ28" s="191"/>
      <c r="TRK28" s="191"/>
      <c r="TRL28" s="191"/>
      <c r="TRN28" s="191"/>
      <c r="TRO28" s="191"/>
      <c r="TRP28" s="191"/>
      <c r="TRR28" s="191"/>
      <c r="TRS28" s="191"/>
      <c r="TRT28" s="191"/>
      <c r="TRV28" s="191"/>
      <c r="TRW28" s="191"/>
      <c r="TRX28" s="191"/>
      <c r="TRZ28" s="191"/>
      <c r="TSA28" s="191"/>
      <c r="TSB28" s="191"/>
      <c r="TSD28" s="191"/>
      <c r="TSE28" s="191"/>
      <c r="TSF28" s="191"/>
      <c r="TSH28" s="191"/>
      <c r="TSI28" s="191"/>
      <c r="TSJ28" s="191"/>
      <c r="TSL28" s="191"/>
      <c r="TSM28" s="191"/>
      <c r="TSN28" s="191"/>
      <c r="TSP28" s="191"/>
      <c r="TSQ28" s="191"/>
      <c r="TSR28" s="191"/>
      <c r="TST28" s="191"/>
      <c r="TSU28" s="191"/>
      <c r="TSV28" s="191"/>
      <c r="TSX28" s="191"/>
      <c r="TSY28" s="191"/>
      <c r="TSZ28" s="191"/>
      <c r="TTB28" s="191"/>
      <c r="TTC28" s="191"/>
      <c r="TTD28" s="191"/>
      <c r="TTF28" s="191"/>
      <c r="TTG28" s="191"/>
      <c r="TTH28" s="191"/>
      <c r="TTJ28" s="191"/>
      <c r="TTK28" s="191"/>
      <c r="TTL28" s="191"/>
      <c r="TTN28" s="191"/>
      <c r="TTO28" s="191"/>
      <c r="TTP28" s="191"/>
      <c r="TTR28" s="191"/>
      <c r="TTS28" s="191"/>
      <c r="TTT28" s="191"/>
      <c r="TTV28" s="191"/>
      <c r="TTW28" s="191"/>
      <c r="TTX28" s="191"/>
      <c r="TTZ28" s="191"/>
      <c r="TUA28" s="191"/>
      <c r="TUB28" s="191"/>
      <c r="TUD28" s="191"/>
      <c r="TUE28" s="191"/>
      <c r="TUF28" s="191"/>
      <c r="TUH28" s="191"/>
      <c r="TUI28" s="191"/>
      <c r="TUJ28" s="191"/>
      <c r="TUL28" s="191"/>
      <c r="TUM28" s="191"/>
      <c r="TUN28" s="191"/>
      <c r="TUP28" s="191"/>
      <c r="TUQ28" s="191"/>
      <c r="TUR28" s="191"/>
      <c r="TUT28" s="191"/>
      <c r="TUU28" s="191"/>
      <c r="TUV28" s="191"/>
      <c r="TUX28" s="191"/>
      <c r="TUY28" s="191"/>
      <c r="TUZ28" s="191"/>
      <c r="TVB28" s="191"/>
      <c r="TVC28" s="191"/>
      <c r="TVD28" s="191"/>
      <c r="TVF28" s="191"/>
      <c r="TVG28" s="191"/>
      <c r="TVH28" s="191"/>
      <c r="TVJ28" s="191"/>
      <c r="TVK28" s="191"/>
      <c r="TVL28" s="191"/>
      <c r="TVN28" s="191"/>
      <c r="TVO28" s="191"/>
      <c r="TVP28" s="191"/>
      <c r="TVR28" s="191"/>
      <c r="TVS28" s="191"/>
      <c r="TVT28" s="191"/>
      <c r="TVV28" s="191"/>
      <c r="TVW28" s="191"/>
      <c r="TVX28" s="191"/>
      <c r="TVZ28" s="191"/>
      <c r="TWA28" s="191"/>
      <c r="TWB28" s="191"/>
      <c r="TWD28" s="191"/>
      <c r="TWE28" s="191"/>
      <c r="TWF28" s="191"/>
      <c r="TWH28" s="191"/>
      <c r="TWI28" s="191"/>
      <c r="TWJ28" s="191"/>
      <c r="TWL28" s="191"/>
      <c r="TWM28" s="191"/>
      <c r="TWN28" s="191"/>
      <c r="TWP28" s="191"/>
      <c r="TWQ28" s="191"/>
      <c r="TWR28" s="191"/>
      <c r="TWT28" s="191"/>
      <c r="TWU28" s="191"/>
      <c r="TWV28" s="191"/>
      <c r="TWX28" s="191"/>
      <c r="TWY28" s="191"/>
      <c r="TWZ28" s="191"/>
      <c r="TXB28" s="191"/>
      <c r="TXC28" s="191"/>
      <c r="TXD28" s="191"/>
      <c r="TXF28" s="191"/>
      <c r="TXG28" s="191"/>
      <c r="TXH28" s="191"/>
      <c r="TXJ28" s="191"/>
      <c r="TXK28" s="191"/>
      <c r="TXL28" s="191"/>
      <c r="TXN28" s="191"/>
      <c r="TXO28" s="191"/>
      <c r="TXP28" s="191"/>
      <c r="TXR28" s="191"/>
      <c r="TXS28" s="191"/>
      <c r="TXT28" s="191"/>
      <c r="TXV28" s="191"/>
      <c r="TXW28" s="191"/>
      <c r="TXX28" s="191"/>
      <c r="TXZ28" s="191"/>
      <c r="TYA28" s="191"/>
      <c r="TYB28" s="191"/>
      <c r="TYD28" s="191"/>
      <c r="TYE28" s="191"/>
      <c r="TYF28" s="191"/>
      <c r="TYH28" s="191"/>
      <c r="TYI28" s="191"/>
      <c r="TYJ28" s="191"/>
      <c r="TYL28" s="191"/>
      <c r="TYM28" s="191"/>
      <c r="TYN28" s="191"/>
      <c r="TYP28" s="191"/>
      <c r="TYQ28" s="191"/>
      <c r="TYR28" s="191"/>
      <c r="TYT28" s="191"/>
      <c r="TYU28" s="191"/>
      <c r="TYV28" s="191"/>
      <c r="TYX28" s="191"/>
      <c r="TYY28" s="191"/>
      <c r="TYZ28" s="191"/>
      <c r="TZB28" s="191"/>
      <c r="TZC28" s="191"/>
      <c r="TZD28" s="191"/>
      <c r="TZF28" s="191"/>
      <c r="TZG28" s="191"/>
      <c r="TZH28" s="191"/>
      <c r="TZJ28" s="191"/>
      <c r="TZK28" s="191"/>
      <c r="TZL28" s="191"/>
      <c r="TZN28" s="191"/>
      <c r="TZO28" s="191"/>
      <c r="TZP28" s="191"/>
      <c r="TZR28" s="191"/>
      <c r="TZS28" s="191"/>
      <c r="TZT28" s="191"/>
      <c r="TZV28" s="191"/>
      <c r="TZW28" s="191"/>
      <c r="TZX28" s="191"/>
      <c r="TZZ28" s="191"/>
      <c r="UAA28" s="191"/>
      <c r="UAB28" s="191"/>
      <c r="UAD28" s="191"/>
      <c r="UAE28" s="191"/>
      <c r="UAF28" s="191"/>
      <c r="UAH28" s="191"/>
      <c r="UAI28" s="191"/>
      <c r="UAJ28" s="191"/>
      <c r="UAL28" s="191"/>
      <c r="UAM28" s="191"/>
      <c r="UAN28" s="191"/>
      <c r="UAP28" s="191"/>
      <c r="UAQ28" s="191"/>
      <c r="UAR28" s="191"/>
      <c r="UAT28" s="191"/>
      <c r="UAU28" s="191"/>
      <c r="UAV28" s="191"/>
      <c r="UAX28" s="191"/>
      <c r="UAY28" s="191"/>
      <c r="UAZ28" s="191"/>
      <c r="UBB28" s="191"/>
      <c r="UBC28" s="191"/>
      <c r="UBD28" s="191"/>
      <c r="UBF28" s="191"/>
      <c r="UBG28" s="191"/>
      <c r="UBH28" s="191"/>
      <c r="UBJ28" s="191"/>
      <c r="UBK28" s="191"/>
      <c r="UBL28" s="191"/>
      <c r="UBN28" s="191"/>
      <c r="UBO28" s="191"/>
      <c r="UBP28" s="191"/>
      <c r="UBR28" s="191"/>
      <c r="UBS28" s="191"/>
      <c r="UBT28" s="191"/>
      <c r="UBV28" s="191"/>
      <c r="UBW28" s="191"/>
      <c r="UBX28" s="191"/>
      <c r="UBZ28" s="191"/>
      <c r="UCA28" s="191"/>
      <c r="UCB28" s="191"/>
      <c r="UCD28" s="191"/>
      <c r="UCE28" s="191"/>
      <c r="UCF28" s="191"/>
      <c r="UCH28" s="191"/>
      <c r="UCI28" s="191"/>
      <c r="UCJ28" s="191"/>
      <c r="UCL28" s="191"/>
      <c r="UCM28" s="191"/>
      <c r="UCN28" s="191"/>
      <c r="UCP28" s="191"/>
      <c r="UCQ28" s="191"/>
      <c r="UCR28" s="191"/>
      <c r="UCT28" s="191"/>
      <c r="UCU28" s="191"/>
      <c r="UCV28" s="191"/>
      <c r="UCX28" s="191"/>
      <c r="UCY28" s="191"/>
      <c r="UCZ28" s="191"/>
      <c r="UDB28" s="191"/>
      <c r="UDC28" s="191"/>
      <c r="UDD28" s="191"/>
      <c r="UDF28" s="191"/>
      <c r="UDG28" s="191"/>
      <c r="UDH28" s="191"/>
      <c r="UDJ28" s="191"/>
      <c r="UDK28" s="191"/>
      <c r="UDL28" s="191"/>
      <c r="UDN28" s="191"/>
      <c r="UDO28" s="191"/>
      <c r="UDP28" s="191"/>
      <c r="UDR28" s="191"/>
      <c r="UDS28" s="191"/>
      <c r="UDT28" s="191"/>
      <c r="UDV28" s="191"/>
      <c r="UDW28" s="191"/>
      <c r="UDX28" s="191"/>
      <c r="UDZ28" s="191"/>
      <c r="UEA28" s="191"/>
      <c r="UEB28" s="191"/>
      <c r="UED28" s="191"/>
      <c r="UEE28" s="191"/>
      <c r="UEF28" s="191"/>
      <c r="UEH28" s="191"/>
      <c r="UEI28" s="191"/>
      <c r="UEJ28" s="191"/>
      <c r="UEL28" s="191"/>
      <c r="UEM28" s="191"/>
      <c r="UEN28" s="191"/>
      <c r="UEP28" s="191"/>
      <c r="UEQ28" s="191"/>
      <c r="UER28" s="191"/>
      <c r="UET28" s="191"/>
      <c r="UEU28" s="191"/>
      <c r="UEV28" s="191"/>
      <c r="UEX28" s="191"/>
      <c r="UEY28" s="191"/>
      <c r="UEZ28" s="191"/>
      <c r="UFB28" s="191"/>
      <c r="UFC28" s="191"/>
      <c r="UFD28" s="191"/>
      <c r="UFF28" s="191"/>
      <c r="UFG28" s="191"/>
      <c r="UFH28" s="191"/>
      <c r="UFJ28" s="191"/>
      <c r="UFK28" s="191"/>
      <c r="UFL28" s="191"/>
      <c r="UFN28" s="191"/>
      <c r="UFO28" s="191"/>
      <c r="UFP28" s="191"/>
      <c r="UFR28" s="191"/>
      <c r="UFS28" s="191"/>
      <c r="UFT28" s="191"/>
      <c r="UFV28" s="191"/>
      <c r="UFW28" s="191"/>
      <c r="UFX28" s="191"/>
      <c r="UFZ28" s="191"/>
      <c r="UGA28" s="191"/>
      <c r="UGB28" s="191"/>
      <c r="UGD28" s="191"/>
      <c r="UGE28" s="191"/>
      <c r="UGF28" s="191"/>
      <c r="UGH28" s="191"/>
      <c r="UGI28" s="191"/>
      <c r="UGJ28" s="191"/>
      <c r="UGL28" s="191"/>
      <c r="UGM28" s="191"/>
      <c r="UGN28" s="191"/>
      <c r="UGP28" s="191"/>
      <c r="UGQ28" s="191"/>
      <c r="UGR28" s="191"/>
      <c r="UGT28" s="191"/>
      <c r="UGU28" s="191"/>
      <c r="UGV28" s="191"/>
      <c r="UGX28" s="191"/>
      <c r="UGY28" s="191"/>
      <c r="UGZ28" s="191"/>
      <c r="UHB28" s="191"/>
      <c r="UHC28" s="191"/>
      <c r="UHD28" s="191"/>
      <c r="UHF28" s="191"/>
      <c r="UHG28" s="191"/>
      <c r="UHH28" s="191"/>
      <c r="UHJ28" s="191"/>
      <c r="UHK28" s="191"/>
      <c r="UHL28" s="191"/>
      <c r="UHN28" s="191"/>
      <c r="UHO28" s="191"/>
      <c r="UHP28" s="191"/>
      <c r="UHR28" s="191"/>
      <c r="UHS28" s="191"/>
      <c r="UHT28" s="191"/>
      <c r="UHV28" s="191"/>
      <c r="UHW28" s="191"/>
      <c r="UHX28" s="191"/>
      <c r="UHZ28" s="191"/>
      <c r="UIA28" s="191"/>
      <c r="UIB28" s="191"/>
      <c r="UID28" s="191"/>
      <c r="UIE28" s="191"/>
      <c r="UIF28" s="191"/>
      <c r="UIH28" s="191"/>
      <c r="UII28" s="191"/>
      <c r="UIJ28" s="191"/>
      <c r="UIL28" s="191"/>
      <c r="UIM28" s="191"/>
      <c r="UIN28" s="191"/>
      <c r="UIP28" s="191"/>
      <c r="UIQ28" s="191"/>
      <c r="UIR28" s="191"/>
      <c r="UIT28" s="191"/>
      <c r="UIU28" s="191"/>
      <c r="UIV28" s="191"/>
      <c r="UIX28" s="191"/>
      <c r="UIY28" s="191"/>
      <c r="UIZ28" s="191"/>
      <c r="UJB28" s="191"/>
      <c r="UJC28" s="191"/>
      <c r="UJD28" s="191"/>
      <c r="UJF28" s="191"/>
      <c r="UJG28" s="191"/>
      <c r="UJH28" s="191"/>
      <c r="UJJ28" s="191"/>
      <c r="UJK28" s="191"/>
      <c r="UJL28" s="191"/>
      <c r="UJN28" s="191"/>
      <c r="UJO28" s="191"/>
      <c r="UJP28" s="191"/>
      <c r="UJR28" s="191"/>
      <c r="UJS28" s="191"/>
      <c r="UJT28" s="191"/>
      <c r="UJV28" s="191"/>
      <c r="UJW28" s="191"/>
      <c r="UJX28" s="191"/>
      <c r="UJZ28" s="191"/>
      <c r="UKA28" s="191"/>
      <c r="UKB28" s="191"/>
      <c r="UKD28" s="191"/>
      <c r="UKE28" s="191"/>
      <c r="UKF28" s="191"/>
      <c r="UKH28" s="191"/>
      <c r="UKI28" s="191"/>
      <c r="UKJ28" s="191"/>
      <c r="UKL28" s="191"/>
      <c r="UKM28" s="191"/>
      <c r="UKN28" s="191"/>
      <c r="UKP28" s="191"/>
      <c r="UKQ28" s="191"/>
      <c r="UKR28" s="191"/>
      <c r="UKT28" s="191"/>
      <c r="UKU28" s="191"/>
      <c r="UKV28" s="191"/>
      <c r="UKX28" s="191"/>
      <c r="UKY28" s="191"/>
      <c r="UKZ28" s="191"/>
      <c r="ULB28" s="191"/>
      <c r="ULC28" s="191"/>
      <c r="ULD28" s="191"/>
      <c r="ULF28" s="191"/>
      <c r="ULG28" s="191"/>
      <c r="ULH28" s="191"/>
      <c r="ULJ28" s="191"/>
      <c r="ULK28" s="191"/>
      <c r="ULL28" s="191"/>
      <c r="ULN28" s="191"/>
      <c r="ULO28" s="191"/>
      <c r="ULP28" s="191"/>
      <c r="ULR28" s="191"/>
      <c r="ULS28" s="191"/>
      <c r="ULT28" s="191"/>
      <c r="ULV28" s="191"/>
      <c r="ULW28" s="191"/>
      <c r="ULX28" s="191"/>
      <c r="ULZ28" s="191"/>
      <c r="UMA28" s="191"/>
      <c r="UMB28" s="191"/>
      <c r="UMD28" s="191"/>
      <c r="UME28" s="191"/>
      <c r="UMF28" s="191"/>
      <c r="UMH28" s="191"/>
      <c r="UMI28" s="191"/>
      <c r="UMJ28" s="191"/>
      <c r="UML28" s="191"/>
      <c r="UMM28" s="191"/>
      <c r="UMN28" s="191"/>
      <c r="UMP28" s="191"/>
      <c r="UMQ28" s="191"/>
      <c r="UMR28" s="191"/>
      <c r="UMT28" s="191"/>
      <c r="UMU28" s="191"/>
      <c r="UMV28" s="191"/>
      <c r="UMX28" s="191"/>
      <c r="UMY28" s="191"/>
      <c r="UMZ28" s="191"/>
      <c r="UNB28" s="191"/>
      <c r="UNC28" s="191"/>
      <c r="UND28" s="191"/>
      <c r="UNF28" s="191"/>
      <c r="UNG28" s="191"/>
      <c r="UNH28" s="191"/>
      <c r="UNJ28" s="191"/>
      <c r="UNK28" s="191"/>
      <c r="UNL28" s="191"/>
      <c r="UNN28" s="191"/>
      <c r="UNO28" s="191"/>
      <c r="UNP28" s="191"/>
      <c r="UNR28" s="191"/>
      <c r="UNS28" s="191"/>
      <c r="UNT28" s="191"/>
      <c r="UNV28" s="191"/>
      <c r="UNW28" s="191"/>
      <c r="UNX28" s="191"/>
      <c r="UNZ28" s="191"/>
      <c r="UOA28" s="191"/>
      <c r="UOB28" s="191"/>
      <c r="UOD28" s="191"/>
      <c r="UOE28" s="191"/>
      <c r="UOF28" s="191"/>
      <c r="UOH28" s="191"/>
      <c r="UOI28" s="191"/>
      <c r="UOJ28" s="191"/>
      <c r="UOL28" s="191"/>
      <c r="UOM28" s="191"/>
      <c r="UON28" s="191"/>
      <c r="UOP28" s="191"/>
      <c r="UOQ28" s="191"/>
      <c r="UOR28" s="191"/>
      <c r="UOT28" s="191"/>
      <c r="UOU28" s="191"/>
      <c r="UOV28" s="191"/>
      <c r="UOX28" s="191"/>
      <c r="UOY28" s="191"/>
      <c r="UOZ28" s="191"/>
      <c r="UPB28" s="191"/>
      <c r="UPC28" s="191"/>
      <c r="UPD28" s="191"/>
      <c r="UPF28" s="191"/>
      <c r="UPG28" s="191"/>
      <c r="UPH28" s="191"/>
      <c r="UPJ28" s="191"/>
      <c r="UPK28" s="191"/>
      <c r="UPL28" s="191"/>
      <c r="UPN28" s="191"/>
      <c r="UPO28" s="191"/>
      <c r="UPP28" s="191"/>
      <c r="UPR28" s="191"/>
      <c r="UPS28" s="191"/>
      <c r="UPT28" s="191"/>
      <c r="UPV28" s="191"/>
      <c r="UPW28" s="191"/>
      <c r="UPX28" s="191"/>
      <c r="UPZ28" s="191"/>
      <c r="UQA28" s="191"/>
      <c r="UQB28" s="191"/>
      <c r="UQD28" s="191"/>
      <c r="UQE28" s="191"/>
      <c r="UQF28" s="191"/>
      <c r="UQH28" s="191"/>
      <c r="UQI28" s="191"/>
      <c r="UQJ28" s="191"/>
      <c r="UQL28" s="191"/>
      <c r="UQM28" s="191"/>
      <c r="UQN28" s="191"/>
      <c r="UQP28" s="191"/>
      <c r="UQQ28" s="191"/>
      <c r="UQR28" s="191"/>
      <c r="UQT28" s="191"/>
      <c r="UQU28" s="191"/>
      <c r="UQV28" s="191"/>
      <c r="UQX28" s="191"/>
      <c r="UQY28" s="191"/>
      <c r="UQZ28" s="191"/>
      <c r="URB28" s="191"/>
      <c r="URC28" s="191"/>
      <c r="URD28" s="191"/>
      <c r="URF28" s="191"/>
      <c r="URG28" s="191"/>
      <c r="URH28" s="191"/>
      <c r="URJ28" s="191"/>
      <c r="URK28" s="191"/>
      <c r="URL28" s="191"/>
      <c r="URN28" s="191"/>
      <c r="URO28" s="191"/>
      <c r="URP28" s="191"/>
      <c r="URR28" s="191"/>
      <c r="URS28" s="191"/>
      <c r="URT28" s="191"/>
      <c r="URV28" s="191"/>
      <c r="URW28" s="191"/>
      <c r="URX28" s="191"/>
      <c r="URZ28" s="191"/>
      <c r="USA28" s="191"/>
      <c r="USB28" s="191"/>
      <c r="USD28" s="191"/>
      <c r="USE28" s="191"/>
      <c r="USF28" s="191"/>
      <c r="USH28" s="191"/>
      <c r="USI28" s="191"/>
      <c r="USJ28" s="191"/>
      <c r="USL28" s="191"/>
      <c r="USM28" s="191"/>
      <c r="USN28" s="191"/>
      <c r="USP28" s="191"/>
      <c r="USQ28" s="191"/>
      <c r="USR28" s="191"/>
      <c r="UST28" s="191"/>
      <c r="USU28" s="191"/>
      <c r="USV28" s="191"/>
      <c r="USX28" s="191"/>
      <c r="USY28" s="191"/>
      <c r="USZ28" s="191"/>
      <c r="UTB28" s="191"/>
      <c r="UTC28" s="191"/>
      <c r="UTD28" s="191"/>
      <c r="UTF28" s="191"/>
      <c r="UTG28" s="191"/>
      <c r="UTH28" s="191"/>
      <c r="UTJ28" s="191"/>
      <c r="UTK28" s="191"/>
      <c r="UTL28" s="191"/>
      <c r="UTN28" s="191"/>
      <c r="UTO28" s="191"/>
      <c r="UTP28" s="191"/>
      <c r="UTR28" s="191"/>
      <c r="UTS28" s="191"/>
      <c r="UTT28" s="191"/>
      <c r="UTV28" s="191"/>
      <c r="UTW28" s="191"/>
      <c r="UTX28" s="191"/>
      <c r="UTZ28" s="191"/>
      <c r="UUA28" s="191"/>
      <c r="UUB28" s="191"/>
      <c r="UUD28" s="191"/>
      <c r="UUE28" s="191"/>
      <c r="UUF28" s="191"/>
      <c r="UUH28" s="191"/>
      <c r="UUI28" s="191"/>
      <c r="UUJ28" s="191"/>
      <c r="UUL28" s="191"/>
      <c r="UUM28" s="191"/>
      <c r="UUN28" s="191"/>
      <c r="UUP28" s="191"/>
      <c r="UUQ28" s="191"/>
      <c r="UUR28" s="191"/>
      <c r="UUT28" s="191"/>
      <c r="UUU28" s="191"/>
      <c r="UUV28" s="191"/>
      <c r="UUX28" s="191"/>
      <c r="UUY28" s="191"/>
      <c r="UUZ28" s="191"/>
      <c r="UVB28" s="191"/>
      <c r="UVC28" s="191"/>
      <c r="UVD28" s="191"/>
      <c r="UVF28" s="191"/>
      <c r="UVG28" s="191"/>
      <c r="UVH28" s="191"/>
      <c r="UVJ28" s="191"/>
      <c r="UVK28" s="191"/>
      <c r="UVL28" s="191"/>
      <c r="UVN28" s="191"/>
      <c r="UVO28" s="191"/>
      <c r="UVP28" s="191"/>
      <c r="UVR28" s="191"/>
      <c r="UVS28" s="191"/>
      <c r="UVT28" s="191"/>
      <c r="UVV28" s="191"/>
      <c r="UVW28" s="191"/>
      <c r="UVX28" s="191"/>
      <c r="UVZ28" s="191"/>
      <c r="UWA28" s="191"/>
      <c r="UWB28" s="191"/>
      <c r="UWD28" s="191"/>
      <c r="UWE28" s="191"/>
      <c r="UWF28" s="191"/>
      <c r="UWH28" s="191"/>
      <c r="UWI28" s="191"/>
      <c r="UWJ28" s="191"/>
      <c r="UWL28" s="191"/>
      <c r="UWM28" s="191"/>
      <c r="UWN28" s="191"/>
      <c r="UWP28" s="191"/>
      <c r="UWQ28" s="191"/>
      <c r="UWR28" s="191"/>
      <c r="UWT28" s="191"/>
      <c r="UWU28" s="191"/>
      <c r="UWV28" s="191"/>
      <c r="UWX28" s="191"/>
      <c r="UWY28" s="191"/>
      <c r="UWZ28" s="191"/>
      <c r="UXB28" s="191"/>
      <c r="UXC28" s="191"/>
      <c r="UXD28" s="191"/>
      <c r="UXF28" s="191"/>
      <c r="UXG28" s="191"/>
      <c r="UXH28" s="191"/>
      <c r="UXJ28" s="191"/>
      <c r="UXK28" s="191"/>
      <c r="UXL28" s="191"/>
      <c r="UXN28" s="191"/>
      <c r="UXO28" s="191"/>
      <c r="UXP28" s="191"/>
      <c r="UXR28" s="191"/>
      <c r="UXS28" s="191"/>
      <c r="UXT28" s="191"/>
      <c r="UXV28" s="191"/>
      <c r="UXW28" s="191"/>
      <c r="UXX28" s="191"/>
      <c r="UXZ28" s="191"/>
      <c r="UYA28" s="191"/>
      <c r="UYB28" s="191"/>
      <c r="UYD28" s="191"/>
      <c r="UYE28" s="191"/>
      <c r="UYF28" s="191"/>
      <c r="UYH28" s="191"/>
      <c r="UYI28" s="191"/>
      <c r="UYJ28" s="191"/>
      <c r="UYL28" s="191"/>
      <c r="UYM28" s="191"/>
      <c r="UYN28" s="191"/>
      <c r="UYP28" s="191"/>
      <c r="UYQ28" s="191"/>
      <c r="UYR28" s="191"/>
      <c r="UYT28" s="191"/>
      <c r="UYU28" s="191"/>
      <c r="UYV28" s="191"/>
      <c r="UYX28" s="191"/>
      <c r="UYY28" s="191"/>
      <c r="UYZ28" s="191"/>
      <c r="UZB28" s="191"/>
      <c r="UZC28" s="191"/>
      <c r="UZD28" s="191"/>
      <c r="UZF28" s="191"/>
      <c r="UZG28" s="191"/>
      <c r="UZH28" s="191"/>
      <c r="UZJ28" s="191"/>
      <c r="UZK28" s="191"/>
      <c r="UZL28" s="191"/>
      <c r="UZN28" s="191"/>
      <c r="UZO28" s="191"/>
      <c r="UZP28" s="191"/>
      <c r="UZR28" s="191"/>
      <c r="UZS28" s="191"/>
      <c r="UZT28" s="191"/>
      <c r="UZV28" s="191"/>
      <c r="UZW28" s="191"/>
      <c r="UZX28" s="191"/>
      <c r="UZZ28" s="191"/>
      <c r="VAA28" s="191"/>
      <c r="VAB28" s="191"/>
      <c r="VAD28" s="191"/>
      <c r="VAE28" s="191"/>
      <c r="VAF28" s="191"/>
      <c r="VAH28" s="191"/>
      <c r="VAI28" s="191"/>
      <c r="VAJ28" s="191"/>
      <c r="VAL28" s="191"/>
      <c r="VAM28" s="191"/>
      <c r="VAN28" s="191"/>
      <c r="VAP28" s="191"/>
      <c r="VAQ28" s="191"/>
      <c r="VAR28" s="191"/>
      <c r="VAT28" s="191"/>
      <c r="VAU28" s="191"/>
      <c r="VAV28" s="191"/>
      <c r="VAX28" s="191"/>
      <c r="VAY28" s="191"/>
      <c r="VAZ28" s="191"/>
      <c r="VBB28" s="191"/>
      <c r="VBC28" s="191"/>
      <c r="VBD28" s="191"/>
      <c r="VBF28" s="191"/>
      <c r="VBG28" s="191"/>
      <c r="VBH28" s="191"/>
      <c r="VBJ28" s="191"/>
      <c r="VBK28" s="191"/>
      <c r="VBL28" s="191"/>
      <c r="VBN28" s="191"/>
      <c r="VBO28" s="191"/>
      <c r="VBP28" s="191"/>
      <c r="VBR28" s="191"/>
      <c r="VBS28" s="191"/>
      <c r="VBT28" s="191"/>
      <c r="VBV28" s="191"/>
      <c r="VBW28" s="191"/>
      <c r="VBX28" s="191"/>
      <c r="VBZ28" s="191"/>
      <c r="VCA28" s="191"/>
      <c r="VCB28" s="191"/>
      <c r="VCD28" s="191"/>
      <c r="VCE28" s="191"/>
      <c r="VCF28" s="191"/>
      <c r="VCH28" s="191"/>
      <c r="VCI28" s="191"/>
      <c r="VCJ28" s="191"/>
      <c r="VCL28" s="191"/>
      <c r="VCM28" s="191"/>
      <c r="VCN28" s="191"/>
      <c r="VCP28" s="191"/>
      <c r="VCQ28" s="191"/>
      <c r="VCR28" s="191"/>
      <c r="VCT28" s="191"/>
      <c r="VCU28" s="191"/>
      <c r="VCV28" s="191"/>
      <c r="VCX28" s="191"/>
      <c r="VCY28" s="191"/>
      <c r="VCZ28" s="191"/>
      <c r="VDB28" s="191"/>
      <c r="VDC28" s="191"/>
      <c r="VDD28" s="191"/>
      <c r="VDF28" s="191"/>
      <c r="VDG28" s="191"/>
      <c r="VDH28" s="191"/>
      <c r="VDJ28" s="191"/>
      <c r="VDK28" s="191"/>
      <c r="VDL28" s="191"/>
      <c r="VDN28" s="191"/>
      <c r="VDO28" s="191"/>
      <c r="VDP28" s="191"/>
      <c r="VDR28" s="191"/>
      <c r="VDS28" s="191"/>
      <c r="VDT28" s="191"/>
      <c r="VDV28" s="191"/>
      <c r="VDW28" s="191"/>
      <c r="VDX28" s="191"/>
      <c r="VDZ28" s="191"/>
      <c r="VEA28" s="191"/>
      <c r="VEB28" s="191"/>
      <c r="VED28" s="191"/>
      <c r="VEE28" s="191"/>
      <c r="VEF28" s="191"/>
      <c r="VEH28" s="191"/>
      <c r="VEI28" s="191"/>
      <c r="VEJ28" s="191"/>
      <c r="VEL28" s="191"/>
      <c r="VEM28" s="191"/>
      <c r="VEN28" s="191"/>
      <c r="VEP28" s="191"/>
      <c r="VEQ28" s="191"/>
      <c r="VER28" s="191"/>
      <c r="VET28" s="191"/>
      <c r="VEU28" s="191"/>
      <c r="VEV28" s="191"/>
      <c r="VEX28" s="191"/>
      <c r="VEY28" s="191"/>
      <c r="VEZ28" s="191"/>
      <c r="VFB28" s="191"/>
      <c r="VFC28" s="191"/>
      <c r="VFD28" s="191"/>
      <c r="VFF28" s="191"/>
      <c r="VFG28" s="191"/>
      <c r="VFH28" s="191"/>
      <c r="VFJ28" s="191"/>
      <c r="VFK28" s="191"/>
      <c r="VFL28" s="191"/>
      <c r="VFN28" s="191"/>
      <c r="VFO28" s="191"/>
      <c r="VFP28" s="191"/>
      <c r="VFR28" s="191"/>
      <c r="VFS28" s="191"/>
      <c r="VFT28" s="191"/>
      <c r="VFV28" s="191"/>
      <c r="VFW28" s="191"/>
      <c r="VFX28" s="191"/>
      <c r="VFZ28" s="191"/>
      <c r="VGA28" s="191"/>
      <c r="VGB28" s="191"/>
      <c r="VGD28" s="191"/>
      <c r="VGE28" s="191"/>
      <c r="VGF28" s="191"/>
      <c r="VGH28" s="191"/>
      <c r="VGI28" s="191"/>
      <c r="VGJ28" s="191"/>
      <c r="VGL28" s="191"/>
      <c r="VGM28" s="191"/>
      <c r="VGN28" s="191"/>
      <c r="VGP28" s="191"/>
      <c r="VGQ28" s="191"/>
      <c r="VGR28" s="191"/>
      <c r="VGT28" s="191"/>
      <c r="VGU28" s="191"/>
      <c r="VGV28" s="191"/>
      <c r="VGX28" s="191"/>
      <c r="VGY28" s="191"/>
      <c r="VGZ28" s="191"/>
      <c r="VHB28" s="191"/>
      <c r="VHC28" s="191"/>
      <c r="VHD28" s="191"/>
      <c r="VHF28" s="191"/>
      <c r="VHG28" s="191"/>
      <c r="VHH28" s="191"/>
      <c r="VHJ28" s="191"/>
      <c r="VHK28" s="191"/>
      <c r="VHL28" s="191"/>
      <c r="VHN28" s="191"/>
      <c r="VHO28" s="191"/>
      <c r="VHP28" s="191"/>
      <c r="VHR28" s="191"/>
      <c r="VHS28" s="191"/>
      <c r="VHT28" s="191"/>
      <c r="VHV28" s="191"/>
      <c r="VHW28" s="191"/>
      <c r="VHX28" s="191"/>
      <c r="VHZ28" s="191"/>
      <c r="VIA28" s="191"/>
      <c r="VIB28" s="191"/>
      <c r="VID28" s="191"/>
      <c r="VIE28" s="191"/>
      <c r="VIF28" s="191"/>
      <c r="VIH28" s="191"/>
      <c r="VII28" s="191"/>
      <c r="VIJ28" s="191"/>
      <c r="VIL28" s="191"/>
      <c r="VIM28" s="191"/>
      <c r="VIN28" s="191"/>
      <c r="VIP28" s="191"/>
      <c r="VIQ28" s="191"/>
      <c r="VIR28" s="191"/>
      <c r="VIT28" s="191"/>
      <c r="VIU28" s="191"/>
      <c r="VIV28" s="191"/>
      <c r="VIX28" s="191"/>
      <c r="VIY28" s="191"/>
      <c r="VIZ28" s="191"/>
      <c r="VJB28" s="191"/>
      <c r="VJC28" s="191"/>
      <c r="VJD28" s="191"/>
      <c r="VJF28" s="191"/>
      <c r="VJG28" s="191"/>
      <c r="VJH28" s="191"/>
      <c r="VJJ28" s="191"/>
      <c r="VJK28" s="191"/>
      <c r="VJL28" s="191"/>
      <c r="VJN28" s="191"/>
      <c r="VJO28" s="191"/>
      <c r="VJP28" s="191"/>
      <c r="VJR28" s="191"/>
      <c r="VJS28" s="191"/>
      <c r="VJT28" s="191"/>
      <c r="VJV28" s="191"/>
      <c r="VJW28" s="191"/>
      <c r="VJX28" s="191"/>
      <c r="VJZ28" s="191"/>
      <c r="VKA28" s="191"/>
      <c r="VKB28" s="191"/>
      <c r="VKD28" s="191"/>
      <c r="VKE28" s="191"/>
      <c r="VKF28" s="191"/>
      <c r="VKH28" s="191"/>
      <c r="VKI28" s="191"/>
      <c r="VKJ28" s="191"/>
      <c r="VKL28" s="191"/>
      <c r="VKM28" s="191"/>
      <c r="VKN28" s="191"/>
      <c r="VKP28" s="191"/>
      <c r="VKQ28" s="191"/>
      <c r="VKR28" s="191"/>
      <c r="VKT28" s="191"/>
      <c r="VKU28" s="191"/>
      <c r="VKV28" s="191"/>
      <c r="VKX28" s="191"/>
      <c r="VKY28" s="191"/>
      <c r="VKZ28" s="191"/>
      <c r="VLB28" s="191"/>
      <c r="VLC28" s="191"/>
      <c r="VLD28" s="191"/>
      <c r="VLF28" s="191"/>
      <c r="VLG28" s="191"/>
      <c r="VLH28" s="191"/>
      <c r="VLJ28" s="191"/>
      <c r="VLK28" s="191"/>
      <c r="VLL28" s="191"/>
      <c r="VLN28" s="191"/>
      <c r="VLO28" s="191"/>
      <c r="VLP28" s="191"/>
      <c r="VLR28" s="191"/>
      <c r="VLS28" s="191"/>
      <c r="VLT28" s="191"/>
      <c r="VLV28" s="191"/>
      <c r="VLW28" s="191"/>
      <c r="VLX28" s="191"/>
      <c r="VLZ28" s="191"/>
      <c r="VMA28" s="191"/>
      <c r="VMB28" s="191"/>
      <c r="VMD28" s="191"/>
      <c r="VME28" s="191"/>
      <c r="VMF28" s="191"/>
      <c r="VMH28" s="191"/>
      <c r="VMI28" s="191"/>
      <c r="VMJ28" s="191"/>
      <c r="VML28" s="191"/>
      <c r="VMM28" s="191"/>
      <c r="VMN28" s="191"/>
      <c r="VMP28" s="191"/>
      <c r="VMQ28" s="191"/>
      <c r="VMR28" s="191"/>
      <c r="VMT28" s="191"/>
      <c r="VMU28" s="191"/>
      <c r="VMV28" s="191"/>
      <c r="VMX28" s="191"/>
      <c r="VMY28" s="191"/>
      <c r="VMZ28" s="191"/>
      <c r="VNB28" s="191"/>
      <c r="VNC28" s="191"/>
      <c r="VND28" s="191"/>
      <c r="VNF28" s="191"/>
      <c r="VNG28" s="191"/>
      <c r="VNH28" s="191"/>
      <c r="VNJ28" s="191"/>
      <c r="VNK28" s="191"/>
      <c r="VNL28" s="191"/>
      <c r="VNN28" s="191"/>
      <c r="VNO28" s="191"/>
      <c r="VNP28" s="191"/>
      <c r="VNR28" s="191"/>
      <c r="VNS28" s="191"/>
      <c r="VNT28" s="191"/>
      <c r="VNV28" s="191"/>
      <c r="VNW28" s="191"/>
      <c r="VNX28" s="191"/>
      <c r="VNZ28" s="191"/>
      <c r="VOA28" s="191"/>
      <c r="VOB28" s="191"/>
      <c r="VOD28" s="191"/>
      <c r="VOE28" s="191"/>
      <c r="VOF28" s="191"/>
      <c r="VOH28" s="191"/>
      <c r="VOI28" s="191"/>
      <c r="VOJ28" s="191"/>
      <c r="VOL28" s="191"/>
      <c r="VOM28" s="191"/>
      <c r="VON28" s="191"/>
      <c r="VOP28" s="191"/>
      <c r="VOQ28" s="191"/>
      <c r="VOR28" s="191"/>
      <c r="VOT28" s="191"/>
      <c r="VOU28" s="191"/>
      <c r="VOV28" s="191"/>
      <c r="VOX28" s="191"/>
      <c r="VOY28" s="191"/>
      <c r="VOZ28" s="191"/>
      <c r="VPB28" s="191"/>
      <c r="VPC28" s="191"/>
      <c r="VPD28" s="191"/>
      <c r="VPF28" s="191"/>
      <c r="VPG28" s="191"/>
      <c r="VPH28" s="191"/>
      <c r="VPJ28" s="191"/>
      <c r="VPK28" s="191"/>
      <c r="VPL28" s="191"/>
      <c r="VPN28" s="191"/>
      <c r="VPO28" s="191"/>
      <c r="VPP28" s="191"/>
      <c r="VPR28" s="191"/>
      <c r="VPS28" s="191"/>
      <c r="VPT28" s="191"/>
      <c r="VPV28" s="191"/>
      <c r="VPW28" s="191"/>
      <c r="VPX28" s="191"/>
      <c r="VPZ28" s="191"/>
      <c r="VQA28" s="191"/>
      <c r="VQB28" s="191"/>
      <c r="VQD28" s="191"/>
      <c r="VQE28" s="191"/>
      <c r="VQF28" s="191"/>
      <c r="VQH28" s="191"/>
      <c r="VQI28" s="191"/>
      <c r="VQJ28" s="191"/>
      <c r="VQL28" s="191"/>
      <c r="VQM28" s="191"/>
      <c r="VQN28" s="191"/>
      <c r="VQP28" s="191"/>
      <c r="VQQ28" s="191"/>
      <c r="VQR28" s="191"/>
      <c r="VQT28" s="191"/>
      <c r="VQU28" s="191"/>
      <c r="VQV28" s="191"/>
      <c r="VQX28" s="191"/>
      <c r="VQY28" s="191"/>
      <c r="VQZ28" s="191"/>
      <c r="VRB28" s="191"/>
      <c r="VRC28" s="191"/>
      <c r="VRD28" s="191"/>
      <c r="VRF28" s="191"/>
      <c r="VRG28" s="191"/>
      <c r="VRH28" s="191"/>
      <c r="VRJ28" s="191"/>
      <c r="VRK28" s="191"/>
      <c r="VRL28" s="191"/>
      <c r="VRN28" s="191"/>
      <c r="VRO28" s="191"/>
      <c r="VRP28" s="191"/>
      <c r="VRR28" s="191"/>
      <c r="VRS28" s="191"/>
      <c r="VRT28" s="191"/>
      <c r="VRV28" s="191"/>
      <c r="VRW28" s="191"/>
      <c r="VRX28" s="191"/>
      <c r="VRZ28" s="191"/>
      <c r="VSA28" s="191"/>
      <c r="VSB28" s="191"/>
      <c r="VSD28" s="191"/>
      <c r="VSE28" s="191"/>
      <c r="VSF28" s="191"/>
      <c r="VSH28" s="191"/>
      <c r="VSI28" s="191"/>
      <c r="VSJ28" s="191"/>
      <c r="VSL28" s="191"/>
      <c r="VSM28" s="191"/>
      <c r="VSN28" s="191"/>
      <c r="VSP28" s="191"/>
      <c r="VSQ28" s="191"/>
      <c r="VSR28" s="191"/>
      <c r="VST28" s="191"/>
      <c r="VSU28" s="191"/>
      <c r="VSV28" s="191"/>
      <c r="VSX28" s="191"/>
      <c r="VSY28" s="191"/>
      <c r="VSZ28" s="191"/>
      <c r="VTB28" s="191"/>
      <c r="VTC28" s="191"/>
      <c r="VTD28" s="191"/>
      <c r="VTF28" s="191"/>
      <c r="VTG28" s="191"/>
      <c r="VTH28" s="191"/>
      <c r="VTJ28" s="191"/>
      <c r="VTK28" s="191"/>
      <c r="VTL28" s="191"/>
      <c r="VTN28" s="191"/>
      <c r="VTO28" s="191"/>
      <c r="VTP28" s="191"/>
      <c r="VTR28" s="191"/>
      <c r="VTS28" s="191"/>
      <c r="VTT28" s="191"/>
      <c r="VTV28" s="191"/>
      <c r="VTW28" s="191"/>
      <c r="VTX28" s="191"/>
      <c r="VTZ28" s="191"/>
      <c r="VUA28" s="191"/>
      <c r="VUB28" s="191"/>
      <c r="VUD28" s="191"/>
      <c r="VUE28" s="191"/>
      <c r="VUF28" s="191"/>
      <c r="VUH28" s="191"/>
      <c r="VUI28" s="191"/>
      <c r="VUJ28" s="191"/>
      <c r="VUL28" s="191"/>
      <c r="VUM28" s="191"/>
      <c r="VUN28" s="191"/>
      <c r="VUP28" s="191"/>
      <c r="VUQ28" s="191"/>
      <c r="VUR28" s="191"/>
      <c r="VUT28" s="191"/>
      <c r="VUU28" s="191"/>
      <c r="VUV28" s="191"/>
      <c r="VUX28" s="191"/>
      <c r="VUY28" s="191"/>
      <c r="VUZ28" s="191"/>
      <c r="VVB28" s="191"/>
      <c r="VVC28" s="191"/>
      <c r="VVD28" s="191"/>
      <c r="VVF28" s="191"/>
      <c r="VVG28" s="191"/>
      <c r="VVH28" s="191"/>
      <c r="VVJ28" s="191"/>
      <c r="VVK28" s="191"/>
      <c r="VVL28" s="191"/>
      <c r="VVN28" s="191"/>
      <c r="VVO28" s="191"/>
      <c r="VVP28" s="191"/>
      <c r="VVR28" s="191"/>
      <c r="VVS28" s="191"/>
      <c r="VVT28" s="191"/>
      <c r="VVV28" s="191"/>
      <c r="VVW28" s="191"/>
      <c r="VVX28" s="191"/>
      <c r="VVZ28" s="191"/>
      <c r="VWA28" s="191"/>
      <c r="VWB28" s="191"/>
      <c r="VWD28" s="191"/>
      <c r="VWE28" s="191"/>
      <c r="VWF28" s="191"/>
      <c r="VWH28" s="191"/>
      <c r="VWI28" s="191"/>
      <c r="VWJ28" s="191"/>
      <c r="VWL28" s="191"/>
      <c r="VWM28" s="191"/>
      <c r="VWN28" s="191"/>
      <c r="VWP28" s="191"/>
      <c r="VWQ28" s="191"/>
      <c r="VWR28" s="191"/>
      <c r="VWT28" s="191"/>
      <c r="VWU28" s="191"/>
      <c r="VWV28" s="191"/>
      <c r="VWX28" s="191"/>
      <c r="VWY28" s="191"/>
      <c r="VWZ28" s="191"/>
      <c r="VXB28" s="191"/>
      <c r="VXC28" s="191"/>
      <c r="VXD28" s="191"/>
      <c r="VXF28" s="191"/>
      <c r="VXG28" s="191"/>
      <c r="VXH28" s="191"/>
      <c r="VXJ28" s="191"/>
      <c r="VXK28" s="191"/>
      <c r="VXL28" s="191"/>
      <c r="VXN28" s="191"/>
      <c r="VXO28" s="191"/>
      <c r="VXP28" s="191"/>
      <c r="VXR28" s="191"/>
      <c r="VXS28" s="191"/>
      <c r="VXT28" s="191"/>
      <c r="VXV28" s="191"/>
      <c r="VXW28" s="191"/>
      <c r="VXX28" s="191"/>
      <c r="VXZ28" s="191"/>
      <c r="VYA28" s="191"/>
      <c r="VYB28" s="191"/>
      <c r="VYD28" s="191"/>
      <c r="VYE28" s="191"/>
      <c r="VYF28" s="191"/>
      <c r="VYH28" s="191"/>
      <c r="VYI28" s="191"/>
      <c r="VYJ28" s="191"/>
      <c r="VYL28" s="191"/>
      <c r="VYM28" s="191"/>
      <c r="VYN28" s="191"/>
      <c r="VYP28" s="191"/>
      <c r="VYQ28" s="191"/>
      <c r="VYR28" s="191"/>
      <c r="VYT28" s="191"/>
      <c r="VYU28" s="191"/>
      <c r="VYV28" s="191"/>
      <c r="VYX28" s="191"/>
      <c r="VYY28" s="191"/>
      <c r="VYZ28" s="191"/>
      <c r="VZB28" s="191"/>
      <c r="VZC28" s="191"/>
      <c r="VZD28" s="191"/>
      <c r="VZF28" s="191"/>
      <c r="VZG28" s="191"/>
      <c r="VZH28" s="191"/>
      <c r="VZJ28" s="191"/>
      <c r="VZK28" s="191"/>
      <c r="VZL28" s="191"/>
      <c r="VZN28" s="191"/>
      <c r="VZO28" s="191"/>
      <c r="VZP28" s="191"/>
      <c r="VZR28" s="191"/>
      <c r="VZS28" s="191"/>
      <c r="VZT28" s="191"/>
      <c r="VZV28" s="191"/>
      <c r="VZW28" s="191"/>
      <c r="VZX28" s="191"/>
      <c r="VZZ28" s="191"/>
      <c r="WAA28" s="191"/>
      <c r="WAB28" s="191"/>
      <c r="WAD28" s="191"/>
      <c r="WAE28" s="191"/>
      <c r="WAF28" s="191"/>
      <c r="WAH28" s="191"/>
      <c r="WAI28" s="191"/>
      <c r="WAJ28" s="191"/>
      <c r="WAL28" s="191"/>
      <c r="WAM28" s="191"/>
      <c r="WAN28" s="191"/>
      <c r="WAP28" s="191"/>
      <c r="WAQ28" s="191"/>
      <c r="WAR28" s="191"/>
      <c r="WAT28" s="191"/>
      <c r="WAU28" s="191"/>
      <c r="WAV28" s="191"/>
      <c r="WAX28" s="191"/>
      <c r="WAY28" s="191"/>
      <c r="WAZ28" s="191"/>
      <c r="WBB28" s="191"/>
      <c r="WBC28" s="191"/>
      <c r="WBD28" s="191"/>
      <c r="WBF28" s="191"/>
      <c r="WBG28" s="191"/>
      <c r="WBH28" s="191"/>
      <c r="WBJ28" s="191"/>
      <c r="WBK28" s="191"/>
      <c r="WBL28" s="191"/>
      <c r="WBN28" s="191"/>
      <c r="WBO28" s="191"/>
      <c r="WBP28" s="191"/>
      <c r="WBR28" s="191"/>
      <c r="WBS28" s="191"/>
      <c r="WBT28" s="191"/>
      <c r="WBV28" s="191"/>
      <c r="WBW28" s="191"/>
      <c r="WBX28" s="191"/>
      <c r="WBZ28" s="191"/>
      <c r="WCA28" s="191"/>
      <c r="WCB28" s="191"/>
      <c r="WCD28" s="191"/>
      <c r="WCE28" s="191"/>
      <c r="WCF28" s="191"/>
      <c r="WCH28" s="191"/>
      <c r="WCI28" s="191"/>
      <c r="WCJ28" s="191"/>
      <c r="WCL28" s="191"/>
      <c r="WCM28" s="191"/>
      <c r="WCN28" s="191"/>
      <c r="WCP28" s="191"/>
      <c r="WCQ28" s="191"/>
      <c r="WCR28" s="191"/>
      <c r="WCT28" s="191"/>
      <c r="WCU28" s="191"/>
      <c r="WCV28" s="191"/>
      <c r="WCX28" s="191"/>
      <c r="WCY28" s="191"/>
      <c r="WCZ28" s="191"/>
      <c r="WDB28" s="191"/>
      <c r="WDC28" s="191"/>
      <c r="WDD28" s="191"/>
      <c r="WDF28" s="191"/>
      <c r="WDG28" s="191"/>
      <c r="WDH28" s="191"/>
      <c r="WDJ28" s="191"/>
      <c r="WDK28" s="191"/>
      <c r="WDL28" s="191"/>
      <c r="WDN28" s="191"/>
      <c r="WDO28" s="191"/>
      <c r="WDP28" s="191"/>
      <c r="WDR28" s="191"/>
      <c r="WDS28" s="191"/>
      <c r="WDT28" s="191"/>
      <c r="WDV28" s="191"/>
      <c r="WDW28" s="191"/>
      <c r="WDX28" s="191"/>
      <c r="WDZ28" s="191"/>
      <c r="WEA28" s="191"/>
      <c r="WEB28" s="191"/>
      <c r="WED28" s="191"/>
      <c r="WEE28" s="191"/>
      <c r="WEF28" s="191"/>
      <c r="WEH28" s="191"/>
      <c r="WEI28" s="191"/>
      <c r="WEJ28" s="191"/>
      <c r="WEL28" s="191"/>
      <c r="WEM28" s="191"/>
      <c r="WEN28" s="191"/>
      <c r="WEP28" s="191"/>
      <c r="WEQ28" s="191"/>
      <c r="WER28" s="191"/>
      <c r="WET28" s="191"/>
      <c r="WEU28" s="191"/>
      <c r="WEV28" s="191"/>
      <c r="WEX28" s="191"/>
      <c r="WEY28" s="191"/>
      <c r="WEZ28" s="191"/>
      <c r="WFB28" s="191"/>
      <c r="WFC28" s="191"/>
      <c r="WFD28" s="191"/>
      <c r="WFF28" s="191"/>
      <c r="WFG28" s="191"/>
      <c r="WFH28" s="191"/>
      <c r="WFJ28" s="191"/>
      <c r="WFK28" s="191"/>
      <c r="WFL28" s="191"/>
      <c r="WFN28" s="191"/>
      <c r="WFO28" s="191"/>
      <c r="WFP28" s="191"/>
      <c r="WFR28" s="191"/>
      <c r="WFS28" s="191"/>
      <c r="WFT28" s="191"/>
      <c r="WFV28" s="191"/>
      <c r="WFW28" s="191"/>
      <c r="WFX28" s="191"/>
      <c r="WFZ28" s="191"/>
      <c r="WGA28" s="191"/>
      <c r="WGB28" s="191"/>
      <c r="WGD28" s="191"/>
      <c r="WGE28" s="191"/>
      <c r="WGF28" s="191"/>
      <c r="WGH28" s="191"/>
      <c r="WGI28" s="191"/>
      <c r="WGJ28" s="191"/>
      <c r="WGL28" s="191"/>
      <c r="WGM28" s="191"/>
      <c r="WGN28" s="191"/>
      <c r="WGP28" s="191"/>
      <c r="WGQ28" s="191"/>
      <c r="WGR28" s="191"/>
      <c r="WGT28" s="191"/>
      <c r="WGU28" s="191"/>
      <c r="WGV28" s="191"/>
      <c r="WGX28" s="191"/>
      <c r="WGY28" s="191"/>
      <c r="WGZ28" s="191"/>
      <c r="WHB28" s="191"/>
      <c r="WHC28" s="191"/>
      <c r="WHD28" s="191"/>
      <c r="WHF28" s="191"/>
      <c r="WHG28" s="191"/>
      <c r="WHH28" s="191"/>
      <c r="WHJ28" s="191"/>
      <c r="WHK28" s="191"/>
      <c r="WHL28" s="191"/>
      <c r="WHN28" s="191"/>
      <c r="WHO28" s="191"/>
      <c r="WHP28" s="191"/>
      <c r="WHR28" s="191"/>
      <c r="WHS28" s="191"/>
      <c r="WHT28" s="191"/>
      <c r="WHV28" s="191"/>
      <c r="WHW28" s="191"/>
      <c r="WHX28" s="191"/>
      <c r="WHZ28" s="191"/>
      <c r="WIA28" s="191"/>
      <c r="WIB28" s="191"/>
      <c r="WID28" s="191"/>
      <c r="WIE28" s="191"/>
      <c r="WIF28" s="191"/>
      <c r="WIH28" s="191"/>
      <c r="WII28" s="191"/>
      <c r="WIJ28" s="191"/>
      <c r="WIL28" s="191"/>
      <c r="WIM28" s="191"/>
      <c r="WIN28" s="191"/>
      <c r="WIP28" s="191"/>
      <c r="WIQ28" s="191"/>
      <c r="WIR28" s="191"/>
      <c r="WIT28" s="191"/>
      <c r="WIU28" s="191"/>
      <c r="WIV28" s="191"/>
      <c r="WIX28" s="191"/>
      <c r="WIY28" s="191"/>
      <c r="WIZ28" s="191"/>
      <c r="WJB28" s="191"/>
      <c r="WJC28" s="191"/>
      <c r="WJD28" s="191"/>
      <c r="WJF28" s="191"/>
      <c r="WJG28" s="191"/>
      <c r="WJH28" s="191"/>
      <c r="WJJ28" s="191"/>
      <c r="WJK28" s="191"/>
      <c r="WJL28" s="191"/>
      <c r="WJN28" s="191"/>
      <c r="WJO28" s="191"/>
      <c r="WJP28" s="191"/>
      <c r="WJR28" s="191"/>
      <c r="WJS28" s="191"/>
      <c r="WJT28" s="191"/>
      <c r="WJV28" s="191"/>
      <c r="WJW28" s="191"/>
      <c r="WJX28" s="191"/>
      <c r="WJZ28" s="191"/>
      <c r="WKA28" s="191"/>
      <c r="WKB28" s="191"/>
      <c r="WKD28" s="191"/>
      <c r="WKE28" s="191"/>
      <c r="WKF28" s="191"/>
      <c r="WKH28" s="191"/>
      <c r="WKI28" s="191"/>
      <c r="WKJ28" s="191"/>
      <c r="WKL28" s="191"/>
      <c r="WKM28" s="191"/>
      <c r="WKN28" s="191"/>
      <c r="WKP28" s="191"/>
      <c r="WKQ28" s="191"/>
      <c r="WKR28" s="191"/>
      <c r="WKT28" s="191"/>
      <c r="WKU28" s="191"/>
      <c r="WKV28" s="191"/>
      <c r="WKX28" s="191"/>
      <c r="WKY28" s="191"/>
      <c r="WKZ28" s="191"/>
      <c r="WLB28" s="191"/>
      <c r="WLC28" s="191"/>
      <c r="WLD28" s="191"/>
      <c r="WLF28" s="191"/>
      <c r="WLG28" s="191"/>
      <c r="WLH28" s="191"/>
      <c r="WLJ28" s="191"/>
      <c r="WLK28" s="191"/>
      <c r="WLL28" s="191"/>
      <c r="WLN28" s="191"/>
      <c r="WLO28" s="191"/>
      <c r="WLP28" s="191"/>
      <c r="WLR28" s="191"/>
      <c r="WLS28" s="191"/>
      <c r="WLT28" s="191"/>
      <c r="WLV28" s="191"/>
      <c r="WLW28" s="191"/>
      <c r="WLX28" s="191"/>
      <c r="WLZ28" s="191"/>
      <c r="WMA28" s="191"/>
      <c r="WMB28" s="191"/>
      <c r="WMD28" s="191"/>
      <c r="WME28" s="191"/>
      <c r="WMF28" s="191"/>
      <c r="WMH28" s="191"/>
      <c r="WMI28" s="191"/>
      <c r="WMJ28" s="191"/>
      <c r="WML28" s="191"/>
      <c r="WMM28" s="191"/>
      <c r="WMN28" s="191"/>
      <c r="WMP28" s="191"/>
      <c r="WMQ28" s="191"/>
      <c r="WMR28" s="191"/>
      <c r="WMT28" s="191"/>
      <c r="WMU28" s="191"/>
      <c r="WMV28" s="191"/>
      <c r="WMX28" s="191"/>
      <c r="WMY28" s="191"/>
      <c r="WMZ28" s="191"/>
      <c r="WNB28" s="191"/>
      <c r="WNC28" s="191"/>
      <c r="WND28" s="191"/>
      <c r="WNF28" s="191"/>
      <c r="WNG28" s="191"/>
      <c r="WNH28" s="191"/>
      <c r="WNJ28" s="191"/>
      <c r="WNK28" s="191"/>
      <c r="WNL28" s="191"/>
      <c r="WNN28" s="191"/>
      <c r="WNO28" s="191"/>
      <c r="WNP28" s="191"/>
      <c r="WNR28" s="191"/>
      <c r="WNS28" s="191"/>
      <c r="WNT28" s="191"/>
      <c r="WNV28" s="191"/>
      <c r="WNW28" s="191"/>
      <c r="WNX28" s="191"/>
      <c r="WNZ28" s="191"/>
      <c r="WOA28" s="191"/>
      <c r="WOB28" s="191"/>
      <c r="WOD28" s="191"/>
      <c r="WOE28" s="191"/>
      <c r="WOF28" s="191"/>
      <c r="WOH28" s="191"/>
      <c r="WOI28" s="191"/>
      <c r="WOJ28" s="191"/>
      <c r="WOL28" s="191"/>
      <c r="WOM28" s="191"/>
      <c r="WON28" s="191"/>
      <c r="WOP28" s="191"/>
      <c r="WOQ28" s="191"/>
      <c r="WOR28" s="191"/>
      <c r="WOT28" s="191"/>
      <c r="WOU28" s="191"/>
      <c r="WOV28" s="191"/>
      <c r="WOX28" s="191"/>
      <c r="WOY28" s="191"/>
      <c r="WOZ28" s="191"/>
      <c r="WPB28" s="191"/>
      <c r="WPC28" s="191"/>
      <c r="WPD28" s="191"/>
      <c r="WPF28" s="191"/>
      <c r="WPG28" s="191"/>
      <c r="WPH28" s="191"/>
      <c r="WPJ28" s="191"/>
      <c r="WPK28" s="191"/>
      <c r="WPL28" s="191"/>
      <c r="WPN28" s="191"/>
      <c r="WPO28" s="191"/>
      <c r="WPP28" s="191"/>
      <c r="WPR28" s="191"/>
      <c r="WPS28" s="191"/>
      <c r="WPT28" s="191"/>
      <c r="WPV28" s="191"/>
      <c r="WPW28" s="191"/>
      <c r="WPX28" s="191"/>
      <c r="WPZ28" s="191"/>
      <c r="WQA28" s="191"/>
      <c r="WQB28" s="191"/>
      <c r="WQD28" s="191"/>
      <c r="WQE28" s="191"/>
      <c r="WQF28" s="191"/>
      <c r="WQH28" s="191"/>
      <c r="WQI28" s="191"/>
      <c r="WQJ28" s="191"/>
      <c r="WQL28" s="191"/>
      <c r="WQM28" s="191"/>
      <c r="WQN28" s="191"/>
      <c r="WQP28" s="191"/>
      <c r="WQQ28" s="191"/>
      <c r="WQR28" s="191"/>
      <c r="WQT28" s="191"/>
      <c r="WQU28" s="191"/>
      <c r="WQV28" s="191"/>
      <c r="WQX28" s="191"/>
      <c r="WQY28" s="191"/>
      <c r="WQZ28" s="191"/>
      <c r="WRB28" s="191"/>
      <c r="WRC28" s="191"/>
      <c r="WRD28" s="191"/>
      <c r="WRF28" s="191"/>
      <c r="WRG28" s="191"/>
      <c r="WRH28" s="191"/>
      <c r="WRJ28" s="191"/>
      <c r="WRK28" s="191"/>
      <c r="WRL28" s="191"/>
      <c r="WRN28" s="191"/>
      <c r="WRO28" s="191"/>
      <c r="WRP28" s="191"/>
      <c r="WRR28" s="191"/>
      <c r="WRS28" s="191"/>
      <c r="WRT28" s="191"/>
      <c r="WRV28" s="191"/>
      <c r="WRW28" s="191"/>
      <c r="WRX28" s="191"/>
      <c r="WRZ28" s="191"/>
      <c r="WSA28" s="191"/>
      <c r="WSB28" s="191"/>
      <c r="WSD28" s="191"/>
      <c r="WSE28" s="191"/>
      <c r="WSF28" s="191"/>
      <c r="WSH28" s="191"/>
      <c r="WSI28" s="191"/>
      <c r="WSJ28" s="191"/>
      <c r="WSL28" s="191"/>
      <c r="WSM28" s="191"/>
      <c r="WSN28" s="191"/>
      <c r="WSP28" s="191"/>
      <c r="WSQ28" s="191"/>
      <c r="WSR28" s="191"/>
      <c r="WST28" s="191"/>
      <c r="WSU28" s="191"/>
      <c r="WSV28" s="191"/>
      <c r="WSX28" s="191"/>
      <c r="WSY28" s="191"/>
      <c r="WSZ28" s="191"/>
      <c r="WTB28" s="191"/>
      <c r="WTC28" s="191"/>
      <c r="WTD28" s="191"/>
      <c r="WTF28" s="191"/>
      <c r="WTG28" s="191"/>
      <c r="WTH28" s="191"/>
      <c r="WTJ28" s="191"/>
      <c r="WTK28" s="191"/>
      <c r="WTL28" s="191"/>
      <c r="WTN28" s="191"/>
      <c r="WTO28" s="191"/>
      <c r="WTP28" s="191"/>
      <c r="WTR28" s="191"/>
      <c r="WTS28" s="191"/>
      <c r="WTT28" s="191"/>
      <c r="WTV28" s="191"/>
      <c r="WTW28" s="191"/>
      <c r="WTX28" s="191"/>
      <c r="WTZ28" s="191"/>
      <c r="WUA28" s="191"/>
      <c r="WUB28" s="191"/>
      <c r="WUD28" s="191"/>
      <c r="WUE28" s="191"/>
      <c r="WUF28" s="191"/>
      <c r="WUH28" s="191"/>
      <c r="WUI28" s="191"/>
      <c r="WUJ28" s="191"/>
      <c r="WUL28" s="191"/>
      <c r="WUM28" s="191"/>
      <c r="WUN28" s="191"/>
      <c r="WUP28" s="191"/>
      <c r="WUQ28" s="191"/>
      <c r="WUR28" s="191"/>
      <c r="WUT28" s="191"/>
      <c r="WUU28" s="191"/>
      <c r="WUV28" s="191"/>
      <c r="WUX28" s="191"/>
      <c r="WUY28" s="191"/>
      <c r="WUZ28" s="191"/>
      <c r="WVB28" s="191"/>
      <c r="WVC28" s="191"/>
      <c r="WVD28" s="191"/>
      <c r="WVF28" s="191"/>
      <c r="WVG28" s="191"/>
      <c r="WVH28" s="191"/>
      <c r="WVJ28" s="191"/>
      <c r="WVK28" s="191"/>
      <c r="WVL28" s="191"/>
      <c r="WVN28" s="191"/>
      <c r="WVO28" s="191"/>
      <c r="WVP28" s="191"/>
      <c r="WVR28" s="191"/>
      <c r="WVS28" s="191"/>
      <c r="WVT28" s="191"/>
      <c r="WVV28" s="191"/>
      <c r="WVW28" s="191"/>
      <c r="WVX28" s="191"/>
      <c r="WVZ28" s="191"/>
      <c r="WWA28" s="191"/>
      <c r="WWB28" s="191"/>
      <c r="WWD28" s="191"/>
      <c r="WWE28" s="191"/>
      <c r="WWF28" s="191"/>
      <c r="WWH28" s="191"/>
      <c r="WWI28" s="191"/>
      <c r="WWJ28" s="191"/>
      <c r="WWL28" s="191"/>
      <c r="WWM28" s="191"/>
      <c r="WWN28" s="191"/>
      <c r="WWP28" s="191"/>
      <c r="WWQ28" s="191"/>
      <c r="WWR28" s="191"/>
      <c r="WWT28" s="191"/>
      <c r="WWU28" s="191"/>
      <c r="WWV28" s="191"/>
      <c r="WWX28" s="191"/>
      <c r="WWY28" s="191"/>
      <c r="WWZ28" s="191"/>
      <c r="WXB28" s="191"/>
      <c r="WXC28" s="191"/>
      <c r="WXD28" s="191"/>
      <c r="WXF28" s="191"/>
      <c r="WXG28" s="191"/>
      <c r="WXH28" s="191"/>
      <c r="WXJ28" s="191"/>
      <c r="WXK28" s="191"/>
      <c r="WXL28" s="191"/>
      <c r="WXN28" s="191"/>
      <c r="WXO28" s="191"/>
      <c r="WXP28" s="191"/>
      <c r="WXR28" s="191"/>
      <c r="WXS28" s="191"/>
      <c r="WXT28" s="191"/>
      <c r="WXV28" s="191"/>
      <c r="WXW28" s="191"/>
      <c r="WXX28" s="191"/>
      <c r="WXZ28" s="191"/>
      <c r="WYA28" s="191"/>
      <c r="WYB28" s="191"/>
      <c r="WYD28" s="191"/>
      <c r="WYE28" s="191"/>
      <c r="WYF28" s="191"/>
      <c r="WYH28" s="191"/>
      <c r="WYI28" s="191"/>
      <c r="WYJ28" s="191"/>
      <c r="WYL28" s="191"/>
      <c r="WYM28" s="191"/>
      <c r="WYN28" s="191"/>
      <c r="WYP28" s="191"/>
      <c r="WYQ28" s="191"/>
      <c r="WYR28" s="191"/>
      <c r="WYT28" s="191"/>
      <c r="WYU28" s="191"/>
      <c r="WYV28" s="191"/>
      <c r="WYX28" s="191"/>
      <c r="WYY28" s="191"/>
      <c r="WYZ28" s="191"/>
      <c r="WZB28" s="191"/>
      <c r="WZC28" s="191"/>
      <c r="WZD28" s="191"/>
      <c r="WZF28" s="191"/>
      <c r="WZG28" s="191"/>
      <c r="WZH28" s="191"/>
      <c r="WZJ28" s="191"/>
      <c r="WZK28" s="191"/>
      <c r="WZL28" s="191"/>
      <c r="WZN28" s="191"/>
      <c r="WZO28" s="191"/>
      <c r="WZP28" s="191"/>
      <c r="WZR28" s="191"/>
      <c r="WZS28" s="191"/>
      <c r="WZT28" s="191"/>
      <c r="WZV28" s="191"/>
      <c r="WZW28" s="191"/>
      <c r="WZX28" s="191"/>
      <c r="WZZ28" s="191"/>
      <c r="XAA28" s="191"/>
      <c r="XAB28" s="191"/>
      <c r="XAD28" s="191"/>
      <c r="XAE28" s="191"/>
      <c r="XAF28" s="191"/>
      <c r="XAH28" s="191"/>
      <c r="XAI28" s="191"/>
      <c r="XAJ28" s="191"/>
      <c r="XAL28" s="191"/>
      <c r="XAM28" s="191"/>
      <c r="XAN28" s="191"/>
      <c r="XAP28" s="191"/>
      <c r="XAQ28" s="191"/>
      <c r="XAR28" s="191"/>
      <c r="XAT28" s="191"/>
      <c r="XAU28" s="191"/>
      <c r="XAV28" s="191"/>
      <c r="XAX28" s="191"/>
      <c r="XAY28" s="191"/>
      <c r="XAZ28" s="191"/>
      <c r="XBB28" s="191"/>
      <c r="XBC28" s="191"/>
      <c r="XBD28" s="191"/>
      <c r="XBF28" s="191"/>
      <c r="XBG28" s="191"/>
      <c r="XBH28" s="191"/>
      <c r="XBJ28" s="191"/>
      <c r="XBK28" s="191"/>
      <c r="XBL28" s="191"/>
      <c r="XBN28" s="191"/>
      <c r="XBO28" s="191"/>
      <c r="XBP28" s="191"/>
      <c r="XBR28" s="191"/>
      <c r="XBS28" s="191"/>
      <c r="XBT28" s="191"/>
      <c r="XBV28" s="191"/>
      <c r="XBW28" s="191"/>
      <c r="XBX28" s="191"/>
      <c r="XBZ28" s="191"/>
      <c r="XCA28" s="191"/>
      <c r="XCB28" s="191"/>
      <c r="XCD28" s="191"/>
      <c r="XCE28" s="191"/>
      <c r="XCF28" s="191"/>
      <c r="XCH28" s="191"/>
      <c r="XCI28" s="191"/>
      <c r="XCJ28" s="191"/>
      <c r="XCL28" s="191"/>
      <c r="XCM28" s="191"/>
      <c r="XCN28" s="191"/>
      <c r="XCP28" s="191"/>
      <c r="XCQ28" s="191"/>
      <c r="XCR28" s="191"/>
      <c r="XCT28" s="191"/>
      <c r="XCU28" s="191"/>
      <c r="XCV28" s="191"/>
      <c r="XCX28" s="191"/>
      <c r="XCY28" s="191"/>
      <c r="XCZ28" s="191"/>
      <c r="XDB28" s="191"/>
      <c r="XDC28" s="191"/>
      <c r="XDD28" s="191"/>
      <c r="XDF28" s="191"/>
      <c r="XDG28" s="191"/>
      <c r="XDH28" s="191"/>
      <c r="XDJ28" s="191"/>
      <c r="XDK28" s="191"/>
      <c r="XDL28" s="191"/>
      <c r="XDN28" s="191"/>
      <c r="XDO28" s="191"/>
      <c r="XDP28" s="191"/>
      <c r="XDR28" s="191"/>
      <c r="XDS28" s="191"/>
      <c r="XDT28" s="191"/>
      <c r="XDV28" s="191"/>
      <c r="XDW28" s="191"/>
      <c r="XDX28" s="191"/>
      <c r="XDZ28" s="191"/>
      <c r="XEA28" s="191"/>
      <c r="XEB28" s="191"/>
      <c r="XED28" s="191"/>
      <c r="XEE28" s="191"/>
      <c r="XEF28" s="191"/>
      <c r="XEH28" s="191"/>
      <c r="XEI28" s="191"/>
      <c r="XEJ28" s="191"/>
      <c r="XEL28" s="191"/>
      <c r="XEM28" s="191"/>
      <c r="XEN28" s="191"/>
      <c r="XEP28" s="191"/>
      <c r="XEQ28" s="191"/>
      <c r="XER28" s="191"/>
      <c r="XET28" s="191"/>
      <c r="XEU28" s="191"/>
      <c r="XEV28" s="191"/>
      <c r="XEX28" s="191"/>
      <c r="XEY28" s="191"/>
      <c r="XEZ28" s="191"/>
      <c r="XFB28" s="191"/>
      <c r="XFC28" s="191"/>
      <c r="XFD28" s="191"/>
    </row>
    <row r="29" spans="1:1024 1026:2048 2050:3072 3074:4096 4098:5120 5122:6144 6146:7168 7170:8192 8194:9216 9218:10240 10242:11264 11266:12288 12290:13312 13314:14336 14338:15360 15362:16384" s="61" customFormat="1" x14ac:dyDescent="0.3">
      <c r="A29" s="196" t="s">
        <v>297</v>
      </c>
      <c r="B29" s="197">
        <v>4</v>
      </c>
      <c r="C29" s="197">
        <v>4</v>
      </c>
      <c r="D29" s="197">
        <v>4</v>
      </c>
      <c r="E29" s="197">
        <v>4</v>
      </c>
      <c r="F29" s="197">
        <v>4</v>
      </c>
      <c r="G29" s="197">
        <v>4</v>
      </c>
      <c r="H29" s="197">
        <v>4</v>
      </c>
      <c r="I29" s="197">
        <v>4</v>
      </c>
      <c r="J29" s="197">
        <v>4</v>
      </c>
      <c r="K29" s="197">
        <v>4</v>
      </c>
      <c r="L29" s="197">
        <v>4</v>
      </c>
      <c r="M29" s="197">
        <v>4</v>
      </c>
      <c r="N29" s="191"/>
      <c r="O29" s="191"/>
      <c r="P29" s="191"/>
      <c r="R29" s="191"/>
      <c r="S29" s="191"/>
      <c r="T29" s="191"/>
      <c r="V29" s="191"/>
      <c r="W29" s="191"/>
      <c r="X29" s="191"/>
      <c r="Z29" s="191"/>
      <c r="AA29" s="191"/>
      <c r="AB29" s="191"/>
      <c r="AD29" s="191"/>
      <c r="AE29" s="191"/>
      <c r="AF29" s="191"/>
      <c r="AH29" s="191"/>
      <c r="AI29" s="191"/>
      <c r="AJ29" s="191"/>
      <c r="AL29" s="191"/>
      <c r="AM29" s="191"/>
      <c r="AN29" s="191"/>
      <c r="AP29" s="191"/>
      <c r="AQ29" s="191"/>
      <c r="AR29" s="191"/>
      <c r="AT29" s="191"/>
      <c r="AU29" s="191"/>
      <c r="AV29" s="191"/>
      <c r="AX29" s="191"/>
      <c r="AY29" s="191"/>
      <c r="AZ29" s="191"/>
      <c r="BB29" s="191"/>
      <c r="BC29" s="191"/>
      <c r="BD29" s="191"/>
      <c r="BF29" s="191"/>
      <c r="BG29" s="191"/>
      <c r="BH29" s="191"/>
      <c r="BJ29" s="191"/>
      <c r="BK29" s="191"/>
      <c r="BL29" s="191"/>
      <c r="BN29" s="191"/>
      <c r="BO29" s="191"/>
      <c r="BP29" s="191"/>
      <c r="BR29" s="191"/>
      <c r="BS29" s="191"/>
      <c r="BT29" s="191"/>
      <c r="BV29" s="191"/>
      <c r="BW29" s="191"/>
      <c r="BX29" s="191"/>
      <c r="BZ29" s="191"/>
      <c r="CA29" s="191"/>
      <c r="CB29" s="191"/>
      <c r="CD29" s="191"/>
      <c r="CE29" s="191"/>
      <c r="CF29" s="191"/>
      <c r="CH29" s="191"/>
      <c r="CI29" s="191"/>
      <c r="CJ29" s="191"/>
      <c r="CL29" s="191"/>
      <c r="CM29" s="191"/>
      <c r="CN29" s="191"/>
      <c r="CP29" s="191"/>
      <c r="CQ29" s="191"/>
      <c r="CR29" s="191"/>
      <c r="CT29" s="191"/>
      <c r="CU29" s="191"/>
      <c r="CV29" s="191"/>
      <c r="CX29" s="191"/>
      <c r="CY29" s="191"/>
      <c r="CZ29" s="191"/>
      <c r="DB29" s="191"/>
      <c r="DC29" s="191"/>
      <c r="DD29" s="191"/>
      <c r="DF29" s="191"/>
      <c r="DG29" s="191"/>
      <c r="DH29" s="191"/>
      <c r="DJ29" s="191"/>
      <c r="DK29" s="191"/>
      <c r="DL29" s="191"/>
      <c r="DN29" s="191"/>
      <c r="DO29" s="191"/>
      <c r="DP29" s="191"/>
      <c r="DR29" s="191"/>
      <c r="DS29" s="191"/>
      <c r="DT29" s="191"/>
      <c r="DV29" s="191"/>
      <c r="DW29" s="191"/>
      <c r="DX29" s="191"/>
      <c r="DZ29" s="191"/>
      <c r="EA29" s="191"/>
      <c r="EB29" s="191"/>
      <c r="ED29" s="191"/>
      <c r="EE29" s="191"/>
      <c r="EF29" s="191"/>
      <c r="EH29" s="191"/>
      <c r="EI29" s="191"/>
      <c r="EJ29" s="191"/>
      <c r="EL29" s="191"/>
      <c r="EM29" s="191"/>
      <c r="EN29" s="191"/>
      <c r="EP29" s="191"/>
      <c r="EQ29" s="191"/>
      <c r="ER29" s="191"/>
      <c r="ET29" s="191"/>
      <c r="EU29" s="191"/>
      <c r="EV29" s="191"/>
      <c r="EX29" s="191"/>
      <c r="EY29" s="191"/>
      <c r="EZ29" s="191"/>
      <c r="FB29" s="191"/>
      <c r="FC29" s="191"/>
      <c r="FD29" s="191"/>
      <c r="FF29" s="191"/>
      <c r="FG29" s="191"/>
      <c r="FH29" s="191"/>
      <c r="FJ29" s="191"/>
      <c r="FK29" s="191"/>
      <c r="FL29" s="191"/>
      <c r="FN29" s="191"/>
      <c r="FO29" s="191"/>
      <c r="FP29" s="191"/>
      <c r="FR29" s="191"/>
      <c r="FS29" s="191"/>
      <c r="FT29" s="191"/>
      <c r="FV29" s="191"/>
      <c r="FW29" s="191"/>
      <c r="FX29" s="191"/>
      <c r="FZ29" s="191"/>
      <c r="GA29" s="191"/>
      <c r="GB29" s="191"/>
      <c r="GD29" s="191"/>
      <c r="GE29" s="191"/>
      <c r="GF29" s="191"/>
      <c r="GH29" s="191"/>
      <c r="GI29" s="191"/>
      <c r="GJ29" s="191"/>
      <c r="GL29" s="191"/>
      <c r="GM29" s="191"/>
      <c r="GN29" s="191"/>
      <c r="GP29" s="191"/>
      <c r="GQ29" s="191"/>
      <c r="GR29" s="191"/>
      <c r="GT29" s="191"/>
      <c r="GU29" s="191"/>
      <c r="GV29" s="191"/>
      <c r="GX29" s="191"/>
      <c r="GY29" s="191"/>
      <c r="GZ29" s="191"/>
      <c r="HB29" s="191"/>
      <c r="HC29" s="191"/>
      <c r="HD29" s="191"/>
      <c r="HF29" s="191"/>
      <c r="HG29" s="191"/>
      <c r="HH29" s="191"/>
      <c r="HJ29" s="191"/>
      <c r="HK29" s="191"/>
      <c r="HL29" s="191"/>
      <c r="HN29" s="191"/>
      <c r="HO29" s="191"/>
      <c r="HP29" s="191"/>
      <c r="HR29" s="191"/>
      <c r="HS29" s="191"/>
      <c r="HT29" s="191"/>
      <c r="HV29" s="191"/>
      <c r="HW29" s="191"/>
      <c r="HX29" s="191"/>
      <c r="HZ29" s="191"/>
      <c r="IA29" s="191"/>
      <c r="IB29" s="191"/>
      <c r="ID29" s="191"/>
      <c r="IE29" s="191"/>
      <c r="IF29" s="191"/>
      <c r="IH29" s="191"/>
      <c r="II29" s="191"/>
      <c r="IJ29" s="191"/>
      <c r="IL29" s="191"/>
      <c r="IM29" s="191"/>
      <c r="IN29" s="191"/>
      <c r="IP29" s="191"/>
      <c r="IQ29" s="191"/>
      <c r="IR29" s="191"/>
      <c r="IT29" s="191"/>
      <c r="IU29" s="191"/>
      <c r="IV29" s="191"/>
      <c r="IX29" s="191"/>
      <c r="IY29" s="191"/>
      <c r="IZ29" s="191"/>
      <c r="JB29" s="191"/>
      <c r="JC29" s="191"/>
      <c r="JD29" s="191"/>
      <c r="JF29" s="191"/>
      <c r="JG29" s="191"/>
      <c r="JH29" s="191"/>
      <c r="JJ29" s="191"/>
      <c r="JK29" s="191"/>
      <c r="JL29" s="191"/>
      <c r="JN29" s="191"/>
      <c r="JO29" s="191"/>
      <c r="JP29" s="191"/>
      <c r="JR29" s="191"/>
      <c r="JS29" s="191"/>
      <c r="JT29" s="191"/>
      <c r="JV29" s="191"/>
      <c r="JW29" s="191"/>
      <c r="JX29" s="191"/>
      <c r="JZ29" s="191"/>
      <c r="KA29" s="191"/>
      <c r="KB29" s="191"/>
      <c r="KD29" s="191"/>
      <c r="KE29" s="191"/>
      <c r="KF29" s="191"/>
      <c r="KH29" s="191"/>
      <c r="KI29" s="191"/>
      <c r="KJ29" s="191"/>
      <c r="KL29" s="191"/>
      <c r="KM29" s="191"/>
      <c r="KN29" s="191"/>
      <c r="KP29" s="191"/>
      <c r="KQ29" s="191"/>
      <c r="KR29" s="191"/>
      <c r="KT29" s="191"/>
      <c r="KU29" s="191"/>
      <c r="KV29" s="191"/>
      <c r="KX29" s="191"/>
      <c r="KY29" s="191"/>
      <c r="KZ29" s="191"/>
      <c r="LB29" s="191"/>
      <c r="LC29" s="191"/>
      <c r="LD29" s="191"/>
      <c r="LF29" s="191"/>
      <c r="LG29" s="191"/>
      <c r="LH29" s="191"/>
      <c r="LJ29" s="191"/>
      <c r="LK29" s="191"/>
      <c r="LL29" s="191"/>
      <c r="LN29" s="191"/>
      <c r="LO29" s="191"/>
      <c r="LP29" s="191"/>
      <c r="LR29" s="191"/>
      <c r="LS29" s="191"/>
      <c r="LT29" s="191"/>
      <c r="LV29" s="191"/>
      <c r="LW29" s="191"/>
      <c r="LX29" s="191"/>
      <c r="LZ29" s="191"/>
      <c r="MA29" s="191"/>
      <c r="MB29" s="191"/>
      <c r="MD29" s="191"/>
      <c r="ME29" s="191"/>
      <c r="MF29" s="191"/>
      <c r="MH29" s="191"/>
      <c r="MI29" s="191"/>
      <c r="MJ29" s="191"/>
      <c r="ML29" s="191"/>
      <c r="MM29" s="191"/>
      <c r="MN29" s="191"/>
      <c r="MP29" s="191"/>
      <c r="MQ29" s="191"/>
      <c r="MR29" s="191"/>
      <c r="MT29" s="191"/>
      <c r="MU29" s="191"/>
      <c r="MV29" s="191"/>
      <c r="MX29" s="191"/>
      <c r="MY29" s="191"/>
      <c r="MZ29" s="191"/>
      <c r="NB29" s="191"/>
      <c r="NC29" s="191"/>
      <c r="ND29" s="191"/>
      <c r="NF29" s="191"/>
      <c r="NG29" s="191"/>
      <c r="NH29" s="191"/>
      <c r="NJ29" s="191"/>
      <c r="NK29" s="191"/>
      <c r="NL29" s="191"/>
      <c r="NN29" s="191"/>
      <c r="NO29" s="191"/>
      <c r="NP29" s="191"/>
      <c r="NR29" s="191"/>
      <c r="NS29" s="191"/>
      <c r="NT29" s="191"/>
      <c r="NV29" s="191"/>
      <c r="NW29" s="191"/>
      <c r="NX29" s="191"/>
      <c r="NZ29" s="191"/>
      <c r="OA29" s="191"/>
      <c r="OB29" s="191"/>
      <c r="OD29" s="191"/>
      <c r="OE29" s="191"/>
      <c r="OF29" s="191"/>
      <c r="OH29" s="191"/>
      <c r="OI29" s="191"/>
      <c r="OJ29" s="191"/>
      <c r="OL29" s="191"/>
      <c r="OM29" s="191"/>
      <c r="ON29" s="191"/>
      <c r="OP29" s="191"/>
      <c r="OQ29" s="191"/>
      <c r="OR29" s="191"/>
      <c r="OT29" s="191"/>
      <c r="OU29" s="191"/>
      <c r="OV29" s="191"/>
      <c r="OX29" s="191"/>
      <c r="OY29" s="191"/>
      <c r="OZ29" s="191"/>
      <c r="PB29" s="191"/>
      <c r="PC29" s="191"/>
      <c r="PD29" s="191"/>
      <c r="PF29" s="191"/>
      <c r="PG29" s="191"/>
      <c r="PH29" s="191"/>
      <c r="PJ29" s="191"/>
      <c r="PK29" s="191"/>
      <c r="PL29" s="191"/>
      <c r="PN29" s="191"/>
      <c r="PO29" s="191"/>
      <c r="PP29" s="191"/>
      <c r="PR29" s="191"/>
      <c r="PS29" s="191"/>
      <c r="PT29" s="191"/>
      <c r="PV29" s="191"/>
      <c r="PW29" s="191"/>
      <c r="PX29" s="191"/>
      <c r="PZ29" s="191"/>
      <c r="QA29" s="191"/>
      <c r="QB29" s="191"/>
      <c r="QD29" s="191"/>
      <c r="QE29" s="191"/>
      <c r="QF29" s="191"/>
      <c r="QH29" s="191"/>
      <c r="QI29" s="191"/>
      <c r="QJ29" s="191"/>
      <c r="QL29" s="191"/>
      <c r="QM29" s="191"/>
      <c r="QN29" s="191"/>
      <c r="QP29" s="191"/>
      <c r="QQ29" s="191"/>
      <c r="QR29" s="191"/>
      <c r="QT29" s="191"/>
      <c r="QU29" s="191"/>
      <c r="QV29" s="191"/>
      <c r="QX29" s="191"/>
      <c r="QY29" s="191"/>
      <c r="QZ29" s="191"/>
      <c r="RB29" s="191"/>
      <c r="RC29" s="191"/>
      <c r="RD29" s="191"/>
      <c r="RF29" s="191"/>
      <c r="RG29" s="191"/>
      <c r="RH29" s="191"/>
      <c r="RJ29" s="191"/>
      <c r="RK29" s="191"/>
      <c r="RL29" s="191"/>
      <c r="RN29" s="191"/>
      <c r="RO29" s="191"/>
      <c r="RP29" s="191"/>
      <c r="RR29" s="191"/>
      <c r="RS29" s="191"/>
      <c r="RT29" s="191"/>
      <c r="RV29" s="191"/>
      <c r="RW29" s="191"/>
      <c r="RX29" s="191"/>
      <c r="RZ29" s="191"/>
      <c r="SA29" s="191"/>
      <c r="SB29" s="191"/>
      <c r="SD29" s="191"/>
      <c r="SE29" s="191"/>
      <c r="SF29" s="191"/>
      <c r="SH29" s="191"/>
      <c r="SI29" s="191"/>
      <c r="SJ29" s="191"/>
      <c r="SL29" s="191"/>
      <c r="SM29" s="191"/>
      <c r="SN29" s="191"/>
      <c r="SP29" s="191"/>
      <c r="SQ29" s="191"/>
      <c r="SR29" s="191"/>
      <c r="ST29" s="191"/>
      <c r="SU29" s="191"/>
      <c r="SV29" s="191"/>
      <c r="SX29" s="191"/>
      <c r="SY29" s="191"/>
      <c r="SZ29" s="191"/>
      <c r="TB29" s="191"/>
      <c r="TC29" s="191"/>
      <c r="TD29" s="191"/>
      <c r="TF29" s="191"/>
      <c r="TG29" s="191"/>
      <c r="TH29" s="191"/>
      <c r="TJ29" s="191"/>
      <c r="TK29" s="191"/>
      <c r="TL29" s="191"/>
      <c r="TN29" s="191"/>
      <c r="TO29" s="191"/>
      <c r="TP29" s="191"/>
      <c r="TR29" s="191"/>
      <c r="TS29" s="191"/>
      <c r="TT29" s="191"/>
      <c r="TV29" s="191"/>
      <c r="TW29" s="191"/>
      <c r="TX29" s="191"/>
      <c r="TZ29" s="191"/>
      <c r="UA29" s="191"/>
      <c r="UB29" s="191"/>
      <c r="UD29" s="191"/>
      <c r="UE29" s="191"/>
      <c r="UF29" s="191"/>
      <c r="UH29" s="191"/>
      <c r="UI29" s="191"/>
      <c r="UJ29" s="191"/>
      <c r="UL29" s="191"/>
      <c r="UM29" s="191"/>
      <c r="UN29" s="191"/>
      <c r="UP29" s="191"/>
      <c r="UQ29" s="191"/>
      <c r="UR29" s="191"/>
      <c r="UT29" s="191"/>
      <c r="UU29" s="191"/>
      <c r="UV29" s="191"/>
      <c r="UX29" s="191"/>
      <c r="UY29" s="191"/>
      <c r="UZ29" s="191"/>
      <c r="VB29" s="191"/>
      <c r="VC29" s="191"/>
      <c r="VD29" s="191"/>
      <c r="VF29" s="191"/>
      <c r="VG29" s="191"/>
      <c r="VH29" s="191"/>
      <c r="VJ29" s="191"/>
      <c r="VK29" s="191"/>
      <c r="VL29" s="191"/>
      <c r="VN29" s="191"/>
      <c r="VO29" s="191"/>
      <c r="VP29" s="191"/>
      <c r="VR29" s="191"/>
      <c r="VS29" s="191"/>
      <c r="VT29" s="191"/>
      <c r="VV29" s="191"/>
      <c r="VW29" s="191"/>
      <c r="VX29" s="191"/>
      <c r="VZ29" s="191"/>
      <c r="WA29" s="191"/>
      <c r="WB29" s="191"/>
      <c r="WD29" s="191"/>
      <c r="WE29" s="191"/>
      <c r="WF29" s="191"/>
      <c r="WH29" s="191"/>
      <c r="WI29" s="191"/>
      <c r="WJ29" s="191"/>
      <c r="WL29" s="191"/>
      <c r="WM29" s="191"/>
      <c r="WN29" s="191"/>
      <c r="WP29" s="191"/>
      <c r="WQ29" s="191"/>
      <c r="WR29" s="191"/>
      <c r="WT29" s="191"/>
      <c r="WU29" s="191"/>
      <c r="WV29" s="191"/>
      <c r="WX29" s="191"/>
      <c r="WY29" s="191"/>
      <c r="WZ29" s="191"/>
      <c r="XB29" s="191"/>
      <c r="XC29" s="191"/>
      <c r="XD29" s="191"/>
      <c r="XF29" s="191"/>
      <c r="XG29" s="191"/>
      <c r="XH29" s="191"/>
      <c r="XJ29" s="191"/>
      <c r="XK29" s="191"/>
      <c r="XL29" s="191"/>
      <c r="XN29" s="191"/>
      <c r="XO29" s="191"/>
      <c r="XP29" s="191"/>
      <c r="XR29" s="191"/>
      <c r="XS29" s="191"/>
      <c r="XT29" s="191"/>
      <c r="XV29" s="191"/>
      <c r="XW29" s="191"/>
      <c r="XX29" s="191"/>
      <c r="XZ29" s="191"/>
      <c r="YA29" s="191"/>
      <c r="YB29" s="191"/>
      <c r="YD29" s="191"/>
      <c r="YE29" s="191"/>
      <c r="YF29" s="191"/>
      <c r="YH29" s="191"/>
      <c r="YI29" s="191"/>
      <c r="YJ29" s="191"/>
      <c r="YL29" s="191"/>
      <c r="YM29" s="191"/>
      <c r="YN29" s="191"/>
      <c r="YP29" s="191"/>
      <c r="YQ29" s="191"/>
      <c r="YR29" s="191"/>
      <c r="YT29" s="191"/>
      <c r="YU29" s="191"/>
      <c r="YV29" s="191"/>
      <c r="YX29" s="191"/>
      <c r="YY29" s="191"/>
      <c r="YZ29" s="191"/>
      <c r="ZB29" s="191"/>
      <c r="ZC29" s="191"/>
      <c r="ZD29" s="191"/>
      <c r="ZF29" s="191"/>
      <c r="ZG29" s="191"/>
      <c r="ZH29" s="191"/>
      <c r="ZJ29" s="191"/>
      <c r="ZK29" s="191"/>
      <c r="ZL29" s="191"/>
      <c r="ZN29" s="191"/>
      <c r="ZO29" s="191"/>
      <c r="ZP29" s="191"/>
      <c r="ZR29" s="191"/>
      <c r="ZS29" s="191"/>
      <c r="ZT29" s="191"/>
      <c r="ZV29" s="191"/>
      <c r="ZW29" s="191"/>
      <c r="ZX29" s="191"/>
      <c r="ZZ29" s="191"/>
      <c r="AAA29" s="191"/>
      <c r="AAB29" s="191"/>
      <c r="AAD29" s="191"/>
      <c r="AAE29" s="191"/>
      <c r="AAF29" s="191"/>
      <c r="AAH29" s="191"/>
      <c r="AAI29" s="191"/>
      <c r="AAJ29" s="191"/>
      <c r="AAL29" s="191"/>
      <c r="AAM29" s="191"/>
      <c r="AAN29" s="191"/>
      <c r="AAP29" s="191"/>
      <c r="AAQ29" s="191"/>
      <c r="AAR29" s="191"/>
      <c r="AAT29" s="191"/>
      <c r="AAU29" s="191"/>
      <c r="AAV29" s="191"/>
      <c r="AAX29" s="191"/>
      <c r="AAY29" s="191"/>
      <c r="AAZ29" s="191"/>
      <c r="ABB29" s="191"/>
      <c r="ABC29" s="191"/>
      <c r="ABD29" s="191"/>
      <c r="ABF29" s="191"/>
      <c r="ABG29" s="191"/>
      <c r="ABH29" s="191"/>
      <c r="ABJ29" s="191"/>
      <c r="ABK29" s="191"/>
      <c r="ABL29" s="191"/>
      <c r="ABN29" s="191"/>
      <c r="ABO29" s="191"/>
      <c r="ABP29" s="191"/>
      <c r="ABR29" s="191"/>
      <c r="ABS29" s="191"/>
      <c r="ABT29" s="191"/>
      <c r="ABV29" s="191"/>
      <c r="ABW29" s="191"/>
      <c r="ABX29" s="191"/>
      <c r="ABZ29" s="191"/>
      <c r="ACA29" s="191"/>
      <c r="ACB29" s="191"/>
      <c r="ACD29" s="191"/>
      <c r="ACE29" s="191"/>
      <c r="ACF29" s="191"/>
      <c r="ACH29" s="191"/>
      <c r="ACI29" s="191"/>
      <c r="ACJ29" s="191"/>
      <c r="ACL29" s="191"/>
      <c r="ACM29" s="191"/>
      <c r="ACN29" s="191"/>
      <c r="ACP29" s="191"/>
      <c r="ACQ29" s="191"/>
      <c r="ACR29" s="191"/>
      <c r="ACT29" s="191"/>
      <c r="ACU29" s="191"/>
      <c r="ACV29" s="191"/>
      <c r="ACX29" s="191"/>
      <c r="ACY29" s="191"/>
      <c r="ACZ29" s="191"/>
      <c r="ADB29" s="191"/>
      <c r="ADC29" s="191"/>
      <c r="ADD29" s="191"/>
      <c r="ADF29" s="191"/>
      <c r="ADG29" s="191"/>
      <c r="ADH29" s="191"/>
      <c r="ADJ29" s="191"/>
      <c r="ADK29" s="191"/>
      <c r="ADL29" s="191"/>
      <c r="ADN29" s="191"/>
      <c r="ADO29" s="191"/>
      <c r="ADP29" s="191"/>
      <c r="ADR29" s="191"/>
      <c r="ADS29" s="191"/>
      <c r="ADT29" s="191"/>
      <c r="ADV29" s="191"/>
      <c r="ADW29" s="191"/>
      <c r="ADX29" s="191"/>
      <c r="ADZ29" s="191"/>
      <c r="AEA29" s="191"/>
      <c r="AEB29" s="191"/>
      <c r="AED29" s="191"/>
      <c r="AEE29" s="191"/>
      <c r="AEF29" s="191"/>
      <c r="AEH29" s="191"/>
      <c r="AEI29" s="191"/>
      <c r="AEJ29" s="191"/>
      <c r="AEL29" s="191"/>
      <c r="AEM29" s="191"/>
      <c r="AEN29" s="191"/>
      <c r="AEP29" s="191"/>
      <c r="AEQ29" s="191"/>
      <c r="AER29" s="191"/>
      <c r="AET29" s="191"/>
      <c r="AEU29" s="191"/>
      <c r="AEV29" s="191"/>
      <c r="AEX29" s="191"/>
      <c r="AEY29" s="191"/>
      <c r="AEZ29" s="191"/>
      <c r="AFB29" s="191"/>
      <c r="AFC29" s="191"/>
      <c r="AFD29" s="191"/>
      <c r="AFF29" s="191"/>
      <c r="AFG29" s="191"/>
      <c r="AFH29" s="191"/>
      <c r="AFJ29" s="191"/>
      <c r="AFK29" s="191"/>
      <c r="AFL29" s="191"/>
      <c r="AFN29" s="191"/>
      <c r="AFO29" s="191"/>
      <c r="AFP29" s="191"/>
      <c r="AFR29" s="191"/>
      <c r="AFS29" s="191"/>
      <c r="AFT29" s="191"/>
      <c r="AFV29" s="191"/>
      <c r="AFW29" s="191"/>
      <c r="AFX29" s="191"/>
      <c r="AFZ29" s="191"/>
      <c r="AGA29" s="191"/>
      <c r="AGB29" s="191"/>
      <c r="AGD29" s="191"/>
      <c r="AGE29" s="191"/>
      <c r="AGF29" s="191"/>
      <c r="AGH29" s="191"/>
      <c r="AGI29" s="191"/>
      <c r="AGJ29" s="191"/>
      <c r="AGL29" s="191"/>
      <c r="AGM29" s="191"/>
      <c r="AGN29" s="191"/>
      <c r="AGP29" s="191"/>
      <c r="AGQ29" s="191"/>
      <c r="AGR29" s="191"/>
      <c r="AGT29" s="191"/>
      <c r="AGU29" s="191"/>
      <c r="AGV29" s="191"/>
      <c r="AGX29" s="191"/>
      <c r="AGY29" s="191"/>
      <c r="AGZ29" s="191"/>
      <c r="AHB29" s="191"/>
      <c r="AHC29" s="191"/>
      <c r="AHD29" s="191"/>
      <c r="AHF29" s="191"/>
      <c r="AHG29" s="191"/>
      <c r="AHH29" s="191"/>
      <c r="AHJ29" s="191"/>
      <c r="AHK29" s="191"/>
      <c r="AHL29" s="191"/>
      <c r="AHN29" s="191"/>
      <c r="AHO29" s="191"/>
      <c r="AHP29" s="191"/>
      <c r="AHR29" s="191"/>
      <c r="AHS29" s="191"/>
      <c r="AHT29" s="191"/>
      <c r="AHV29" s="191"/>
      <c r="AHW29" s="191"/>
      <c r="AHX29" s="191"/>
      <c r="AHZ29" s="191"/>
      <c r="AIA29" s="191"/>
      <c r="AIB29" s="191"/>
      <c r="AID29" s="191"/>
      <c r="AIE29" s="191"/>
      <c r="AIF29" s="191"/>
      <c r="AIH29" s="191"/>
      <c r="AII29" s="191"/>
      <c r="AIJ29" s="191"/>
      <c r="AIL29" s="191"/>
      <c r="AIM29" s="191"/>
      <c r="AIN29" s="191"/>
      <c r="AIP29" s="191"/>
      <c r="AIQ29" s="191"/>
      <c r="AIR29" s="191"/>
      <c r="AIT29" s="191"/>
      <c r="AIU29" s="191"/>
      <c r="AIV29" s="191"/>
      <c r="AIX29" s="191"/>
      <c r="AIY29" s="191"/>
      <c r="AIZ29" s="191"/>
      <c r="AJB29" s="191"/>
      <c r="AJC29" s="191"/>
      <c r="AJD29" s="191"/>
      <c r="AJF29" s="191"/>
      <c r="AJG29" s="191"/>
      <c r="AJH29" s="191"/>
      <c r="AJJ29" s="191"/>
      <c r="AJK29" s="191"/>
      <c r="AJL29" s="191"/>
      <c r="AJN29" s="191"/>
      <c r="AJO29" s="191"/>
      <c r="AJP29" s="191"/>
      <c r="AJR29" s="191"/>
      <c r="AJS29" s="191"/>
      <c r="AJT29" s="191"/>
      <c r="AJV29" s="191"/>
      <c r="AJW29" s="191"/>
      <c r="AJX29" s="191"/>
      <c r="AJZ29" s="191"/>
      <c r="AKA29" s="191"/>
      <c r="AKB29" s="191"/>
      <c r="AKD29" s="191"/>
      <c r="AKE29" s="191"/>
      <c r="AKF29" s="191"/>
      <c r="AKH29" s="191"/>
      <c r="AKI29" s="191"/>
      <c r="AKJ29" s="191"/>
      <c r="AKL29" s="191"/>
      <c r="AKM29" s="191"/>
      <c r="AKN29" s="191"/>
      <c r="AKP29" s="191"/>
      <c r="AKQ29" s="191"/>
      <c r="AKR29" s="191"/>
      <c r="AKT29" s="191"/>
      <c r="AKU29" s="191"/>
      <c r="AKV29" s="191"/>
      <c r="AKX29" s="191"/>
      <c r="AKY29" s="191"/>
      <c r="AKZ29" s="191"/>
      <c r="ALB29" s="191"/>
      <c r="ALC29" s="191"/>
      <c r="ALD29" s="191"/>
      <c r="ALF29" s="191"/>
      <c r="ALG29" s="191"/>
      <c r="ALH29" s="191"/>
      <c r="ALJ29" s="191"/>
      <c r="ALK29" s="191"/>
      <c r="ALL29" s="191"/>
      <c r="ALN29" s="191"/>
      <c r="ALO29" s="191"/>
      <c r="ALP29" s="191"/>
      <c r="ALR29" s="191"/>
      <c r="ALS29" s="191"/>
      <c r="ALT29" s="191"/>
      <c r="ALV29" s="191"/>
      <c r="ALW29" s="191"/>
      <c r="ALX29" s="191"/>
      <c r="ALZ29" s="191"/>
      <c r="AMA29" s="191"/>
      <c r="AMB29" s="191"/>
      <c r="AMD29" s="191"/>
      <c r="AME29" s="191"/>
      <c r="AMF29" s="191"/>
      <c r="AMH29" s="191"/>
      <c r="AMI29" s="191"/>
      <c r="AMJ29" s="191"/>
      <c r="AML29" s="191"/>
      <c r="AMM29" s="191"/>
      <c r="AMN29" s="191"/>
      <c r="AMP29" s="191"/>
      <c r="AMQ29" s="191"/>
      <c r="AMR29" s="191"/>
      <c r="AMT29" s="191"/>
      <c r="AMU29" s="191"/>
      <c r="AMV29" s="191"/>
      <c r="AMX29" s="191"/>
      <c r="AMY29" s="191"/>
      <c r="AMZ29" s="191"/>
      <c r="ANB29" s="191"/>
      <c r="ANC29" s="191"/>
      <c r="AND29" s="191"/>
      <c r="ANF29" s="191"/>
      <c r="ANG29" s="191"/>
      <c r="ANH29" s="191"/>
      <c r="ANJ29" s="191"/>
      <c r="ANK29" s="191"/>
      <c r="ANL29" s="191"/>
      <c r="ANN29" s="191"/>
      <c r="ANO29" s="191"/>
      <c r="ANP29" s="191"/>
      <c r="ANR29" s="191"/>
      <c r="ANS29" s="191"/>
      <c r="ANT29" s="191"/>
      <c r="ANV29" s="191"/>
      <c r="ANW29" s="191"/>
      <c r="ANX29" s="191"/>
      <c r="ANZ29" s="191"/>
      <c r="AOA29" s="191"/>
      <c r="AOB29" s="191"/>
      <c r="AOD29" s="191"/>
      <c r="AOE29" s="191"/>
      <c r="AOF29" s="191"/>
      <c r="AOH29" s="191"/>
      <c r="AOI29" s="191"/>
      <c r="AOJ29" s="191"/>
      <c r="AOL29" s="191"/>
      <c r="AOM29" s="191"/>
      <c r="AON29" s="191"/>
      <c r="AOP29" s="191"/>
      <c r="AOQ29" s="191"/>
      <c r="AOR29" s="191"/>
      <c r="AOT29" s="191"/>
      <c r="AOU29" s="191"/>
      <c r="AOV29" s="191"/>
      <c r="AOX29" s="191"/>
      <c r="AOY29" s="191"/>
      <c r="AOZ29" s="191"/>
      <c r="APB29" s="191"/>
      <c r="APC29" s="191"/>
      <c r="APD29" s="191"/>
      <c r="APF29" s="191"/>
      <c r="APG29" s="191"/>
      <c r="APH29" s="191"/>
      <c r="APJ29" s="191"/>
      <c r="APK29" s="191"/>
      <c r="APL29" s="191"/>
      <c r="APN29" s="191"/>
      <c r="APO29" s="191"/>
      <c r="APP29" s="191"/>
      <c r="APR29" s="191"/>
      <c r="APS29" s="191"/>
      <c r="APT29" s="191"/>
      <c r="APV29" s="191"/>
      <c r="APW29" s="191"/>
      <c r="APX29" s="191"/>
      <c r="APZ29" s="191"/>
      <c r="AQA29" s="191"/>
      <c r="AQB29" s="191"/>
      <c r="AQD29" s="191"/>
      <c r="AQE29" s="191"/>
      <c r="AQF29" s="191"/>
      <c r="AQH29" s="191"/>
      <c r="AQI29" s="191"/>
      <c r="AQJ29" s="191"/>
      <c r="AQL29" s="191"/>
      <c r="AQM29" s="191"/>
      <c r="AQN29" s="191"/>
      <c r="AQP29" s="191"/>
      <c r="AQQ29" s="191"/>
      <c r="AQR29" s="191"/>
      <c r="AQT29" s="191"/>
      <c r="AQU29" s="191"/>
      <c r="AQV29" s="191"/>
      <c r="AQX29" s="191"/>
      <c r="AQY29" s="191"/>
      <c r="AQZ29" s="191"/>
      <c r="ARB29" s="191"/>
      <c r="ARC29" s="191"/>
      <c r="ARD29" s="191"/>
      <c r="ARF29" s="191"/>
      <c r="ARG29" s="191"/>
      <c r="ARH29" s="191"/>
      <c r="ARJ29" s="191"/>
      <c r="ARK29" s="191"/>
      <c r="ARL29" s="191"/>
      <c r="ARN29" s="191"/>
      <c r="ARO29" s="191"/>
      <c r="ARP29" s="191"/>
      <c r="ARR29" s="191"/>
      <c r="ARS29" s="191"/>
      <c r="ART29" s="191"/>
      <c r="ARV29" s="191"/>
      <c r="ARW29" s="191"/>
      <c r="ARX29" s="191"/>
      <c r="ARZ29" s="191"/>
      <c r="ASA29" s="191"/>
      <c r="ASB29" s="191"/>
      <c r="ASD29" s="191"/>
      <c r="ASE29" s="191"/>
      <c r="ASF29" s="191"/>
      <c r="ASH29" s="191"/>
      <c r="ASI29" s="191"/>
      <c r="ASJ29" s="191"/>
      <c r="ASL29" s="191"/>
      <c r="ASM29" s="191"/>
      <c r="ASN29" s="191"/>
      <c r="ASP29" s="191"/>
      <c r="ASQ29" s="191"/>
      <c r="ASR29" s="191"/>
      <c r="AST29" s="191"/>
      <c r="ASU29" s="191"/>
      <c r="ASV29" s="191"/>
      <c r="ASX29" s="191"/>
      <c r="ASY29" s="191"/>
      <c r="ASZ29" s="191"/>
      <c r="ATB29" s="191"/>
      <c r="ATC29" s="191"/>
      <c r="ATD29" s="191"/>
      <c r="ATF29" s="191"/>
      <c r="ATG29" s="191"/>
      <c r="ATH29" s="191"/>
      <c r="ATJ29" s="191"/>
      <c r="ATK29" s="191"/>
      <c r="ATL29" s="191"/>
      <c r="ATN29" s="191"/>
      <c r="ATO29" s="191"/>
      <c r="ATP29" s="191"/>
      <c r="ATR29" s="191"/>
      <c r="ATS29" s="191"/>
      <c r="ATT29" s="191"/>
      <c r="ATV29" s="191"/>
      <c r="ATW29" s="191"/>
      <c r="ATX29" s="191"/>
      <c r="ATZ29" s="191"/>
      <c r="AUA29" s="191"/>
      <c r="AUB29" s="191"/>
      <c r="AUD29" s="191"/>
      <c r="AUE29" s="191"/>
      <c r="AUF29" s="191"/>
      <c r="AUH29" s="191"/>
      <c r="AUI29" s="191"/>
      <c r="AUJ29" s="191"/>
      <c r="AUL29" s="191"/>
      <c r="AUM29" s="191"/>
      <c r="AUN29" s="191"/>
      <c r="AUP29" s="191"/>
      <c r="AUQ29" s="191"/>
      <c r="AUR29" s="191"/>
      <c r="AUT29" s="191"/>
      <c r="AUU29" s="191"/>
      <c r="AUV29" s="191"/>
      <c r="AUX29" s="191"/>
      <c r="AUY29" s="191"/>
      <c r="AUZ29" s="191"/>
      <c r="AVB29" s="191"/>
      <c r="AVC29" s="191"/>
      <c r="AVD29" s="191"/>
      <c r="AVF29" s="191"/>
      <c r="AVG29" s="191"/>
      <c r="AVH29" s="191"/>
      <c r="AVJ29" s="191"/>
      <c r="AVK29" s="191"/>
      <c r="AVL29" s="191"/>
      <c r="AVN29" s="191"/>
      <c r="AVO29" s="191"/>
      <c r="AVP29" s="191"/>
      <c r="AVR29" s="191"/>
      <c r="AVS29" s="191"/>
      <c r="AVT29" s="191"/>
      <c r="AVV29" s="191"/>
      <c r="AVW29" s="191"/>
      <c r="AVX29" s="191"/>
      <c r="AVZ29" s="191"/>
      <c r="AWA29" s="191"/>
      <c r="AWB29" s="191"/>
      <c r="AWD29" s="191"/>
      <c r="AWE29" s="191"/>
      <c r="AWF29" s="191"/>
      <c r="AWH29" s="191"/>
      <c r="AWI29" s="191"/>
      <c r="AWJ29" s="191"/>
      <c r="AWL29" s="191"/>
      <c r="AWM29" s="191"/>
      <c r="AWN29" s="191"/>
      <c r="AWP29" s="191"/>
      <c r="AWQ29" s="191"/>
      <c r="AWR29" s="191"/>
      <c r="AWT29" s="191"/>
      <c r="AWU29" s="191"/>
      <c r="AWV29" s="191"/>
      <c r="AWX29" s="191"/>
      <c r="AWY29" s="191"/>
      <c r="AWZ29" s="191"/>
      <c r="AXB29" s="191"/>
      <c r="AXC29" s="191"/>
      <c r="AXD29" s="191"/>
      <c r="AXF29" s="191"/>
      <c r="AXG29" s="191"/>
      <c r="AXH29" s="191"/>
      <c r="AXJ29" s="191"/>
      <c r="AXK29" s="191"/>
      <c r="AXL29" s="191"/>
      <c r="AXN29" s="191"/>
      <c r="AXO29" s="191"/>
      <c r="AXP29" s="191"/>
      <c r="AXR29" s="191"/>
      <c r="AXS29" s="191"/>
      <c r="AXT29" s="191"/>
      <c r="AXV29" s="191"/>
      <c r="AXW29" s="191"/>
      <c r="AXX29" s="191"/>
      <c r="AXZ29" s="191"/>
      <c r="AYA29" s="191"/>
      <c r="AYB29" s="191"/>
      <c r="AYD29" s="191"/>
      <c r="AYE29" s="191"/>
      <c r="AYF29" s="191"/>
      <c r="AYH29" s="191"/>
      <c r="AYI29" s="191"/>
      <c r="AYJ29" s="191"/>
      <c r="AYL29" s="191"/>
      <c r="AYM29" s="191"/>
      <c r="AYN29" s="191"/>
      <c r="AYP29" s="191"/>
      <c r="AYQ29" s="191"/>
      <c r="AYR29" s="191"/>
      <c r="AYT29" s="191"/>
      <c r="AYU29" s="191"/>
      <c r="AYV29" s="191"/>
      <c r="AYX29" s="191"/>
      <c r="AYY29" s="191"/>
      <c r="AYZ29" s="191"/>
      <c r="AZB29" s="191"/>
      <c r="AZC29" s="191"/>
      <c r="AZD29" s="191"/>
      <c r="AZF29" s="191"/>
      <c r="AZG29" s="191"/>
      <c r="AZH29" s="191"/>
      <c r="AZJ29" s="191"/>
      <c r="AZK29" s="191"/>
      <c r="AZL29" s="191"/>
      <c r="AZN29" s="191"/>
      <c r="AZO29" s="191"/>
      <c r="AZP29" s="191"/>
      <c r="AZR29" s="191"/>
      <c r="AZS29" s="191"/>
      <c r="AZT29" s="191"/>
      <c r="AZV29" s="191"/>
      <c r="AZW29" s="191"/>
      <c r="AZX29" s="191"/>
      <c r="AZZ29" s="191"/>
      <c r="BAA29" s="191"/>
      <c r="BAB29" s="191"/>
      <c r="BAD29" s="191"/>
      <c r="BAE29" s="191"/>
      <c r="BAF29" s="191"/>
      <c r="BAH29" s="191"/>
      <c r="BAI29" s="191"/>
      <c r="BAJ29" s="191"/>
      <c r="BAL29" s="191"/>
      <c r="BAM29" s="191"/>
      <c r="BAN29" s="191"/>
      <c r="BAP29" s="191"/>
      <c r="BAQ29" s="191"/>
      <c r="BAR29" s="191"/>
      <c r="BAT29" s="191"/>
      <c r="BAU29" s="191"/>
      <c r="BAV29" s="191"/>
      <c r="BAX29" s="191"/>
      <c r="BAY29" s="191"/>
      <c r="BAZ29" s="191"/>
      <c r="BBB29" s="191"/>
      <c r="BBC29" s="191"/>
      <c r="BBD29" s="191"/>
      <c r="BBF29" s="191"/>
      <c r="BBG29" s="191"/>
      <c r="BBH29" s="191"/>
      <c r="BBJ29" s="191"/>
      <c r="BBK29" s="191"/>
      <c r="BBL29" s="191"/>
      <c r="BBN29" s="191"/>
      <c r="BBO29" s="191"/>
      <c r="BBP29" s="191"/>
      <c r="BBR29" s="191"/>
      <c r="BBS29" s="191"/>
      <c r="BBT29" s="191"/>
      <c r="BBV29" s="191"/>
      <c r="BBW29" s="191"/>
      <c r="BBX29" s="191"/>
      <c r="BBZ29" s="191"/>
      <c r="BCA29" s="191"/>
      <c r="BCB29" s="191"/>
      <c r="BCD29" s="191"/>
      <c r="BCE29" s="191"/>
      <c r="BCF29" s="191"/>
      <c r="BCH29" s="191"/>
      <c r="BCI29" s="191"/>
      <c r="BCJ29" s="191"/>
      <c r="BCL29" s="191"/>
      <c r="BCM29" s="191"/>
      <c r="BCN29" s="191"/>
      <c r="BCP29" s="191"/>
      <c r="BCQ29" s="191"/>
      <c r="BCR29" s="191"/>
      <c r="BCT29" s="191"/>
      <c r="BCU29" s="191"/>
      <c r="BCV29" s="191"/>
      <c r="BCX29" s="191"/>
      <c r="BCY29" s="191"/>
      <c r="BCZ29" s="191"/>
      <c r="BDB29" s="191"/>
      <c r="BDC29" s="191"/>
      <c r="BDD29" s="191"/>
      <c r="BDF29" s="191"/>
      <c r="BDG29" s="191"/>
      <c r="BDH29" s="191"/>
      <c r="BDJ29" s="191"/>
      <c r="BDK29" s="191"/>
      <c r="BDL29" s="191"/>
      <c r="BDN29" s="191"/>
      <c r="BDO29" s="191"/>
      <c r="BDP29" s="191"/>
      <c r="BDR29" s="191"/>
      <c r="BDS29" s="191"/>
      <c r="BDT29" s="191"/>
      <c r="BDV29" s="191"/>
      <c r="BDW29" s="191"/>
      <c r="BDX29" s="191"/>
      <c r="BDZ29" s="191"/>
      <c r="BEA29" s="191"/>
      <c r="BEB29" s="191"/>
      <c r="BED29" s="191"/>
      <c r="BEE29" s="191"/>
      <c r="BEF29" s="191"/>
      <c r="BEH29" s="191"/>
      <c r="BEI29" s="191"/>
      <c r="BEJ29" s="191"/>
      <c r="BEL29" s="191"/>
      <c r="BEM29" s="191"/>
      <c r="BEN29" s="191"/>
      <c r="BEP29" s="191"/>
      <c r="BEQ29" s="191"/>
      <c r="BER29" s="191"/>
      <c r="BET29" s="191"/>
      <c r="BEU29" s="191"/>
      <c r="BEV29" s="191"/>
      <c r="BEX29" s="191"/>
      <c r="BEY29" s="191"/>
      <c r="BEZ29" s="191"/>
      <c r="BFB29" s="191"/>
      <c r="BFC29" s="191"/>
      <c r="BFD29" s="191"/>
      <c r="BFF29" s="191"/>
      <c r="BFG29" s="191"/>
      <c r="BFH29" s="191"/>
      <c r="BFJ29" s="191"/>
      <c r="BFK29" s="191"/>
      <c r="BFL29" s="191"/>
      <c r="BFN29" s="191"/>
      <c r="BFO29" s="191"/>
      <c r="BFP29" s="191"/>
      <c r="BFR29" s="191"/>
      <c r="BFS29" s="191"/>
      <c r="BFT29" s="191"/>
      <c r="BFV29" s="191"/>
      <c r="BFW29" s="191"/>
      <c r="BFX29" s="191"/>
      <c r="BFZ29" s="191"/>
      <c r="BGA29" s="191"/>
      <c r="BGB29" s="191"/>
      <c r="BGD29" s="191"/>
      <c r="BGE29" s="191"/>
      <c r="BGF29" s="191"/>
      <c r="BGH29" s="191"/>
      <c r="BGI29" s="191"/>
      <c r="BGJ29" s="191"/>
      <c r="BGL29" s="191"/>
      <c r="BGM29" s="191"/>
      <c r="BGN29" s="191"/>
      <c r="BGP29" s="191"/>
      <c r="BGQ29" s="191"/>
      <c r="BGR29" s="191"/>
      <c r="BGT29" s="191"/>
      <c r="BGU29" s="191"/>
      <c r="BGV29" s="191"/>
      <c r="BGX29" s="191"/>
      <c r="BGY29" s="191"/>
      <c r="BGZ29" s="191"/>
      <c r="BHB29" s="191"/>
      <c r="BHC29" s="191"/>
      <c r="BHD29" s="191"/>
      <c r="BHF29" s="191"/>
      <c r="BHG29" s="191"/>
      <c r="BHH29" s="191"/>
      <c r="BHJ29" s="191"/>
      <c r="BHK29" s="191"/>
      <c r="BHL29" s="191"/>
      <c r="BHN29" s="191"/>
      <c r="BHO29" s="191"/>
      <c r="BHP29" s="191"/>
      <c r="BHR29" s="191"/>
      <c r="BHS29" s="191"/>
      <c r="BHT29" s="191"/>
      <c r="BHV29" s="191"/>
      <c r="BHW29" s="191"/>
      <c r="BHX29" s="191"/>
      <c r="BHZ29" s="191"/>
      <c r="BIA29" s="191"/>
      <c r="BIB29" s="191"/>
      <c r="BID29" s="191"/>
      <c r="BIE29" s="191"/>
      <c r="BIF29" s="191"/>
      <c r="BIH29" s="191"/>
      <c r="BII29" s="191"/>
      <c r="BIJ29" s="191"/>
      <c r="BIL29" s="191"/>
      <c r="BIM29" s="191"/>
      <c r="BIN29" s="191"/>
      <c r="BIP29" s="191"/>
      <c r="BIQ29" s="191"/>
      <c r="BIR29" s="191"/>
      <c r="BIT29" s="191"/>
      <c r="BIU29" s="191"/>
      <c r="BIV29" s="191"/>
      <c r="BIX29" s="191"/>
      <c r="BIY29" s="191"/>
      <c r="BIZ29" s="191"/>
      <c r="BJB29" s="191"/>
      <c r="BJC29" s="191"/>
      <c r="BJD29" s="191"/>
      <c r="BJF29" s="191"/>
      <c r="BJG29" s="191"/>
      <c r="BJH29" s="191"/>
      <c r="BJJ29" s="191"/>
      <c r="BJK29" s="191"/>
      <c r="BJL29" s="191"/>
      <c r="BJN29" s="191"/>
      <c r="BJO29" s="191"/>
      <c r="BJP29" s="191"/>
      <c r="BJR29" s="191"/>
      <c r="BJS29" s="191"/>
      <c r="BJT29" s="191"/>
      <c r="BJV29" s="191"/>
      <c r="BJW29" s="191"/>
      <c r="BJX29" s="191"/>
      <c r="BJZ29" s="191"/>
      <c r="BKA29" s="191"/>
      <c r="BKB29" s="191"/>
      <c r="BKD29" s="191"/>
      <c r="BKE29" s="191"/>
      <c r="BKF29" s="191"/>
      <c r="BKH29" s="191"/>
      <c r="BKI29" s="191"/>
      <c r="BKJ29" s="191"/>
      <c r="BKL29" s="191"/>
      <c r="BKM29" s="191"/>
      <c r="BKN29" s="191"/>
      <c r="BKP29" s="191"/>
      <c r="BKQ29" s="191"/>
      <c r="BKR29" s="191"/>
      <c r="BKT29" s="191"/>
      <c r="BKU29" s="191"/>
      <c r="BKV29" s="191"/>
      <c r="BKX29" s="191"/>
      <c r="BKY29" s="191"/>
      <c r="BKZ29" s="191"/>
      <c r="BLB29" s="191"/>
      <c r="BLC29" s="191"/>
      <c r="BLD29" s="191"/>
      <c r="BLF29" s="191"/>
      <c r="BLG29" s="191"/>
      <c r="BLH29" s="191"/>
      <c r="BLJ29" s="191"/>
      <c r="BLK29" s="191"/>
      <c r="BLL29" s="191"/>
      <c r="BLN29" s="191"/>
      <c r="BLO29" s="191"/>
      <c r="BLP29" s="191"/>
      <c r="BLR29" s="191"/>
      <c r="BLS29" s="191"/>
      <c r="BLT29" s="191"/>
      <c r="BLV29" s="191"/>
      <c r="BLW29" s="191"/>
      <c r="BLX29" s="191"/>
      <c r="BLZ29" s="191"/>
      <c r="BMA29" s="191"/>
      <c r="BMB29" s="191"/>
      <c r="BMD29" s="191"/>
      <c r="BME29" s="191"/>
      <c r="BMF29" s="191"/>
      <c r="BMH29" s="191"/>
      <c r="BMI29" s="191"/>
      <c r="BMJ29" s="191"/>
      <c r="BML29" s="191"/>
      <c r="BMM29" s="191"/>
      <c r="BMN29" s="191"/>
      <c r="BMP29" s="191"/>
      <c r="BMQ29" s="191"/>
      <c r="BMR29" s="191"/>
      <c r="BMT29" s="191"/>
      <c r="BMU29" s="191"/>
      <c r="BMV29" s="191"/>
      <c r="BMX29" s="191"/>
      <c r="BMY29" s="191"/>
      <c r="BMZ29" s="191"/>
      <c r="BNB29" s="191"/>
      <c r="BNC29" s="191"/>
      <c r="BND29" s="191"/>
      <c r="BNF29" s="191"/>
      <c r="BNG29" s="191"/>
      <c r="BNH29" s="191"/>
      <c r="BNJ29" s="191"/>
      <c r="BNK29" s="191"/>
      <c r="BNL29" s="191"/>
      <c r="BNN29" s="191"/>
      <c r="BNO29" s="191"/>
      <c r="BNP29" s="191"/>
      <c r="BNR29" s="191"/>
      <c r="BNS29" s="191"/>
      <c r="BNT29" s="191"/>
      <c r="BNV29" s="191"/>
      <c r="BNW29" s="191"/>
      <c r="BNX29" s="191"/>
      <c r="BNZ29" s="191"/>
      <c r="BOA29" s="191"/>
      <c r="BOB29" s="191"/>
      <c r="BOD29" s="191"/>
      <c r="BOE29" s="191"/>
      <c r="BOF29" s="191"/>
      <c r="BOH29" s="191"/>
      <c r="BOI29" s="191"/>
      <c r="BOJ29" s="191"/>
      <c r="BOL29" s="191"/>
      <c r="BOM29" s="191"/>
      <c r="BON29" s="191"/>
      <c r="BOP29" s="191"/>
      <c r="BOQ29" s="191"/>
      <c r="BOR29" s="191"/>
      <c r="BOT29" s="191"/>
      <c r="BOU29" s="191"/>
      <c r="BOV29" s="191"/>
      <c r="BOX29" s="191"/>
      <c r="BOY29" s="191"/>
      <c r="BOZ29" s="191"/>
      <c r="BPB29" s="191"/>
      <c r="BPC29" s="191"/>
      <c r="BPD29" s="191"/>
      <c r="BPF29" s="191"/>
      <c r="BPG29" s="191"/>
      <c r="BPH29" s="191"/>
      <c r="BPJ29" s="191"/>
      <c r="BPK29" s="191"/>
      <c r="BPL29" s="191"/>
      <c r="BPN29" s="191"/>
      <c r="BPO29" s="191"/>
      <c r="BPP29" s="191"/>
      <c r="BPR29" s="191"/>
      <c r="BPS29" s="191"/>
      <c r="BPT29" s="191"/>
      <c r="BPV29" s="191"/>
      <c r="BPW29" s="191"/>
      <c r="BPX29" s="191"/>
      <c r="BPZ29" s="191"/>
      <c r="BQA29" s="191"/>
      <c r="BQB29" s="191"/>
      <c r="BQD29" s="191"/>
      <c r="BQE29" s="191"/>
      <c r="BQF29" s="191"/>
      <c r="BQH29" s="191"/>
      <c r="BQI29" s="191"/>
      <c r="BQJ29" s="191"/>
      <c r="BQL29" s="191"/>
      <c r="BQM29" s="191"/>
      <c r="BQN29" s="191"/>
      <c r="BQP29" s="191"/>
      <c r="BQQ29" s="191"/>
      <c r="BQR29" s="191"/>
      <c r="BQT29" s="191"/>
      <c r="BQU29" s="191"/>
      <c r="BQV29" s="191"/>
      <c r="BQX29" s="191"/>
      <c r="BQY29" s="191"/>
      <c r="BQZ29" s="191"/>
      <c r="BRB29" s="191"/>
      <c r="BRC29" s="191"/>
      <c r="BRD29" s="191"/>
      <c r="BRF29" s="191"/>
      <c r="BRG29" s="191"/>
      <c r="BRH29" s="191"/>
      <c r="BRJ29" s="191"/>
      <c r="BRK29" s="191"/>
      <c r="BRL29" s="191"/>
      <c r="BRN29" s="191"/>
      <c r="BRO29" s="191"/>
      <c r="BRP29" s="191"/>
      <c r="BRR29" s="191"/>
      <c r="BRS29" s="191"/>
      <c r="BRT29" s="191"/>
      <c r="BRV29" s="191"/>
      <c r="BRW29" s="191"/>
      <c r="BRX29" s="191"/>
      <c r="BRZ29" s="191"/>
      <c r="BSA29" s="191"/>
      <c r="BSB29" s="191"/>
      <c r="BSD29" s="191"/>
      <c r="BSE29" s="191"/>
      <c r="BSF29" s="191"/>
      <c r="BSH29" s="191"/>
      <c r="BSI29" s="191"/>
      <c r="BSJ29" s="191"/>
      <c r="BSL29" s="191"/>
      <c r="BSM29" s="191"/>
      <c r="BSN29" s="191"/>
      <c r="BSP29" s="191"/>
      <c r="BSQ29" s="191"/>
      <c r="BSR29" s="191"/>
      <c r="BST29" s="191"/>
      <c r="BSU29" s="191"/>
      <c r="BSV29" s="191"/>
      <c r="BSX29" s="191"/>
      <c r="BSY29" s="191"/>
      <c r="BSZ29" s="191"/>
      <c r="BTB29" s="191"/>
      <c r="BTC29" s="191"/>
      <c r="BTD29" s="191"/>
      <c r="BTF29" s="191"/>
      <c r="BTG29" s="191"/>
      <c r="BTH29" s="191"/>
      <c r="BTJ29" s="191"/>
      <c r="BTK29" s="191"/>
      <c r="BTL29" s="191"/>
      <c r="BTN29" s="191"/>
      <c r="BTO29" s="191"/>
      <c r="BTP29" s="191"/>
      <c r="BTR29" s="191"/>
      <c r="BTS29" s="191"/>
      <c r="BTT29" s="191"/>
      <c r="BTV29" s="191"/>
      <c r="BTW29" s="191"/>
      <c r="BTX29" s="191"/>
      <c r="BTZ29" s="191"/>
      <c r="BUA29" s="191"/>
      <c r="BUB29" s="191"/>
      <c r="BUD29" s="191"/>
      <c r="BUE29" s="191"/>
      <c r="BUF29" s="191"/>
      <c r="BUH29" s="191"/>
      <c r="BUI29" s="191"/>
      <c r="BUJ29" s="191"/>
      <c r="BUL29" s="191"/>
      <c r="BUM29" s="191"/>
      <c r="BUN29" s="191"/>
      <c r="BUP29" s="191"/>
      <c r="BUQ29" s="191"/>
      <c r="BUR29" s="191"/>
      <c r="BUT29" s="191"/>
      <c r="BUU29" s="191"/>
      <c r="BUV29" s="191"/>
      <c r="BUX29" s="191"/>
      <c r="BUY29" s="191"/>
      <c r="BUZ29" s="191"/>
      <c r="BVB29" s="191"/>
      <c r="BVC29" s="191"/>
      <c r="BVD29" s="191"/>
      <c r="BVF29" s="191"/>
      <c r="BVG29" s="191"/>
      <c r="BVH29" s="191"/>
      <c r="BVJ29" s="191"/>
      <c r="BVK29" s="191"/>
      <c r="BVL29" s="191"/>
      <c r="BVN29" s="191"/>
      <c r="BVO29" s="191"/>
      <c r="BVP29" s="191"/>
      <c r="BVR29" s="191"/>
      <c r="BVS29" s="191"/>
      <c r="BVT29" s="191"/>
      <c r="BVV29" s="191"/>
      <c r="BVW29" s="191"/>
      <c r="BVX29" s="191"/>
      <c r="BVZ29" s="191"/>
      <c r="BWA29" s="191"/>
      <c r="BWB29" s="191"/>
      <c r="BWD29" s="191"/>
      <c r="BWE29" s="191"/>
      <c r="BWF29" s="191"/>
      <c r="BWH29" s="191"/>
      <c r="BWI29" s="191"/>
      <c r="BWJ29" s="191"/>
      <c r="BWL29" s="191"/>
      <c r="BWM29" s="191"/>
      <c r="BWN29" s="191"/>
      <c r="BWP29" s="191"/>
      <c r="BWQ29" s="191"/>
      <c r="BWR29" s="191"/>
      <c r="BWT29" s="191"/>
      <c r="BWU29" s="191"/>
      <c r="BWV29" s="191"/>
      <c r="BWX29" s="191"/>
      <c r="BWY29" s="191"/>
      <c r="BWZ29" s="191"/>
      <c r="BXB29" s="191"/>
      <c r="BXC29" s="191"/>
      <c r="BXD29" s="191"/>
      <c r="BXF29" s="191"/>
      <c r="BXG29" s="191"/>
      <c r="BXH29" s="191"/>
      <c r="BXJ29" s="191"/>
      <c r="BXK29" s="191"/>
      <c r="BXL29" s="191"/>
      <c r="BXN29" s="191"/>
      <c r="BXO29" s="191"/>
      <c r="BXP29" s="191"/>
      <c r="BXR29" s="191"/>
      <c r="BXS29" s="191"/>
      <c r="BXT29" s="191"/>
      <c r="BXV29" s="191"/>
      <c r="BXW29" s="191"/>
      <c r="BXX29" s="191"/>
      <c r="BXZ29" s="191"/>
      <c r="BYA29" s="191"/>
      <c r="BYB29" s="191"/>
      <c r="BYD29" s="191"/>
      <c r="BYE29" s="191"/>
      <c r="BYF29" s="191"/>
      <c r="BYH29" s="191"/>
      <c r="BYI29" s="191"/>
      <c r="BYJ29" s="191"/>
      <c r="BYL29" s="191"/>
      <c r="BYM29" s="191"/>
      <c r="BYN29" s="191"/>
      <c r="BYP29" s="191"/>
      <c r="BYQ29" s="191"/>
      <c r="BYR29" s="191"/>
      <c r="BYT29" s="191"/>
      <c r="BYU29" s="191"/>
      <c r="BYV29" s="191"/>
      <c r="BYX29" s="191"/>
      <c r="BYY29" s="191"/>
      <c r="BYZ29" s="191"/>
      <c r="BZB29" s="191"/>
      <c r="BZC29" s="191"/>
      <c r="BZD29" s="191"/>
      <c r="BZF29" s="191"/>
      <c r="BZG29" s="191"/>
      <c r="BZH29" s="191"/>
      <c r="BZJ29" s="191"/>
      <c r="BZK29" s="191"/>
      <c r="BZL29" s="191"/>
      <c r="BZN29" s="191"/>
      <c r="BZO29" s="191"/>
      <c r="BZP29" s="191"/>
      <c r="BZR29" s="191"/>
      <c r="BZS29" s="191"/>
      <c r="BZT29" s="191"/>
      <c r="BZV29" s="191"/>
      <c r="BZW29" s="191"/>
      <c r="BZX29" s="191"/>
      <c r="BZZ29" s="191"/>
      <c r="CAA29" s="191"/>
      <c r="CAB29" s="191"/>
      <c r="CAD29" s="191"/>
      <c r="CAE29" s="191"/>
      <c r="CAF29" s="191"/>
      <c r="CAH29" s="191"/>
      <c r="CAI29" s="191"/>
      <c r="CAJ29" s="191"/>
      <c r="CAL29" s="191"/>
      <c r="CAM29" s="191"/>
      <c r="CAN29" s="191"/>
      <c r="CAP29" s="191"/>
      <c r="CAQ29" s="191"/>
      <c r="CAR29" s="191"/>
      <c r="CAT29" s="191"/>
      <c r="CAU29" s="191"/>
      <c r="CAV29" s="191"/>
      <c r="CAX29" s="191"/>
      <c r="CAY29" s="191"/>
      <c r="CAZ29" s="191"/>
      <c r="CBB29" s="191"/>
      <c r="CBC29" s="191"/>
      <c r="CBD29" s="191"/>
      <c r="CBF29" s="191"/>
      <c r="CBG29" s="191"/>
      <c r="CBH29" s="191"/>
      <c r="CBJ29" s="191"/>
      <c r="CBK29" s="191"/>
      <c r="CBL29" s="191"/>
      <c r="CBN29" s="191"/>
      <c r="CBO29" s="191"/>
      <c r="CBP29" s="191"/>
      <c r="CBR29" s="191"/>
      <c r="CBS29" s="191"/>
      <c r="CBT29" s="191"/>
      <c r="CBV29" s="191"/>
      <c r="CBW29" s="191"/>
      <c r="CBX29" s="191"/>
      <c r="CBZ29" s="191"/>
      <c r="CCA29" s="191"/>
      <c r="CCB29" s="191"/>
      <c r="CCD29" s="191"/>
      <c r="CCE29" s="191"/>
      <c r="CCF29" s="191"/>
      <c r="CCH29" s="191"/>
      <c r="CCI29" s="191"/>
      <c r="CCJ29" s="191"/>
      <c r="CCL29" s="191"/>
      <c r="CCM29" s="191"/>
      <c r="CCN29" s="191"/>
      <c r="CCP29" s="191"/>
      <c r="CCQ29" s="191"/>
      <c r="CCR29" s="191"/>
      <c r="CCT29" s="191"/>
      <c r="CCU29" s="191"/>
      <c r="CCV29" s="191"/>
      <c r="CCX29" s="191"/>
      <c r="CCY29" s="191"/>
      <c r="CCZ29" s="191"/>
      <c r="CDB29" s="191"/>
      <c r="CDC29" s="191"/>
      <c r="CDD29" s="191"/>
      <c r="CDF29" s="191"/>
      <c r="CDG29" s="191"/>
      <c r="CDH29" s="191"/>
      <c r="CDJ29" s="191"/>
      <c r="CDK29" s="191"/>
      <c r="CDL29" s="191"/>
      <c r="CDN29" s="191"/>
      <c r="CDO29" s="191"/>
      <c r="CDP29" s="191"/>
      <c r="CDR29" s="191"/>
      <c r="CDS29" s="191"/>
      <c r="CDT29" s="191"/>
      <c r="CDV29" s="191"/>
      <c r="CDW29" s="191"/>
      <c r="CDX29" s="191"/>
      <c r="CDZ29" s="191"/>
      <c r="CEA29" s="191"/>
      <c r="CEB29" s="191"/>
      <c r="CED29" s="191"/>
      <c r="CEE29" s="191"/>
      <c r="CEF29" s="191"/>
      <c r="CEH29" s="191"/>
      <c r="CEI29" s="191"/>
      <c r="CEJ29" s="191"/>
      <c r="CEL29" s="191"/>
      <c r="CEM29" s="191"/>
      <c r="CEN29" s="191"/>
      <c r="CEP29" s="191"/>
      <c r="CEQ29" s="191"/>
      <c r="CER29" s="191"/>
      <c r="CET29" s="191"/>
      <c r="CEU29" s="191"/>
      <c r="CEV29" s="191"/>
      <c r="CEX29" s="191"/>
      <c r="CEY29" s="191"/>
      <c r="CEZ29" s="191"/>
      <c r="CFB29" s="191"/>
      <c r="CFC29" s="191"/>
      <c r="CFD29" s="191"/>
      <c r="CFF29" s="191"/>
      <c r="CFG29" s="191"/>
      <c r="CFH29" s="191"/>
      <c r="CFJ29" s="191"/>
      <c r="CFK29" s="191"/>
      <c r="CFL29" s="191"/>
      <c r="CFN29" s="191"/>
      <c r="CFO29" s="191"/>
      <c r="CFP29" s="191"/>
      <c r="CFR29" s="191"/>
      <c r="CFS29" s="191"/>
      <c r="CFT29" s="191"/>
      <c r="CFV29" s="191"/>
      <c r="CFW29" s="191"/>
      <c r="CFX29" s="191"/>
      <c r="CFZ29" s="191"/>
      <c r="CGA29" s="191"/>
      <c r="CGB29" s="191"/>
      <c r="CGD29" s="191"/>
      <c r="CGE29" s="191"/>
      <c r="CGF29" s="191"/>
      <c r="CGH29" s="191"/>
      <c r="CGI29" s="191"/>
      <c r="CGJ29" s="191"/>
      <c r="CGL29" s="191"/>
      <c r="CGM29" s="191"/>
      <c r="CGN29" s="191"/>
      <c r="CGP29" s="191"/>
      <c r="CGQ29" s="191"/>
      <c r="CGR29" s="191"/>
      <c r="CGT29" s="191"/>
      <c r="CGU29" s="191"/>
      <c r="CGV29" s="191"/>
      <c r="CGX29" s="191"/>
      <c r="CGY29" s="191"/>
      <c r="CGZ29" s="191"/>
      <c r="CHB29" s="191"/>
      <c r="CHC29" s="191"/>
      <c r="CHD29" s="191"/>
      <c r="CHF29" s="191"/>
      <c r="CHG29" s="191"/>
      <c r="CHH29" s="191"/>
      <c r="CHJ29" s="191"/>
      <c r="CHK29" s="191"/>
      <c r="CHL29" s="191"/>
      <c r="CHN29" s="191"/>
      <c r="CHO29" s="191"/>
      <c r="CHP29" s="191"/>
      <c r="CHR29" s="191"/>
      <c r="CHS29" s="191"/>
      <c r="CHT29" s="191"/>
      <c r="CHV29" s="191"/>
      <c r="CHW29" s="191"/>
      <c r="CHX29" s="191"/>
      <c r="CHZ29" s="191"/>
      <c r="CIA29" s="191"/>
      <c r="CIB29" s="191"/>
      <c r="CID29" s="191"/>
      <c r="CIE29" s="191"/>
      <c r="CIF29" s="191"/>
      <c r="CIH29" s="191"/>
      <c r="CII29" s="191"/>
      <c r="CIJ29" s="191"/>
      <c r="CIL29" s="191"/>
      <c r="CIM29" s="191"/>
      <c r="CIN29" s="191"/>
      <c r="CIP29" s="191"/>
      <c r="CIQ29" s="191"/>
      <c r="CIR29" s="191"/>
      <c r="CIT29" s="191"/>
      <c r="CIU29" s="191"/>
      <c r="CIV29" s="191"/>
      <c r="CIX29" s="191"/>
      <c r="CIY29" s="191"/>
      <c r="CIZ29" s="191"/>
      <c r="CJB29" s="191"/>
      <c r="CJC29" s="191"/>
      <c r="CJD29" s="191"/>
      <c r="CJF29" s="191"/>
      <c r="CJG29" s="191"/>
      <c r="CJH29" s="191"/>
      <c r="CJJ29" s="191"/>
      <c r="CJK29" s="191"/>
      <c r="CJL29" s="191"/>
      <c r="CJN29" s="191"/>
      <c r="CJO29" s="191"/>
      <c r="CJP29" s="191"/>
      <c r="CJR29" s="191"/>
      <c r="CJS29" s="191"/>
      <c r="CJT29" s="191"/>
      <c r="CJV29" s="191"/>
      <c r="CJW29" s="191"/>
      <c r="CJX29" s="191"/>
      <c r="CJZ29" s="191"/>
      <c r="CKA29" s="191"/>
      <c r="CKB29" s="191"/>
      <c r="CKD29" s="191"/>
      <c r="CKE29" s="191"/>
      <c r="CKF29" s="191"/>
      <c r="CKH29" s="191"/>
      <c r="CKI29" s="191"/>
      <c r="CKJ29" s="191"/>
      <c r="CKL29" s="191"/>
      <c r="CKM29" s="191"/>
      <c r="CKN29" s="191"/>
      <c r="CKP29" s="191"/>
      <c r="CKQ29" s="191"/>
      <c r="CKR29" s="191"/>
      <c r="CKT29" s="191"/>
      <c r="CKU29" s="191"/>
      <c r="CKV29" s="191"/>
      <c r="CKX29" s="191"/>
      <c r="CKY29" s="191"/>
      <c r="CKZ29" s="191"/>
      <c r="CLB29" s="191"/>
      <c r="CLC29" s="191"/>
      <c r="CLD29" s="191"/>
      <c r="CLF29" s="191"/>
      <c r="CLG29" s="191"/>
      <c r="CLH29" s="191"/>
      <c r="CLJ29" s="191"/>
      <c r="CLK29" s="191"/>
      <c r="CLL29" s="191"/>
      <c r="CLN29" s="191"/>
      <c r="CLO29" s="191"/>
      <c r="CLP29" s="191"/>
      <c r="CLR29" s="191"/>
      <c r="CLS29" s="191"/>
      <c r="CLT29" s="191"/>
      <c r="CLV29" s="191"/>
      <c r="CLW29" s="191"/>
      <c r="CLX29" s="191"/>
      <c r="CLZ29" s="191"/>
      <c r="CMA29" s="191"/>
      <c r="CMB29" s="191"/>
      <c r="CMD29" s="191"/>
      <c r="CME29" s="191"/>
      <c r="CMF29" s="191"/>
      <c r="CMH29" s="191"/>
      <c r="CMI29" s="191"/>
      <c r="CMJ29" s="191"/>
      <c r="CML29" s="191"/>
      <c r="CMM29" s="191"/>
      <c r="CMN29" s="191"/>
      <c r="CMP29" s="191"/>
      <c r="CMQ29" s="191"/>
      <c r="CMR29" s="191"/>
      <c r="CMT29" s="191"/>
      <c r="CMU29" s="191"/>
      <c r="CMV29" s="191"/>
      <c r="CMX29" s="191"/>
      <c r="CMY29" s="191"/>
      <c r="CMZ29" s="191"/>
      <c r="CNB29" s="191"/>
      <c r="CNC29" s="191"/>
      <c r="CND29" s="191"/>
      <c r="CNF29" s="191"/>
      <c r="CNG29" s="191"/>
      <c r="CNH29" s="191"/>
      <c r="CNJ29" s="191"/>
      <c r="CNK29" s="191"/>
      <c r="CNL29" s="191"/>
      <c r="CNN29" s="191"/>
      <c r="CNO29" s="191"/>
      <c r="CNP29" s="191"/>
      <c r="CNR29" s="191"/>
      <c r="CNS29" s="191"/>
      <c r="CNT29" s="191"/>
      <c r="CNV29" s="191"/>
      <c r="CNW29" s="191"/>
      <c r="CNX29" s="191"/>
      <c r="CNZ29" s="191"/>
      <c r="COA29" s="191"/>
      <c r="COB29" s="191"/>
      <c r="COD29" s="191"/>
      <c r="COE29" s="191"/>
      <c r="COF29" s="191"/>
      <c r="COH29" s="191"/>
      <c r="COI29" s="191"/>
      <c r="COJ29" s="191"/>
      <c r="COL29" s="191"/>
      <c r="COM29" s="191"/>
      <c r="CON29" s="191"/>
      <c r="COP29" s="191"/>
      <c r="COQ29" s="191"/>
      <c r="COR29" s="191"/>
      <c r="COT29" s="191"/>
      <c r="COU29" s="191"/>
      <c r="COV29" s="191"/>
      <c r="COX29" s="191"/>
      <c r="COY29" s="191"/>
      <c r="COZ29" s="191"/>
      <c r="CPB29" s="191"/>
      <c r="CPC29" s="191"/>
      <c r="CPD29" s="191"/>
      <c r="CPF29" s="191"/>
      <c r="CPG29" s="191"/>
      <c r="CPH29" s="191"/>
      <c r="CPJ29" s="191"/>
      <c r="CPK29" s="191"/>
      <c r="CPL29" s="191"/>
      <c r="CPN29" s="191"/>
      <c r="CPO29" s="191"/>
      <c r="CPP29" s="191"/>
      <c r="CPR29" s="191"/>
      <c r="CPS29" s="191"/>
      <c r="CPT29" s="191"/>
      <c r="CPV29" s="191"/>
      <c r="CPW29" s="191"/>
      <c r="CPX29" s="191"/>
      <c r="CPZ29" s="191"/>
      <c r="CQA29" s="191"/>
      <c r="CQB29" s="191"/>
      <c r="CQD29" s="191"/>
      <c r="CQE29" s="191"/>
      <c r="CQF29" s="191"/>
      <c r="CQH29" s="191"/>
      <c r="CQI29" s="191"/>
      <c r="CQJ29" s="191"/>
      <c r="CQL29" s="191"/>
      <c r="CQM29" s="191"/>
      <c r="CQN29" s="191"/>
      <c r="CQP29" s="191"/>
      <c r="CQQ29" s="191"/>
      <c r="CQR29" s="191"/>
      <c r="CQT29" s="191"/>
      <c r="CQU29" s="191"/>
      <c r="CQV29" s="191"/>
      <c r="CQX29" s="191"/>
      <c r="CQY29" s="191"/>
      <c r="CQZ29" s="191"/>
      <c r="CRB29" s="191"/>
      <c r="CRC29" s="191"/>
      <c r="CRD29" s="191"/>
      <c r="CRF29" s="191"/>
      <c r="CRG29" s="191"/>
      <c r="CRH29" s="191"/>
      <c r="CRJ29" s="191"/>
      <c r="CRK29" s="191"/>
      <c r="CRL29" s="191"/>
      <c r="CRN29" s="191"/>
      <c r="CRO29" s="191"/>
      <c r="CRP29" s="191"/>
      <c r="CRR29" s="191"/>
      <c r="CRS29" s="191"/>
      <c r="CRT29" s="191"/>
      <c r="CRV29" s="191"/>
      <c r="CRW29" s="191"/>
      <c r="CRX29" s="191"/>
      <c r="CRZ29" s="191"/>
      <c r="CSA29" s="191"/>
      <c r="CSB29" s="191"/>
      <c r="CSD29" s="191"/>
      <c r="CSE29" s="191"/>
      <c r="CSF29" s="191"/>
      <c r="CSH29" s="191"/>
      <c r="CSI29" s="191"/>
      <c r="CSJ29" s="191"/>
      <c r="CSL29" s="191"/>
      <c r="CSM29" s="191"/>
      <c r="CSN29" s="191"/>
      <c r="CSP29" s="191"/>
      <c r="CSQ29" s="191"/>
      <c r="CSR29" s="191"/>
      <c r="CST29" s="191"/>
      <c r="CSU29" s="191"/>
      <c r="CSV29" s="191"/>
      <c r="CSX29" s="191"/>
      <c r="CSY29" s="191"/>
      <c r="CSZ29" s="191"/>
      <c r="CTB29" s="191"/>
      <c r="CTC29" s="191"/>
      <c r="CTD29" s="191"/>
      <c r="CTF29" s="191"/>
      <c r="CTG29" s="191"/>
      <c r="CTH29" s="191"/>
      <c r="CTJ29" s="191"/>
      <c r="CTK29" s="191"/>
      <c r="CTL29" s="191"/>
      <c r="CTN29" s="191"/>
      <c r="CTO29" s="191"/>
      <c r="CTP29" s="191"/>
      <c r="CTR29" s="191"/>
      <c r="CTS29" s="191"/>
      <c r="CTT29" s="191"/>
      <c r="CTV29" s="191"/>
      <c r="CTW29" s="191"/>
      <c r="CTX29" s="191"/>
      <c r="CTZ29" s="191"/>
      <c r="CUA29" s="191"/>
      <c r="CUB29" s="191"/>
      <c r="CUD29" s="191"/>
      <c r="CUE29" s="191"/>
      <c r="CUF29" s="191"/>
      <c r="CUH29" s="191"/>
      <c r="CUI29" s="191"/>
      <c r="CUJ29" s="191"/>
      <c r="CUL29" s="191"/>
      <c r="CUM29" s="191"/>
      <c r="CUN29" s="191"/>
      <c r="CUP29" s="191"/>
      <c r="CUQ29" s="191"/>
      <c r="CUR29" s="191"/>
      <c r="CUT29" s="191"/>
      <c r="CUU29" s="191"/>
      <c r="CUV29" s="191"/>
      <c r="CUX29" s="191"/>
      <c r="CUY29" s="191"/>
      <c r="CUZ29" s="191"/>
      <c r="CVB29" s="191"/>
      <c r="CVC29" s="191"/>
      <c r="CVD29" s="191"/>
      <c r="CVF29" s="191"/>
      <c r="CVG29" s="191"/>
      <c r="CVH29" s="191"/>
      <c r="CVJ29" s="191"/>
      <c r="CVK29" s="191"/>
      <c r="CVL29" s="191"/>
      <c r="CVN29" s="191"/>
      <c r="CVO29" s="191"/>
      <c r="CVP29" s="191"/>
      <c r="CVR29" s="191"/>
      <c r="CVS29" s="191"/>
      <c r="CVT29" s="191"/>
      <c r="CVV29" s="191"/>
      <c r="CVW29" s="191"/>
      <c r="CVX29" s="191"/>
      <c r="CVZ29" s="191"/>
      <c r="CWA29" s="191"/>
      <c r="CWB29" s="191"/>
      <c r="CWD29" s="191"/>
      <c r="CWE29" s="191"/>
      <c r="CWF29" s="191"/>
      <c r="CWH29" s="191"/>
      <c r="CWI29" s="191"/>
      <c r="CWJ29" s="191"/>
      <c r="CWL29" s="191"/>
      <c r="CWM29" s="191"/>
      <c r="CWN29" s="191"/>
      <c r="CWP29" s="191"/>
      <c r="CWQ29" s="191"/>
      <c r="CWR29" s="191"/>
      <c r="CWT29" s="191"/>
      <c r="CWU29" s="191"/>
      <c r="CWV29" s="191"/>
      <c r="CWX29" s="191"/>
      <c r="CWY29" s="191"/>
      <c r="CWZ29" s="191"/>
      <c r="CXB29" s="191"/>
      <c r="CXC29" s="191"/>
      <c r="CXD29" s="191"/>
      <c r="CXF29" s="191"/>
      <c r="CXG29" s="191"/>
      <c r="CXH29" s="191"/>
      <c r="CXJ29" s="191"/>
      <c r="CXK29" s="191"/>
      <c r="CXL29" s="191"/>
      <c r="CXN29" s="191"/>
      <c r="CXO29" s="191"/>
      <c r="CXP29" s="191"/>
      <c r="CXR29" s="191"/>
      <c r="CXS29" s="191"/>
      <c r="CXT29" s="191"/>
      <c r="CXV29" s="191"/>
      <c r="CXW29" s="191"/>
      <c r="CXX29" s="191"/>
      <c r="CXZ29" s="191"/>
      <c r="CYA29" s="191"/>
      <c r="CYB29" s="191"/>
      <c r="CYD29" s="191"/>
      <c r="CYE29" s="191"/>
      <c r="CYF29" s="191"/>
      <c r="CYH29" s="191"/>
      <c r="CYI29" s="191"/>
      <c r="CYJ29" s="191"/>
      <c r="CYL29" s="191"/>
      <c r="CYM29" s="191"/>
      <c r="CYN29" s="191"/>
      <c r="CYP29" s="191"/>
      <c r="CYQ29" s="191"/>
      <c r="CYR29" s="191"/>
      <c r="CYT29" s="191"/>
      <c r="CYU29" s="191"/>
      <c r="CYV29" s="191"/>
      <c r="CYX29" s="191"/>
      <c r="CYY29" s="191"/>
      <c r="CYZ29" s="191"/>
      <c r="CZB29" s="191"/>
      <c r="CZC29" s="191"/>
      <c r="CZD29" s="191"/>
      <c r="CZF29" s="191"/>
      <c r="CZG29" s="191"/>
      <c r="CZH29" s="191"/>
      <c r="CZJ29" s="191"/>
      <c r="CZK29" s="191"/>
      <c r="CZL29" s="191"/>
      <c r="CZN29" s="191"/>
      <c r="CZO29" s="191"/>
      <c r="CZP29" s="191"/>
      <c r="CZR29" s="191"/>
      <c r="CZS29" s="191"/>
      <c r="CZT29" s="191"/>
      <c r="CZV29" s="191"/>
      <c r="CZW29" s="191"/>
      <c r="CZX29" s="191"/>
      <c r="CZZ29" s="191"/>
      <c r="DAA29" s="191"/>
      <c r="DAB29" s="191"/>
      <c r="DAD29" s="191"/>
      <c r="DAE29" s="191"/>
      <c r="DAF29" s="191"/>
      <c r="DAH29" s="191"/>
      <c r="DAI29" s="191"/>
      <c r="DAJ29" s="191"/>
      <c r="DAL29" s="191"/>
      <c r="DAM29" s="191"/>
      <c r="DAN29" s="191"/>
      <c r="DAP29" s="191"/>
      <c r="DAQ29" s="191"/>
      <c r="DAR29" s="191"/>
      <c r="DAT29" s="191"/>
      <c r="DAU29" s="191"/>
      <c r="DAV29" s="191"/>
      <c r="DAX29" s="191"/>
      <c r="DAY29" s="191"/>
      <c r="DAZ29" s="191"/>
      <c r="DBB29" s="191"/>
      <c r="DBC29" s="191"/>
      <c r="DBD29" s="191"/>
      <c r="DBF29" s="191"/>
      <c r="DBG29" s="191"/>
      <c r="DBH29" s="191"/>
      <c r="DBJ29" s="191"/>
      <c r="DBK29" s="191"/>
      <c r="DBL29" s="191"/>
      <c r="DBN29" s="191"/>
      <c r="DBO29" s="191"/>
      <c r="DBP29" s="191"/>
      <c r="DBR29" s="191"/>
      <c r="DBS29" s="191"/>
      <c r="DBT29" s="191"/>
      <c r="DBV29" s="191"/>
      <c r="DBW29" s="191"/>
      <c r="DBX29" s="191"/>
      <c r="DBZ29" s="191"/>
      <c r="DCA29" s="191"/>
      <c r="DCB29" s="191"/>
      <c r="DCD29" s="191"/>
      <c r="DCE29" s="191"/>
      <c r="DCF29" s="191"/>
      <c r="DCH29" s="191"/>
      <c r="DCI29" s="191"/>
      <c r="DCJ29" s="191"/>
      <c r="DCL29" s="191"/>
      <c r="DCM29" s="191"/>
      <c r="DCN29" s="191"/>
      <c r="DCP29" s="191"/>
      <c r="DCQ29" s="191"/>
      <c r="DCR29" s="191"/>
      <c r="DCT29" s="191"/>
      <c r="DCU29" s="191"/>
      <c r="DCV29" s="191"/>
      <c r="DCX29" s="191"/>
      <c r="DCY29" s="191"/>
      <c r="DCZ29" s="191"/>
      <c r="DDB29" s="191"/>
      <c r="DDC29" s="191"/>
      <c r="DDD29" s="191"/>
      <c r="DDF29" s="191"/>
      <c r="DDG29" s="191"/>
      <c r="DDH29" s="191"/>
      <c r="DDJ29" s="191"/>
      <c r="DDK29" s="191"/>
      <c r="DDL29" s="191"/>
      <c r="DDN29" s="191"/>
      <c r="DDO29" s="191"/>
      <c r="DDP29" s="191"/>
      <c r="DDR29" s="191"/>
      <c r="DDS29" s="191"/>
      <c r="DDT29" s="191"/>
      <c r="DDV29" s="191"/>
      <c r="DDW29" s="191"/>
      <c r="DDX29" s="191"/>
      <c r="DDZ29" s="191"/>
      <c r="DEA29" s="191"/>
      <c r="DEB29" s="191"/>
      <c r="DED29" s="191"/>
      <c r="DEE29" s="191"/>
      <c r="DEF29" s="191"/>
      <c r="DEH29" s="191"/>
      <c r="DEI29" s="191"/>
      <c r="DEJ29" s="191"/>
      <c r="DEL29" s="191"/>
      <c r="DEM29" s="191"/>
      <c r="DEN29" s="191"/>
      <c r="DEP29" s="191"/>
      <c r="DEQ29" s="191"/>
      <c r="DER29" s="191"/>
      <c r="DET29" s="191"/>
      <c r="DEU29" s="191"/>
      <c r="DEV29" s="191"/>
      <c r="DEX29" s="191"/>
      <c r="DEY29" s="191"/>
      <c r="DEZ29" s="191"/>
      <c r="DFB29" s="191"/>
      <c r="DFC29" s="191"/>
      <c r="DFD29" s="191"/>
      <c r="DFF29" s="191"/>
      <c r="DFG29" s="191"/>
      <c r="DFH29" s="191"/>
      <c r="DFJ29" s="191"/>
      <c r="DFK29" s="191"/>
      <c r="DFL29" s="191"/>
      <c r="DFN29" s="191"/>
      <c r="DFO29" s="191"/>
      <c r="DFP29" s="191"/>
      <c r="DFR29" s="191"/>
      <c r="DFS29" s="191"/>
      <c r="DFT29" s="191"/>
      <c r="DFV29" s="191"/>
      <c r="DFW29" s="191"/>
      <c r="DFX29" s="191"/>
      <c r="DFZ29" s="191"/>
      <c r="DGA29" s="191"/>
      <c r="DGB29" s="191"/>
      <c r="DGD29" s="191"/>
      <c r="DGE29" s="191"/>
      <c r="DGF29" s="191"/>
      <c r="DGH29" s="191"/>
      <c r="DGI29" s="191"/>
      <c r="DGJ29" s="191"/>
      <c r="DGL29" s="191"/>
      <c r="DGM29" s="191"/>
      <c r="DGN29" s="191"/>
      <c r="DGP29" s="191"/>
      <c r="DGQ29" s="191"/>
      <c r="DGR29" s="191"/>
      <c r="DGT29" s="191"/>
      <c r="DGU29" s="191"/>
      <c r="DGV29" s="191"/>
      <c r="DGX29" s="191"/>
      <c r="DGY29" s="191"/>
      <c r="DGZ29" s="191"/>
      <c r="DHB29" s="191"/>
      <c r="DHC29" s="191"/>
      <c r="DHD29" s="191"/>
      <c r="DHF29" s="191"/>
      <c r="DHG29" s="191"/>
      <c r="DHH29" s="191"/>
      <c r="DHJ29" s="191"/>
      <c r="DHK29" s="191"/>
      <c r="DHL29" s="191"/>
      <c r="DHN29" s="191"/>
      <c r="DHO29" s="191"/>
      <c r="DHP29" s="191"/>
      <c r="DHR29" s="191"/>
      <c r="DHS29" s="191"/>
      <c r="DHT29" s="191"/>
      <c r="DHV29" s="191"/>
      <c r="DHW29" s="191"/>
      <c r="DHX29" s="191"/>
      <c r="DHZ29" s="191"/>
      <c r="DIA29" s="191"/>
      <c r="DIB29" s="191"/>
      <c r="DID29" s="191"/>
      <c r="DIE29" s="191"/>
      <c r="DIF29" s="191"/>
      <c r="DIH29" s="191"/>
      <c r="DII29" s="191"/>
      <c r="DIJ29" s="191"/>
      <c r="DIL29" s="191"/>
      <c r="DIM29" s="191"/>
      <c r="DIN29" s="191"/>
      <c r="DIP29" s="191"/>
      <c r="DIQ29" s="191"/>
      <c r="DIR29" s="191"/>
      <c r="DIT29" s="191"/>
      <c r="DIU29" s="191"/>
      <c r="DIV29" s="191"/>
      <c r="DIX29" s="191"/>
      <c r="DIY29" s="191"/>
      <c r="DIZ29" s="191"/>
      <c r="DJB29" s="191"/>
      <c r="DJC29" s="191"/>
      <c r="DJD29" s="191"/>
      <c r="DJF29" s="191"/>
      <c r="DJG29" s="191"/>
      <c r="DJH29" s="191"/>
      <c r="DJJ29" s="191"/>
      <c r="DJK29" s="191"/>
      <c r="DJL29" s="191"/>
      <c r="DJN29" s="191"/>
      <c r="DJO29" s="191"/>
      <c r="DJP29" s="191"/>
      <c r="DJR29" s="191"/>
      <c r="DJS29" s="191"/>
      <c r="DJT29" s="191"/>
      <c r="DJV29" s="191"/>
      <c r="DJW29" s="191"/>
      <c r="DJX29" s="191"/>
      <c r="DJZ29" s="191"/>
      <c r="DKA29" s="191"/>
      <c r="DKB29" s="191"/>
      <c r="DKD29" s="191"/>
      <c r="DKE29" s="191"/>
      <c r="DKF29" s="191"/>
      <c r="DKH29" s="191"/>
      <c r="DKI29" s="191"/>
      <c r="DKJ29" s="191"/>
      <c r="DKL29" s="191"/>
      <c r="DKM29" s="191"/>
      <c r="DKN29" s="191"/>
      <c r="DKP29" s="191"/>
      <c r="DKQ29" s="191"/>
      <c r="DKR29" s="191"/>
      <c r="DKT29" s="191"/>
      <c r="DKU29" s="191"/>
      <c r="DKV29" s="191"/>
      <c r="DKX29" s="191"/>
      <c r="DKY29" s="191"/>
      <c r="DKZ29" s="191"/>
      <c r="DLB29" s="191"/>
      <c r="DLC29" s="191"/>
      <c r="DLD29" s="191"/>
      <c r="DLF29" s="191"/>
      <c r="DLG29" s="191"/>
      <c r="DLH29" s="191"/>
      <c r="DLJ29" s="191"/>
      <c r="DLK29" s="191"/>
      <c r="DLL29" s="191"/>
      <c r="DLN29" s="191"/>
      <c r="DLO29" s="191"/>
      <c r="DLP29" s="191"/>
      <c r="DLR29" s="191"/>
      <c r="DLS29" s="191"/>
      <c r="DLT29" s="191"/>
      <c r="DLV29" s="191"/>
      <c r="DLW29" s="191"/>
      <c r="DLX29" s="191"/>
      <c r="DLZ29" s="191"/>
      <c r="DMA29" s="191"/>
      <c r="DMB29" s="191"/>
      <c r="DMD29" s="191"/>
      <c r="DME29" s="191"/>
      <c r="DMF29" s="191"/>
      <c r="DMH29" s="191"/>
      <c r="DMI29" s="191"/>
      <c r="DMJ29" s="191"/>
      <c r="DML29" s="191"/>
      <c r="DMM29" s="191"/>
      <c r="DMN29" s="191"/>
      <c r="DMP29" s="191"/>
      <c r="DMQ29" s="191"/>
      <c r="DMR29" s="191"/>
      <c r="DMT29" s="191"/>
      <c r="DMU29" s="191"/>
      <c r="DMV29" s="191"/>
      <c r="DMX29" s="191"/>
      <c r="DMY29" s="191"/>
      <c r="DMZ29" s="191"/>
      <c r="DNB29" s="191"/>
      <c r="DNC29" s="191"/>
      <c r="DND29" s="191"/>
      <c r="DNF29" s="191"/>
      <c r="DNG29" s="191"/>
      <c r="DNH29" s="191"/>
      <c r="DNJ29" s="191"/>
      <c r="DNK29" s="191"/>
      <c r="DNL29" s="191"/>
      <c r="DNN29" s="191"/>
      <c r="DNO29" s="191"/>
      <c r="DNP29" s="191"/>
      <c r="DNR29" s="191"/>
      <c r="DNS29" s="191"/>
      <c r="DNT29" s="191"/>
      <c r="DNV29" s="191"/>
      <c r="DNW29" s="191"/>
      <c r="DNX29" s="191"/>
      <c r="DNZ29" s="191"/>
      <c r="DOA29" s="191"/>
      <c r="DOB29" s="191"/>
      <c r="DOD29" s="191"/>
      <c r="DOE29" s="191"/>
      <c r="DOF29" s="191"/>
      <c r="DOH29" s="191"/>
      <c r="DOI29" s="191"/>
      <c r="DOJ29" s="191"/>
      <c r="DOL29" s="191"/>
      <c r="DOM29" s="191"/>
      <c r="DON29" s="191"/>
      <c r="DOP29" s="191"/>
      <c r="DOQ29" s="191"/>
      <c r="DOR29" s="191"/>
      <c r="DOT29" s="191"/>
      <c r="DOU29" s="191"/>
      <c r="DOV29" s="191"/>
      <c r="DOX29" s="191"/>
      <c r="DOY29" s="191"/>
      <c r="DOZ29" s="191"/>
      <c r="DPB29" s="191"/>
      <c r="DPC29" s="191"/>
      <c r="DPD29" s="191"/>
      <c r="DPF29" s="191"/>
      <c r="DPG29" s="191"/>
      <c r="DPH29" s="191"/>
      <c r="DPJ29" s="191"/>
      <c r="DPK29" s="191"/>
      <c r="DPL29" s="191"/>
      <c r="DPN29" s="191"/>
      <c r="DPO29" s="191"/>
      <c r="DPP29" s="191"/>
      <c r="DPR29" s="191"/>
      <c r="DPS29" s="191"/>
      <c r="DPT29" s="191"/>
      <c r="DPV29" s="191"/>
      <c r="DPW29" s="191"/>
      <c r="DPX29" s="191"/>
      <c r="DPZ29" s="191"/>
      <c r="DQA29" s="191"/>
      <c r="DQB29" s="191"/>
      <c r="DQD29" s="191"/>
      <c r="DQE29" s="191"/>
      <c r="DQF29" s="191"/>
      <c r="DQH29" s="191"/>
      <c r="DQI29" s="191"/>
      <c r="DQJ29" s="191"/>
      <c r="DQL29" s="191"/>
      <c r="DQM29" s="191"/>
      <c r="DQN29" s="191"/>
      <c r="DQP29" s="191"/>
      <c r="DQQ29" s="191"/>
      <c r="DQR29" s="191"/>
      <c r="DQT29" s="191"/>
      <c r="DQU29" s="191"/>
      <c r="DQV29" s="191"/>
      <c r="DQX29" s="191"/>
      <c r="DQY29" s="191"/>
      <c r="DQZ29" s="191"/>
      <c r="DRB29" s="191"/>
      <c r="DRC29" s="191"/>
      <c r="DRD29" s="191"/>
      <c r="DRF29" s="191"/>
      <c r="DRG29" s="191"/>
      <c r="DRH29" s="191"/>
      <c r="DRJ29" s="191"/>
      <c r="DRK29" s="191"/>
      <c r="DRL29" s="191"/>
      <c r="DRN29" s="191"/>
      <c r="DRO29" s="191"/>
      <c r="DRP29" s="191"/>
      <c r="DRR29" s="191"/>
      <c r="DRS29" s="191"/>
      <c r="DRT29" s="191"/>
      <c r="DRV29" s="191"/>
      <c r="DRW29" s="191"/>
      <c r="DRX29" s="191"/>
      <c r="DRZ29" s="191"/>
      <c r="DSA29" s="191"/>
      <c r="DSB29" s="191"/>
      <c r="DSD29" s="191"/>
      <c r="DSE29" s="191"/>
      <c r="DSF29" s="191"/>
      <c r="DSH29" s="191"/>
      <c r="DSI29" s="191"/>
      <c r="DSJ29" s="191"/>
      <c r="DSL29" s="191"/>
      <c r="DSM29" s="191"/>
      <c r="DSN29" s="191"/>
      <c r="DSP29" s="191"/>
      <c r="DSQ29" s="191"/>
      <c r="DSR29" s="191"/>
      <c r="DST29" s="191"/>
      <c r="DSU29" s="191"/>
      <c r="DSV29" s="191"/>
      <c r="DSX29" s="191"/>
      <c r="DSY29" s="191"/>
      <c r="DSZ29" s="191"/>
      <c r="DTB29" s="191"/>
      <c r="DTC29" s="191"/>
      <c r="DTD29" s="191"/>
      <c r="DTF29" s="191"/>
      <c r="DTG29" s="191"/>
      <c r="DTH29" s="191"/>
      <c r="DTJ29" s="191"/>
      <c r="DTK29" s="191"/>
      <c r="DTL29" s="191"/>
      <c r="DTN29" s="191"/>
      <c r="DTO29" s="191"/>
      <c r="DTP29" s="191"/>
      <c r="DTR29" s="191"/>
      <c r="DTS29" s="191"/>
      <c r="DTT29" s="191"/>
      <c r="DTV29" s="191"/>
      <c r="DTW29" s="191"/>
      <c r="DTX29" s="191"/>
      <c r="DTZ29" s="191"/>
      <c r="DUA29" s="191"/>
      <c r="DUB29" s="191"/>
      <c r="DUD29" s="191"/>
      <c r="DUE29" s="191"/>
      <c r="DUF29" s="191"/>
      <c r="DUH29" s="191"/>
      <c r="DUI29" s="191"/>
      <c r="DUJ29" s="191"/>
      <c r="DUL29" s="191"/>
      <c r="DUM29" s="191"/>
      <c r="DUN29" s="191"/>
      <c r="DUP29" s="191"/>
      <c r="DUQ29" s="191"/>
      <c r="DUR29" s="191"/>
      <c r="DUT29" s="191"/>
      <c r="DUU29" s="191"/>
      <c r="DUV29" s="191"/>
      <c r="DUX29" s="191"/>
      <c r="DUY29" s="191"/>
      <c r="DUZ29" s="191"/>
      <c r="DVB29" s="191"/>
      <c r="DVC29" s="191"/>
      <c r="DVD29" s="191"/>
      <c r="DVF29" s="191"/>
      <c r="DVG29" s="191"/>
      <c r="DVH29" s="191"/>
      <c r="DVJ29" s="191"/>
      <c r="DVK29" s="191"/>
      <c r="DVL29" s="191"/>
      <c r="DVN29" s="191"/>
      <c r="DVO29" s="191"/>
      <c r="DVP29" s="191"/>
      <c r="DVR29" s="191"/>
      <c r="DVS29" s="191"/>
      <c r="DVT29" s="191"/>
      <c r="DVV29" s="191"/>
      <c r="DVW29" s="191"/>
      <c r="DVX29" s="191"/>
      <c r="DVZ29" s="191"/>
      <c r="DWA29" s="191"/>
      <c r="DWB29" s="191"/>
      <c r="DWD29" s="191"/>
      <c r="DWE29" s="191"/>
      <c r="DWF29" s="191"/>
      <c r="DWH29" s="191"/>
      <c r="DWI29" s="191"/>
      <c r="DWJ29" s="191"/>
      <c r="DWL29" s="191"/>
      <c r="DWM29" s="191"/>
      <c r="DWN29" s="191"/>
      <c r="DWP29" s="191"/>
      <c r="DWQ29" s="191"/>
      <c r="DWR29" s="191"/>
      <c r="DWT29" s="191"/>
      <c r="DWU29" s="191"/>
      <c r="DWV29" s="191"/>
      <c r="DWX29" s="191"/>
      <c r="DWY29" s="191"/>
      <c r="DWZ29" s="191"/>
      <c r="DXB29" s="191"/>
      <c r="DXC29" s="191"/>
      <c r="DXD29" s="191"/>
      <c r="DXF29" s="191"/>
      <c r="DXG29" s="191"/>
      <c r="DXH29" s="191"/>
      <c r="DXJ29" s="191"/>
      <c r="DXK29" s="191"/>
      <c r="DXL29" s="191"/>
      <c r="DXN29" s="191"/>
      <c r="DXO29" s="191"/>
      <c r="DXP29" s="191"/>
      <c r="DXR29" s="191"/>
      <c r="DXS29" s="191"/>
      <c r="DXT29" s="191"/>
      <c r="DXV29" s="191"/>
      <c r="DXW29" s="191"/>
      <c r="DXX29" s="191"/>
      <c r="DXZ29" s="191"/>
      <c r="DYA29" s="191"/>
      <c r="DYB29" s="191"/>
      <c r="DYD29" s="191"/>
      <c r="DYE29" s="191"/>
      <c r="DYF29" s="191"/>
      <c r="DYH29" s="191"/>
      <c r="DYI29" s="191"/>
      <c r="DYJ29" s="191"/>
      <c r="DYL29" s="191"/>
      <c r="DYM29" s="191"/>
      <c r="DYN29" s="191"/>
      <c r="DYP29" s="191"/>
      <c r="DYQ29" s="191"/>
      <c r="DYR29" s="191"/>
      <c r="DYT29" s="191"/>
      <c r="DYU29" s="191"/>
      <c r="DYV29" s="191"/>
      <c r="DYX29" s="191"/>
      <c r="DYY29" s="191"/>
      <c r="DYZ29" s="191"/>
      <c r="DZB29" s="191"/>
      <c r="DZC29" s="191"/>
      <c r="DZD29" s="191"/>
      <c r="DZF29" s="191"/>
      <c r="DZG29" s="191"/>
      <c r="DZH29" s="191"/>
      <c r="DZJ29" s="191"/>
      <c r="DZK29" s="191"/>
      <c r="DZL29" s="191"/>
      <c r="DZN29" s="191"/>
      <c r="DZO29" s="191"/>
      <c r="DZP29" s="191"/>
      <c r="DZR29" s="191"/>
      <c r="DZS29" s="191"/>
      <c r="DZT29" s="191"/>
      <c r="DZV29" s="191"/>
      <c r="DZW29" s="191"/>
      <c r="DZX29" s="191"/>
      <c r="DZZ29" s="191"/>
      <c r="EAA29" s="191"/>
      <c r="EAB29" s="191"/>
      <c r="EAD29" s="191"/>
      <c r="EAE29" s="191"/>
      <c r="EAF29" s="191"/>
      <c r="EAH29" s="191"/>
      <c r="EAI29" s="191"/>
      <c r="EAJ29" s="191"/>
      <c r="EAL29" s="191"/>
      <c r="EAM29" s="191"/>
      <c r="EAN29" s="191"/>
      <c r="EAP29" s="191"/>
      <c r="EAQ29" s="191"/>
      <c r="EAR29" s="191"/>
      <c r="EAT29" s="191"/>
      <c r="EAU29" s="191"/>
      <c r="EAV29" s="191"/>
      <c r="EAX29" s="191"/>
      <c r="EAY29" s="191"/>
      <c r="EAZ29" s="191"/>
      <c r="EBB29" s="191"/>
      <c r="EBC29" s="191"/>
      <c r="EBD29" s="191"/>
      <c r="EBF29" s="191"/>
      <c r="EBG29" s="191"/>
      <c r="EBH29" s="191"/>
      <c r="EBJ29" s="191"/>
      <c r="EBK29" s="191"/>
      <c r="EBL29" s="191"/>
      <c r="EBN29" s="191"/>
      <c r="EBO29" s="191"/>
      <c r="EBP29" s="191"/>
      <c r="EBR29" s="191"/>
      <c r="EBS29" s="191"/>
      <c r="EBT29" s="191"/>
      <c r="EBV29" s="191"/>
      <c r="EBW29" s="191"/>
      <c r="EBX29" s="191"/>
      <c r="EBZ29" s="191"/>
      <c r="ECA29" s="191"/>
      <c r="ECB29" s="191"/>
      <c r="ECD29" s="191"/>
      <c r="ECE29" s="191"/>
      <c r="ECF29" s="191"/>
      <c r="ECH29" s="191"/>
      <c r="ECI29" s="191"/>
      <c r="ECJ29" s="191"/>
      <c r="ECL29" s="191"/>
      <c r="ECM29" s="191"/>
      <c r="ECN29" s="191"/>
      <c r="ECP29" s="191"/>
      <c r="ECQ29" s="191"/>
      <c r="ECR29" s="191"/>
      <c r="ECT29" s="191"/>
      <c r="ECU29" s="191"/>
      <c r="ECV29" s="191"/>
      <c r="ECX29" s="191"/>
      <c r="ECY29" s="191"/>
      <c r="ECZ29" s="191"/>
      <c r="EDB29" s="191"/>
      <c r="EDC29" s="191"/>
      <c r="EDD29" s="191"/>
      <c r="EDF29" s="191"/>
      <c r="EDG29" s="191"/>
      <c r="EDH29" s="191"/>
      <c r="EDJ29" s="191"/>
      <c r="EDK29" s="191"/>
      <c r="EDL29" s="191"/>
      <c r="EDN29" s="191"/>
      <c r="EDO29" s="191"/>
      <c r="EDP29" s="191"/>
      <c r="EDR29" s="191"/>
      <c r="EDS29" s="191"/>
      <c r="EDT29" s="191"/>
      <c r="EDV29" s="191"/>
      <c r="EDW29" s="191"/>
      <c r="EDX29" s="191"/>
      <c r="EDZ29" s="191"/>
      <c r="EEA29" s="191"/>
      <c r="EEB29" s="191"/>
      <c r="EED29" s="191"/>
      <c r="EEE29" s="191"/>
      <c r="EEF29" s="191"/>
      <c r="EEH29" s="191"/>
      <c r="EEI29" s="191"/>
      <c r="EEJ29" s="191"/>
      <c r="EEL29" s="191"/>
      <c r="EEM29" s="191"/>
      <c r="EEN29" s="191"/>
      <c r="EEP29" s="191"/>
      <c r="EEQ29" s="191"/>
      <c r="EER29" s="191"/>
      <c r="EET29" s="191"/>
      <c r="EEU29" s="191"/>
      <c r="EEV29" s="191"/>
      <c r="EEX29" s="191"/>
      <c r="EEY29" s="191"/>
      <c r="EEZ29" s="191"/>
      <c r="EFB29" s="191"/>
      <c r="EFC29" s="191"/>
      <c r="EFD29" s="191"/>
      <c r="EFF29" s="191"/>
      <c r="EFG29" s="191"/>
      <c r="EFH29" s="191"/>
      <c r="EFJ29" s="191"/>
      <c r="EFK29" s="191"/>
      <c r="EFL29" s="191"/>
      <c r="EFN29" s="191"/>
      <c r="EFO29" s="191"/>
      <c r="EFP29" s="191"/>
      <c r="EFR29" s="191"/>
      <c r="EFS29" s="191"/>
      <c r="EFT29" s="191"/>
      <c r="EFV29" s="191"/>
      <c r="EFW29" s="191"/>
      <c r="EFX29" s="191"/>
      <c r="EFZ29" s="191"/>
      <c r="EGA29" s="191"/>
      <c r="EGB29" s="191"/>
      <c r="EGD29" s="191"/>
      <c r="EGE29" s="191"/>
      <c r="EGF29" s="191"/>
      <c r="EGH29" s="191"/>
      <c r="EGI29" s="191"/>
      <c r="EGJ29" s="191"/>
      <c r="EGL29" s="191"/>
      <c r="EGM29" s="191"/>
      <c r="EGN29" s="191"/>
      <c r="EGP29" s="191"/>
      <c r="EGQ29" s="191"/>
      <c r="EGR29" s="191"/>
      <c r="EGT29" s="191"/>
      <c r="EGU29" s="191"/>
      <c r="EGV29" s="191"/>
      <c r="EGX29" s="191"/>
      <c r="EGY29" s="191"/>
      <c r="EGZ29" s="191"/>
      <c r="EHB29" s="191"/>
      <c r="EHC29" s="191"/>
      <c r="EHD29" s="191"/>
      <c r="EHF29" s="191"/>
      <c r="EHG29" s="191"/>
      <c r="EHH29" s="191"/>
      <c r="EHJ29" s="191"/>
      <c r="EHK29" s="191"/>
      <c r="EHL29" s="191"/>
      <c r="EHN29" s="191"/>
      <c r="EHO29" s="191"/>
      <c r="EHP29" s="191"/>
      <c r="EHR29" s="191"/>
      <c r="EHS29" s="191"/>
      <c r="EHT29" s="191"/>
      <c r="EHV29" s="191"/>
      <c r="EHW29" s="191"/>
      <c r="EHX29" s="191"/>
      <c r="EHZ29" s="191"/>
      <c r="EIA29" s="191"/>
      <c r="EIB29" s="191"/>
      <c r="EID29" s="191"/>
      <c r="EIE29" s="191"/>
      <c r="EIF29" s="191"/>
      <c r="EIH29" s="191"/>
      <c r="EII29" s="191"/>
      <c r="EIJ29" s="191"/>
      <c r="EIL29" s="191"/>
      <c r="EIM29" s="191"/>
      <c r="EIN29" s="191"/>
      <c r="EIP29" s="191"/>
      <c r="EIQ29" s="191"/>
      <c r="EIR29" s="191"/>
      <c r="EIT29" s="191"/>
      <c r="EIU29" s="191"/>
      <c r="EIV29" s="191"/>
      <c r="EIX29" s="191"/>
      <c r="EIY29" s="191"/>
      <c r="EIZ29" s="191"/>
      <c r="EJB29" s="191"/>
      <c r="EJC29" s="191"/>
      <c r="EJD29" s="191"/>
      <c r="EJF29" s="191"/>
      <c r="EJG29" s="191"/>
      <c r="EJH29" s="191"/>
      <c r="EJJ29" s="191"/>
      <c r="EJK29" s="191"/>
      <c r="EJL29" s="191"/>
      <c r="EJN29" s="191"/>
      <c r="EJO29" s="191"/>
      <c r="EJP29" s="191"/>
      <c r="EJR29" s="191"/>
      <c r="EJS29" s="191"/>
      <c r="EJT29" s="191"/>
      <c r="EJV29" s="191"/>
      <c r="EJW29" s="191"/>
      <c r="EJX29" s="191"/>
      <c r="EJZ29" s="191"/>
      <c r="EKA29" s="191"/>
      <c r="EKB29" s="191"/>
      <c r="EKD29" s="191"/>
      <c r="EKE29" s="191"/>
      <c r="EKF29" s="191"/>
      <c r="EKH29" s="191"/>
      <c r="EKI29" s="191"/>
      <c r="EKJ29" s="191"/>
      <c r="EKL29" s="191"/>
      <c r="EKM29" s="191"/>
      <c r="EKN29" s="191"/>
      <c r="EKP29" s="191"/>
      <c r="EKQ29" s="191"/>
      <c r="EKR29" s="191"/>
      <c r="EKT29" s="191"/>
      <c r="EKU29" s="191"/>
      <c r="EKV29" s="191"/>
      <c r="EKX29" s="191"/>
      <c r="EKY29" s="191"/>
      <c r="EKZ29" s="191"/>
      <c r="ELB29" s="191"/>
      <c r="ELC29" s="191"/>
      <c r="ELD29" s="191"/>
      <c r="ELF29" s="191"/>
      <c r="ELG29" s="191"/>
      <c r="ELH29" s="191"/>
      <c r="ELJ29" s="191"/>
      <c r="ELK29" s="191"/>
      <c r="ELL29" s="191"/>
      <c r="ELN29" s="191"/>
      <c r="ELO29" s="191"/>
      <c r="ELP29" s="191"/>
      <c r="ELR29" s="191"/>
      <c r="ELS29" s="191"/>
      <c r="ELT29" s="191"/>
      <c r="ELV29" s="191"/>
      <c r="ELW29" s="191"/>
      <c r="ELX29" s="191"/>
      <c r="ELZ29" s="191"/>
      <c r="EMA29" s="191"/>
      <c r="EMB29" s="191"/>
      <c r="EMD29" s="191"/>
      <c r="EME29" s="191"/>
      <c r="EMF29" s="191"/>
      <c r="EMH29" s="191"/>
      <c r="EMI29" s="191"/>
      <c r="EMJ29" s="191"/>
      <c r="EML29" s="191"/>
      <c r="EMM29" s="191"/>
      <c r="EMN29" s="191"/>
      <c r="EMP29" s="191"/>
      <c r="EMQ29" s="191"/>
      <c r="EMR29" s="191"/>
      <c r="EMT29" s="191"/>
      <c r="EMU29" s="191"/>
      <c r="EMV29" s="191"/>
      <c r="EMX29" s="191"/>
      <c r="EMY29" s="191"/>
      <c r="EMZ29" s="191"/>
      <c r="ENB29" s="191"/>
      <c r="ENC29" s="191"/>
      <c r="END29" s="191"/>
      <c r="ENF29" s="191"/>
      <c r="ENG29" s="191"/>
      <c r="ENH29" s="191"/>
      <c r="ENJ29" s="191"/>
      <c r="ENK29" s="191"/>
      <c r="ENL29" s="191"/>
      <c r="ENN29" s="191"/>
      <c r="ENO29" s="191"/>
      <c r="ENP29" s="191"/>
      <c r="ENR29" s="191"/>
      <c r="ENS29" s="191"/>
      <c r="ENT29" s="191"/>
      <c r="ENV29" s="191"/>
      <c r="ENW29" s="191"/>
      <c r="ENX29" s="191"/>
      <c r="ENZ29" s="191"/>
      <c r="EOA29" s="191"/>
      <c r="EOB29" s="191"/>
      <c r="EOD29" s="191"/>
      <c r="EOE29" s="191"/>
      <c r="EOF29" s="191"/>
      <c r="EOH29" s="191"/>
      <c r="EOI29" s="191"/>
      <c r="EOJ29" s="191"/>
      <c r="EOL29" s="191"/>
      <c r="EOM29" s="191"/>
      <c r="EON29" s="191"/>
      <c r="EOP29" s="191"/>
      <c r="EOQ29" s="191"/>
      <c r="EOR29" s="191"/>
      <c r="EOT29" s="191"/>
      <c r="EOU29" s="191"/>
      <c r="EOV29" s="191"/>
      <c r="EOX29" s="191"/>
      <c r="EOY29" s="191"/>
      <c r="EOZ29" s="191"/>
      <c r="EPB29" s="191"/>
      <c r="EPC29" s="191"/>
      <c r="EPD29" s="191"/>
      <c r="EPF29" s="191"/>
      <c r="EPG29" s="191"/>
      <c r="EPH29" s="191"/>
      <c r="EPJ29" s="191"/>
      <c r="EPK29" s="191"/>
      <c r="EPL29" s="191"/>
      <c r="EPN29" s="191"/>
      <c r="EPO29" s="191"/>
      <c r="EPP29" s="191"/>
      <c r="EPR29" s="191"/>
      <c r="EPS29" s="191"/>
      <c r="EPT29" s="191"/>
      <c r="EPV29" s="191"/>
      <c r="EPW29" s="191"/>
      <c r="EPX29" s="191"/>
      <c r="EPZ29" s="191"/>
      <c r="EQA29" s="191"/>
      <c r="EQB29" s="191"/>
      <c r="EQD29" s="191"/>
      <c r="EQE29" s="191"/>
      <c r="EQF29" s="191"/>
      <c r="EQH29" s="191"/>
      <c r="EQI29" s="191"/>
      <c r="EQJ29" s="191"/>
      <c r="EQL29" s="191"/>
      <c r="EQM29" s="191"/>
      <c r="EQN29" s="191"/>
      <c r="EQP29" s="191"/>
      <c r="EQQ29" s="191"/>
      <c r="EQR29" s="191"/>
      <c r="EQT29" s="191"/>
      <c r="EQU29" s="191"/>
      <c r="EQV29" s="191"/>
      <c r="EQX29" s="191"/>
      <c r="EQY29" s="191"/>
      <c r="EQZ29" s="191"/>
      <c r="ERB29" s="191"/>
      <c r="ERC29" s="191"/>
      <c r="ERD29" s="191"/>
      <c r="ERF29" s="191"/>
      <c r="ERG29" s="191"/>
      <c r="ERH29" s="191"/>
      <c r="ERJ29" s="191"/>
      <c r="ERK29" s="191"/>
      <c r="ERL29" s="191"/>
      <c r="ERN29" s="191"/>
      <c r="ERO29" s="191"/>
      <c r="ERP29" s="191"/>
      <c r="ERR29" s="191"/>
      <c r="ERS29" s="191"/>
      <c r="ERT29" s="191"/>
      <c r="ERV29" s="191"/>
      <c r="ERW29" s="191"/>
      <c r="ERX29" s="191"/>
      <c r="ERZ29" s="191"/>
      <c r="ESA29" s="191"/>
      <c r="ESB29" s="191"/>
      <c r="ESD29" s="191"/>
      <c r="ESE29" s="191"/>
      <c r="ESF29" s="191"/>
      <c r="ESH29" s="191"/>
      <c r="ESI29" s="191"/>
      <c r="ESJ29" s="191"/>
      <c r="ESL29" s="191"/>
      <c r="ESM29" s="191"/>
      <c r="ESN29" s="191"/>
      <c r="ESP29" s="191"/>
      <c r="ESQ29" s="191"/>
      <c r="ESR29" s="191"/>
      <c r="EST29" s="191"/>
      <c r="ESU29" s="191"/>
      <c r="ESV29" s="191"/>
      <c r="ESX29" s="191"/>
      <c r="ESY29" s="191"/>
      <c r="ESZ29" s="191"/>
      <c r="ETB29" s="191"/>
      <c r="ETC29" s="191"/>
      <c r="ETD29" s="191"/>
      <c r="ETF29" s="191"/>
      <c r="ETG29" s="191"/>
      <c r="ETH29" s="191"/>
      <c r="ETJ29" s="191"/>
      <c r="ETK29" s="191"/>
      <c r="ETL29" s="191"/>
      <c r="ETN29" s="191"/>
      <c r="ETO29" s="191"/>
      <c r="ETP29" s="191"/>
      <c r="ETR29" s="191"/>
      <c r="ETS29" s="191"/>
      <c r="ETT29" s="191"/>
      <c r="ETV29" s="191"/>
      <c r="ETW29" s="191"/>
      <c r="ETX29" s="191"/>
      <c r="ETZ29" s="191"/>
      <c r="EUA29" s="191"/>
      <c r="EUB29" s="191"/>
      <c r="EUD29" s="191"/>
      <c r="EUE29" s="191"/>
      <c r="EUF29" s="191"/>
      <c r="EUH29" s="191"/>
      <c r="EUI29" s="191"/>
      <c r="EUJ29" s="191"/>
      <c r="EUL29" s="191"/>
      <c r="EUM29" s="191"/>
      <c r="EUN29" s="191"/>
      <c r="EUP29" s="191"/>
      <c r="EUQ29" s="191"/>
      <c r="EUR29" s="191"/>
      <c r="EUT29" s="191"/>
      <c r="EUU29" s="191"/>
      <c r="EUV29" s="191"/>
      <c r="EUX29" s="191"/>
      <c r="EUY29" s="191"/>
      <c r="EUZ29" s="191"/>
      <c r="EVB29" s="191"/>
      <c r="EVC29" s="191"/>
      <c r="EVD29" s="191"/>
      <c r="EVF29" s="191"/>
      <c r="EVG29" s="191"/>
      <c r="EVH29" s="191"/>
      <c r="EVJ29" s="191"/>
      <c r="EVK29" s="191"/>
      <c r="EVL29" s="191"/>
      <c r="EVN29" s="191"/>
      <c r="EVO29" s="191"/>
      <c r="EVP29" s="191"/>
      <c r="EVR29" s="191"/>
      <c r="EVS29" s="191"/>
      <c r="EVT29" s="191"/>
      <c r="EVV29" s="191"/>
      <c r="EVW29" s="191"/>
      <c r="EVX29" s="191"/>
      <c r="EVZ29" s="191"/>
      <c r="EWA29" s="191"/>
      <c r="EWB29" s="191"/>
      <c r="EWD29" s="191"/>
      <c r="EWE29" s="191"/>
      <c r="EWF29" s="191"/>
      <c r="EWH29" s="191"/>
      <c r="EWI29" s="191"/>
      <c r="EWJ29" s="191"/>
      <c r="EWL29" s="191"/>
      <c r="EWM29" s="191"/>
      <c r="EWN29" s="191"/>
      <c r="EWP29" s="191"/>
      <c r="EWQ29" s="191"/>
      <c r="EWR29" s="191"/>
      <c r="EWT29" s="191"/>
      <c r="EWU29" s="191"/>
      <c r="EWV29" s="191"/>
      <c r="EWX29" s="191"/>
      <c r="EWY29" s="191"/>
      <c r="EWZ29" s="191"/>
      <c r="EXB29" s="191"/>
      <c r="EXC29" s="191"/>
      <c r="EXD29" s="191"/>
      <c r="EXF29" s="191"/>
      <c r="EXG29" s="191"/>
      <c r="EXH29" s="191"/>
      <c r="EXJ29" s="191"/>
      <c r="EXK29" s="191"/>
      <c r="EXL29" s="191"/>
      <c r="EXN29" s="191"/>
      <c r="EXO29" s="191"/>
      <c r="EXP29" s="191"/>
      <c r="EXR29" s="191"/>
      <c r="EXS29" s="191"/>
      <c r="EXT29" s="191"/>
      <c r="EXV29" s="191"/>
      <c r="EXW29" s="191"/>
      <c r="EXX29" s="191"/>
      <c r="EXZ29" s="191"/>
      <c r="EYA29" s="191"/>
      <c r="EYB29" s="191"/>
      <c r="EYD29" s="191"/>
      <c r="EYE29" s="191"/>
      <c r="EYF29" s="191"/>
      <c r="EYH29" s="191"/>
      <c r="EYI29" s="191"/>
      <c r="EYJ29" s="191"/>
      <c r="EYL29" s="191"/>
      <c r="EYM29" s="191"/>
      <c r="EYN29" s="191"/>
      <c r="EYP29" s="191"/>
      <c r="EYQ29" s="191"/>
      <c r="EYR29" s="191"/>
      <c r="EYT29" s="191"/>
      <c r="EYU29" s="191"/>
      <c r="EYV29" s="191"/>
      <c r="EYX29" s="191"/>
      <c r="EYY29" s="191"/>
      <c r="EYZ29" s="191"/>
      <c r="EZB29" s="191"/>
      <c r="EZC29" s="191"/>
      <c r="EZD29" s="191"/>
      <c r="EZF29" s="191"/>
      <c r="EZG29" s="191"/>
      <c r="EZH29" s="191"/>
      <c r="EZJ29" s="191"/>
      <c r="EZK29" s="191"/>
      <c r="EZL29" s="191"/>
      <c r="EZN29" s="191"/>
      <c r="EZO29" s="191"/>
      <c r="EZP29" s="191"/>
      <c r="EZR29" s="191"/>
      <c r="EZS29" s="191"/>
      <c r="EZT29" s="191"/>
      <c r="EZV29" s="191"/>
      <c r="EZW29" s="191"/>
      <c r="EZX29" s="191"/>
      <c r="EZZ29" s="191"/>
      <c r="FAA29" s="191"/>
      <c r="FAB29" s="191"/>
      <c r="FAD29" s="191"/>
      <c r="FAE29" s="191"/>
      <c r="FAF29" s="191"/>
      <c r="FAH29" s="191"/>
      <c r="FAI29" s="191"/>
      <c r="FAJ29" s="191"/>
      <c r="FAL29" s="191"/>
      <c r="FAM29" s="191"/>
      <c r="FAN29" s="191"/>
      <c r="FAP29" s="191"/>
      <c r="FAQ29" s="191"/>
      <c r="FAR29" s="191"/>
      <c r="FAT29" s="191"/>
      <c r="FAU29" s="191"/>
      <c r="FAV29" s="191"/>
      <c r="FAX29" s="191"/>
      <c r="FAY29" s="191"/>
      <c r="FAZ29" s="191"/>
      <c r="FBB29" s="191"/>
      <c r="FBC29" s="191"/>
      <c r="FBD29" s="191"/>
      <c r="FBF29" s="191"/>
      <c r="FBG29" s="191"/>
      <c r="FBH29" s="191"/>
      <c r="FBJ29" s="191"/>
      <c r="FBK29" s="191"/>
      <c r="FBL29" s="191"/>
      <c r="FBN29" s="191"/>
      <c r="FBO29" s="191"/>
      <c r="FBP29" s="191"/>
      <c r="FBR29" s="191"/>
      <c r="FBS29" s="191"/>
      <c r="FBT29" s="191"/>
      <c r="FBV29" s="191"/>
      <c r="FBW29" s="191"/>
      <c r="FBX29" s="191"/>
      <c r="FBZ29" s="191"/>
      <c r="FCA29" s="191"/>
      <c r="FCB29" s="191"/>
      <c r="FCD29" s="191"/>
      <c r="FCE29" s="191"/>
      <c r="FCF29" s="191"/>
      <c r="FCH29" s="191"/>
      <c r="FCI29" s="191"/>
      <c r="FCJ29" s="191"/>
      <c r="FCL29" s="191"/>
      <c r="FCM29" s="191"/>
      <c r="FCN29" s="191"/>
      <c r="FCP29" s="191"/>
      <c r="FCQ29" s="191"/>
      <c r="FCR29" s="191"/>
      <c r="FCT29" s="191"/>
      <c r="FCU29" s="191"/>
      <c r="FCV29" s="191"/>
      <c r="FCX29" s="191"/>
      <c r="FCY29" s="191"/>
      <c r="FCZ29" s="191"/>
      <c r="FDB29" s="191"/>
      <c r="FDC29" s="191"/>
      <c r="FDD29" s="191"/>
      <c r="FDF29" s="191"/>
      <c r="FDG29" s="191"/>
      <c r="FDH29" s="191"/>
      <c r="FDJ29" s="191"/>
      <c r="FDK29" s="191"/>
      <c r="FDL29" s="191"/>
      <c r="FDN29" s="191"/>
      <c r="FDO29" s="191"/>
      <c r="FDP29" s="191"/>
      <c r="FDR29" s="191"/>
      <c r="FDS29" s="191"/>
      <c r="FDT29" s="191"/>
      <c r="FDV29" s="191"/>
      <c r="FDW29" s="191"/>
      <c r="FDX29" s="191"/>
      <c r="FDZ29" s="191"/>
      <c r="FEA29" s="191"/>
      <c r="FEB29" s="191"/>
      <c r="FED29" s="191"/>
      <c r="FEE29" s="191"/>
      <c r="FEF29" s="191"/>
      <c r="FEH29" s="191"/>
      <c r="FEI29" s="191"/>
      <c r="FEJ29" s="191"/>
      <c r="FEL29" s="191"/>
      <c r="FEM29" s="191"/>
      <c r="FEN29" s="191"/>
      <c r="FEP29" s="191"/>
      <c r="FEQ29" s="191"/>
      <c r="FER29" s="191"/>
      <c r="FET29" s="191"/>
      <c r="FEU29" s="191"/>
      <c r="FEV29" s="191"/>
      <c r="FEX29" s="191"/>
      <c r="FEY29" s="191"/>
      <c r="FEZ29" s="191"/>
      <c r="FFB29" s="191"/>
      <c r="FFC29" s="191"/>
      <c r="FFD29" s="191"/>
      <c r="FFF29" s="191"/>
      <c r="FFG29" s="191"/>
      <c r="FFH29" s="191"/>
      <c r="FFJ29" s="191"/>
      <c r="FFK29" s="191"/>
      <c r="FFL29" s="191"/>
      <c r="FFN29" s="191"/>
      <c r="FFO29" s="191"/>
      <c r="FFP29" s="191"/>
      <c r="FFR29" s="191"/>
      <c r="FFS29" s="191"/>
      <c r="FFT29" s="191"/>
      <c r="FFV29" s="191"/>
      <c r="FFW29" s="191"/>
      <c r="FFX29" s="191"/>
      <c r="FFZ29" s="191"/>
      <c r="FGA29" s="191"/>
      <c r="FGB29" s="191"/>
      <c r="FGD29" s="191"/>
      <c r="FGE29" s="191"/>
      <c r="FGF29" s="191"/>
      <c r="FGH29" s="191"/>
      <c r="FGI29" s="191"/>
      <c r="FGJ29" s="191"/>
      <c r="FGL29" s="191"/>
      <c r="FGM29" s="191"/>
      <c r="FGN29" s="191"/>
      <c r="FGP29" s="191"/>
      <c r="FGQ29" s="191"/>
      <c r="FGR29" s="191"/>
      <c r="FGT29" s="191"/>
      <c r="FGU29" s="191"/>
      <c r="FGV29" s="191"/>
      <c r="FGX29" s="191"/>
      <c r="FGY29" s="191"/>
      <c r="FGZ29" s="191"/>
      <c r="FHB29" s="191"/>
      <c r="FHC29" s="191"/>
      <c r="FHD29" s="191"/>
      <c r="FHF29" s="191"/>
      <c r="FHG29" s="191"/>
      <c r="FHH29" s="191"/>
      <c r="FHJ29" s="191"/>
      <c r="FHK29" s="191"/>
      <c r="FHL29" s="191"/>
      <c r="FHN29" s="191"/>
      <c r="FHO29" s="191"/>
      <c r="FHP29" s="191"/>
      <c r="FHR29" s="191"/>
      <c r="FHS29" s="191"/>
      <c r="FHT29" s="191"/>
      <c r="FHV29" s="191"/>
      <c r="FHW29" s="191"/>
      <c r="FHX29" s="191"/>
      <c r="FHZ29" s="191"/>
      <c r="FIA29" s="191"/>
      <c r="FIB29" s="191"/>
      <c r="FID29" s="191"/>
      <c r="FIE29" s="191"/>
      <c r="FIF29" s="191"/>
      <c r="FIH29" s="191"/>
      <c r="FII29" s="191"/>
      <c r="FIJ29" s="191"/>
      <c r="FIL29" s="191"/>
      <c r="FIM29" s="191"/>
      <c r="FIN29" s="191"/>
      <c r="FIP29" s="191"/>
      <c r="FIQ29" s="191"/>
      <c r="FIR29" s="191"/>
      <c r="FIT29" s="191"/>
      <c r="FIU29" s="191"/>
      <c r="FIV29" s="191"/>
      <c r="FIX29" s="191"/>
      <c r="FIY29" s="191"/>
      <c r="FIZ29" s="191"/>
      <c r="FJB29" s="191"/>
      <c r="FJC29" s="191"/>
      <c r="FJD29" s="191"/>
      <c r="FJF29" s="191"/>
      <c r="FJG29" s="191"/>
      <c r="FJH29" s="191"/>
      <c r="FJJ29" s="191"/>
      <c r="FJK29" s="191"/>
      <c r="FJL29" s="191"/>
      <c r="FJN29" s="191"/>
      <c r="FJO29" s="191"/>
      <c r="FJP29" s="191"/>
      <c r="FJR29" s="191"/>
      <c r="FJS29" s="191"/>
      <c r="FJT29" s="191"/>
      <c r="FJV29" s="191"/>
      <c r="FJW29" s="191"/>
      <c r="FJX29" s="191"/>
      <c r="FJZ29" s="191"/>
      <c r="FKA29" s="191"/>
      <c r="FKB29" s="191"/>
      <c r="FKD29" s="191"/>
      <c r="FKE29" s="191"/>
      <c r="FKF29" s="191"/>
      <c r="FKH29" s="191"/>
      <c r="FKI29" s="191"/>
      <c r="FKJ29" s="191"/>
      <c r="FKL29" s="191"/>
      <c r="FKM29" s="191"/>
      <c r="FKN29" s="191"/>
      <c r="FKP29" s="191"/>
      <c r="FKQ29" s="191"/>
      <c r="FKR29" s="191"/>
      <c r="FKT29" s="191"/>
      <c r="FKU29" s="191"/>
      <c r="FKV29" s="191"/>
      <c r="FKX29" s="191"/>
      <c r="FKY29" s="191"/>
      <c r="FKZ29" s="191"/>
      <c r="FLB29" s="191"/>
      <c r="FLC29" s="191"/>
      <c r="FLD29" s="191"/>
      <c r="FLF29" s="191"/>
      <c r="FLG29" s="191"/>
      <c r="FLH29" s="191"/>
      <c r="FLJ29" s="191"/>
      <c r="FLK29" s="191"/>
      <c r="FLL29" s="191"/>
      <c r="FLN29" s="191"/>
      <c r="FLO29" s="191"/>
      <c r="FLP29" s="191"/>
      <c r="FLR29" s="191"/>
      <c r="FLS29" s="191"/>
      <c r="FLT29" s="191"/>
      <c r="FLV29" s="191"/>
      <c r="FLW29" s="191"/>
      <c r="FLX29" s="191"/>
      <c r="FLZ29" s="191"/>
      <c r="FMA29" s="191"/>
      <c r="FMB29" s="191"/>
      <c r="FMD29" s="191"/>
      <c r="FME29" s="191"/>
      <c r="FMF29" s="191"/>
      <c r="FMH29" s="191"/>
      <c r="FMI29" s="191"/>
      <c r="FMJ29" s="191"/>
      <c r="FML29" s="191"/>
      <c r="FMM29" s="191"/>
      <c r="FMN29" s="191"/>
      <c r="FMP29" s="191"/>
      <c r="FMQ29" s="191"/>
      <c r="FMR29" s="191"/>
      <c r="FMT29" s="191"/>
      <c r="FMU29" s="191"/>
      <c r="FMV29" s="191"/>
      <c r="FMX29" s="191"/>
      <c r="FMY29" s="191"/>
      <c r="FMZ29" s="191"/>
      <c r="FNB29" s="191"/>
      <c r="FNC29" s="191"/>
      <c r="FND29" s="191"/>
      <c r="FNF29" s="191"/>
      <c r="FNG29" s="191"/>
      <c r="FNH29" s="191"/>
      <c r="FNJ29" s="191"/>
      <c r="FNK29" s="191"/>
      <c r="FNL29" s="191"/>
      <c r="FNN29" s="191"/>
      <c r="FNO29" s="191"/>
      <c r="FNP29" s="191"/>
      <c r="FNR29" s="191"/>
      <c r="FNS29" s="191"/>
      <c r="FNT29" s="191"/>
      <c r="FNV29" s="191"/>
      <c r="FNW29" s="191"/>
      <c r="FNX29" s="191"/>
      <c r="FNZ29" s="191"/>
      <c r="FOA29" s="191"/>
      <c r="FOB29" s="191"/>
      <c r="FOD29" s="191"/>
      <c r="FOE29" s="191"/>
      <c r="FOF29" s="191"/>
      <c r="FOH29" s="191"/>
      <c r="FOI29" s="191"/>
      <c r="FOJ29" s="191"/>
      <c r="FOL29" s="191"/>
      <c r="FOM29" s="191"/>
      <c r="FON29" s="191"/>
      <c r="FOP29" s="191"/>
      <c r="FOQ29" s="191"/>
      <c r="FOR29" s="191"/>
      <c r="FOT29" s="191"/>
      <c r="FOU29" s="191"/>
      <c r="FOV29" s="191"/>
      <c r="FOX29" s="191"/>
      <c r="FOY29" s="191"/>
      <c r="FOZ29" s="191"/>
      <c r="FPB29" s="191"/>
      <c r="FPC29" s="191"/>
      <c r="FPD29" s="191"/>
      <c r="FPF29" s="191"/>
      <c r="FPG29" s="191"/>
      <c r="FPH29" s="191"/>
      <c r="FPJ29" s="191"/>
      <c r="FPK29" s="191"/>
      <c r="FPL29" s="191"/>
      <c r="FPN29" s="191"/>
      <c r="FPO29" s="191"/>
      <c r="FPP29" s="191"/>
      <c r="FPR29" s="191"/>
      <c r="FPS29" s="191"/>
      <c r="FPT29" s="191"/>
      <c r="FPV29" s="191"/>
      <c r="FPW29" s="191"/>
      <c r="FPX29" s="191"/>
      <c r="FPZ29" s="191"/>
      <c r="FQA29" s="191"/>
      <c r="FQB29" s="191"/>
      <c r="FQD29" s="191"/>
      <c r="FQE29" s="191"/>
      <c r="FQF29" s="191"/>
      <c r="FQH29" s="191"/>
      <c r="FQI29" s="191"/>
      <c r="FQJ29" s="191"/>
      <c r="FQL29" s="191"/>
      <c r="FQM29" s="191"/>
      <c r="FQN29" s="191"/>
      <c r="FQP29" s="191"/>
      <c r="FQQ29" s="191"/>
      <c r="FQR29" s="191"/>
      <c r="FQT29" s="191"/>
      <c r="FQU29" s="191"/>
      <c r="FQV29" s="191"/>
      <c r="FQX29" s="191"/>
      <c r="FQY29" s="191"/>
      <c r="FQZ29" s="191"/>
      <c r="FRB29" s="191"/>
      <c r="FRC29" s="191"/>
      <c r="FRD29" s="191"/>
      <c r="FRF29" s="191"/>
      <c r="FRG29" s="191"/>
      <c r="FRH29" s="191"/>
      <c r="FRJ29" s="191"/>
      <c r="FRK29" s="191"/>
      <c r="FRL29" s="191"/>
      <c r="FRN29" s="191"/>
      <c r="FRO29" s="191"/>
      <c r="FRP29" s="191"/>
      <c r="FRR29" s="191"/>
      <c r="FRS29" s="191"/>
      <c r="FRT29" s="191"/>
      <c r="FRV29" s="191"/>
      <c r="FRW29" s="191"/>
      <c r="FRX29" s="191"/>
      <c r="FRZ29" s="191"/>
      <c r="FSA29" s="191"/>
      <c r="FSB29" s="191"/>
      <c r="FSD29" s="191"/>
      <c r="FSE29" s="191"/>
      <c r="FSF29" s="191"/>
      <c r="FSH29" s="191"/>
      <c r="FSI29" s="191"/>
      <c r="FSJ29" s="191"/>
      <c r="FSL29" s="191"/>
      <c r="FSM29" s="191"/>
      <c r="FSN29" s="191"/>
      <c r="FSP29" s="191"/>
      <c r="FSQ29" s="191"/>
      <c r="FSR29" s="191"/>
      <c r="FST29" s="191"/>
      <c r="FSU29" s="191"/>
      <c r="FSV29" s="191"/>
      <c r="FSX29" s="191"/>
      <c r="FSY29" s="191"/>
      <c r="FSZ29" s="191"/>
      <c r="FTB29" s="191"/>
      <c r="FTC29" s="191"/>
      <c r="FTD29" s="191"/>
      <c r="FTF29" s="191"/>
      <c r="FTG29" s="191"/>
      <c r="FTH29" s="191"/>
      <c r="FTJ29" s="191"/>
      <c r="FTK29" s="191"/>
      <c r="FTL29" s="191"/>
      <c r="FTN29" s="191"/>
      <c r="FTO29" s="191"/>
      <c r="FTP29" s="191"/>
      <c r="FTR29" s="191"/>
      <c r="FTS29" s="191"/>
      <c r="FTT29" s="191"/>
      <c r="FTV29" s="191"/>
      <c r="FTW29" s="191"/>
      <c r="FTX29" s="191"/>
      <c r="FTZ29" s="191"/>
      <c r="FUA29" s="191"/>
      <c r="FUB29" s="191"/>
      <c r="FUD29" s="191"/>
      <c r="FUE29" s="191"/>
      <c r="FUF29" s="191"/>
      <c r="FUH29" s="191"/>
      <c r="FUI29" s="191"/>
      <c r="FUJ29" s="191"/>
      <c r="FUL29" s="191"/>
      <c r="FUM29" s="191"/>
      <c r="FUN29" s="191"/>
      <c r="FUP29" s="191"/>
      <c r="FUQ29" s="191"/>
      <c r="FUR29" s="191"/>
      <c r="FUT29" s="191"/>
      <c r="FUU29" s="191"/>
      <c r="FUV29" s="191"/>
      <c r="FUX29" s="191"/>
      <c r="FUY29" s="191"/>
      <c r="FUZ29" s="191"/>
      <c r="FVB29" s="191"/>
      <c r="FVC29" s="191"/>
      <c r="FVD29" s="191"/>
      <c r="FVF29" s="191"/>
      <c r="FVG29" s="191"/>
      <c r="FVH29" s="191"/>
      <c r="FVJ29" s="191"/>
      <c r="FVK29" s="191"/>
      <c r="FVL29" s="191"/>
      <c r="FVN29" s="191"/>
      <c r="FVO29" s="191"/>
      <c r="FVP29" s="191"/>
      <c r="FVR29" s="191"/>
      <c r="FVS29" s="191"/>
      <c r="FVT29" s="191"/>
      <c r="FVV29" s="191"/>
      <c r="FVW29" s="191"/>
      <c r="FVX29" s="191"/>
      <c r="FVZ29" s="191"/>
      <c r="FWA29" s="191"/>
      <c r="FWB29" s="191"/>
      <c r="FWD29" s="191"/>
      <c r="FWE29" s="191"/>
      <c r="FWF29" s="191"/>
      <c r="FWH29" s="191"/>
      <c r="FWI29" s="191"/>
      <c r="FWJ29" s="191"/>
      <c r="FWL29" s="191"/>
      <c r="FWM29" s="191"/>
      <c r="FWN29" s="191"/>
      <c r="FWP29" s="191"/>
      <c r="FWQ29" s="191"/>
      <c r="FWR29" s="191"/>
      <c r="FWT29" s="191"/>
      <c r="FWU29" s="191"/>
      <c r="FWV29" s="191"/>
      <c r="FWX29" s="191"/>
      <c r="FWY29" s="191"/>
      <c r="FWZ29" s="191"/>
      <c r="FXB29" s="191"/>
      <c r="FXC29" s="191"/>
      <c r="FXD29" s="191"/>
      <c r="FXF29" s="191"/>
      <c r="FXG29" s="191"/>
      <c r="FXH29" s="191"/>
      <c r="FXJ29" s="191"/>
      <c r="FXK29" s="191"/>
      <c r="FXL29" s="191"/>
      <c r="FXN29" s="191"/>
      <c r="FXO29" s="191"/>
      <c r="FXP29" s="191"/>
      <c r="FXR29" s="191"/>
      <c r="FXS29" s="191"/>
      <c r="FXT29" s="191"/>
      <c r="FXV29" s="191"/>
      <c r="FXW29" s="191"/>
      <c r="FXX29" s="191"/>
      <c r="FXZ29" s="191"/>
      <c r="FYA29" s="191"/>
      <c r="FYB29" s="191"/>
      <c r="FYD29" s="191"/>
      <c r="FYE29" s="191"/>
      <c r="FYF29" s="191"/>
      <c r="FYH29" s="191"/>
      <c r="FYI29" s="191"/>
      <c r="FYJ29" s="191"/>
      <c r="FYL29" s="191"/>
      <c r="FYM29" s="191"/>
      <c r="FYN29" s="191"/>
      <c r="FYP29" s="191"/>
      <c r="FYQ29" s="191"/>
      <c r="FYR29" s="191"/>
      <c r="FYT29" s="191"/>
      <c r="FYU29" s="191"/>
      <c r="FYV29" s="191"/>
      <c r="FYX29" s="191"/>
      <c r="FYY29" s="191"/>
      <c r="FYZ29" s="191"/>
      <c r="FZB29" s="191"/>
      <c r="FZC29" s="191"/>
      <c r="FZD29" s="191"/>
      <c r="FZF29" s="191"/>
      <c r="FZG29" s="191"/>
      <c r="FZH29" s="191"/>
      <c r="FZJ29" s="191"/>
      <c r="FZK29" s="191"/>
      <c r="FZL29" s="191"/>
      <c r="FZN29" s="191"/>
      <c r="FZO29" s="191"/>
      <c r="FZP29" s="191"/>
      <c r="FZR29" s="191"/>
      <c r="FZS29" s="191"/>
      <c r="FZT29" s="191"/>
      <c r="FZV29" s="191"/>
      <c r="FZW29" s="191"/>
      <c r="FZX29" s="191"/>
      <c r="FZZ29" s="191"/>
      <c r="GAA29" s="191"/>
      <c r="GAB29" s="191"/>
      <c r="GAD29" s="191"/>
      <c r="GAE29" s="191"/>
      <c r="GAF29" s="191"/>
      <c r="GAH29" s="191"/>
      <c r="GAI29" s="191"/>
      <c r="GAJ29" s="191"/>
      <c r="GAL29" s="191"/>
      <c r="GAM29" s="191"/>
      <c r="GAN29" s="191"/>
      <c r="GAP29" s="191"/>
      <c r="GAQ29" s="191"/>
      <c r="GAR29" s="191"/>
      <c r="GAT29" s="191"/>
      <c r="GAU29" s="191"/>
      <c r="GAV29" s="191"/>
      <c r="GAX29" s="191"/>
      <c r="GAY29" s="191"/>
      <c r="GAZ29" s="191"/>
      <c r="GBB29" s="191"/>
      <c r="GBC29" s="191"/>
      <c r="GBD29" s="191"/>
      <c r="GBF29" s="191"/>
      <c r="GBG29" s="191"/>
      <c r="GBH29" s="191"/>
      <c r="GBJ29" s="191"/>
      <c r="GBK29" s="191"/>
      <c r="GBL29" s="191"/>
      <c r="GBN29" s="191"/>
      <c r="GBO29" s="191"/>
      <c r="GBP29" s="191"/>
      <c r="GBR29" s="191"/>
      <c r="GBS29" s="191"/>
      <c r="GBT29" s="191"/>
      <c r="GBV29" s="191"/>
      <c r="GBW29" s="191"/>
      <c r="GBX29" s="191"/>
      <c r="GBZ29" s="191"/>
      <c r="GCA29" s="191"/>
      <c r="GCB29" s="191"/>
      <c r="GCD29" s="191"/>
      <c r="GCE29" s="191"/>
      <c r="GCF29" s="191"/>
      <c r="GCH29" s="191"/>
      <c r="GCI29" s="191"/>
      <c r="GCJ29" s="191"/>
      <c r="GCL29" s="191"/>
      <c r="GCM29" s="191"/>
      <c r="GCN29" s="191"/>
      <c r="GCP29" s="191"/>
      <c r="GCQ29" s="191"/>
      <c r="GCR29" s="191"/>
      <c r="GCT29" s="191"/>
      <c r="GCU29" s="191"/>
      <c r="GCV29" s="191"/>
      <c r="GCX29" s="191"/>
      <c r="GCY29" s="191"/>
      <c r="GCZ29" s="191"/>
      <c r="GDB29" s="191"/>
      <c r="GDC29" s="191"/>
      <c r="GDD29" s="191"/>
      <c r="GDF29" s="191"/>
      <c r="GDG29" s="191"/>
      <c r="GDH29" s="191"/>
      <c r="GDJ29" s="191"/>
      <c r="GDK29" s="191"/>
      <c r="GDL29" s="191"/>
      <c r="GDN29" s="191"/>
      <c r="GDO29" s="191"/>
      <c r="GDP29" s="191"/>
      <c r="GDR29" s="191"/>
      <c r="GDS29" s="191"/>
      <c r="GDT29" s="191"/>
      <c r="GDV29" s="191"/>
      <c r="GDW29" s="191"/>
      <c r="GDX29" s="191"/>
      <c r="GDZ29" s="191"/>
      <c r="GEA29" s="191"/>
      <c r="GEB29" s="191"/>
      <c r="GED29" s="191"/>
      <c r="GEE29" s="191"/>
      <c r="GEF29" s="191"/>
      <c r="GEH29" s="191"/>
      <c r="GEI29" s="191"/>
      <c r="GEJ29" s="191"/>
      <c r="GEL29" s="191"/>
      <c r="GEM29" s="191"/>
      <c r="GEN29" s="191"/>
      <c r="GEP29" s="191"/>
      <c r="GEQ29" s="191"/>
      <c r="GER29" s="191"/>
      <c r="GET29" s="191"/>
      <c r="GEU29" s="191"/>
      <c r="GEV29" s="191"/>
      <c r="GEX29" s="191"/>
      <c r="GEY29" s="191"/>
      <c r="GEZ29" s="191"/>
      <c r="GFB29" s="191"/>
      <c r="GFC29" s="191"/>
      <c r="GFD29" s="191"/>
      <c r="GFF29" s="191"/>
      <c r="GFG29" s="191"/>
      <c r="GFH29" s="191"/>
      <c r="GFJ29" s="191"/>
      <c r="GFK29" s="191"/>
      <c r="GFL29" s="191"/>
      <c r="GFN29" s="191"/>
      <c r="GFO29" s="191"/>
      <c r="GFP29" s="191"/>
      <c r="GFR29" s="191"/>
      <c r="GFS29" s="191"/>
      <c r="GFT29" s="191"/>
      <c r="GFV29" s="191"/>
      <c r="GFW29" s="191"/>
      <c r="GFX29" s="191"/>
      <c r="GFZ29" s="191"/>
      <c r="GGA29" s="191"/>
      <c r="GGB29" s="191"/>
      <c r="GGD29" s="191"/>
      <c r="GGE29" s="191"/>
      <c r="GGF29" s="191"/>
      <c r="GGH29" s="191"/>
      <c r="GGI29" s="191"/>
      <c r="GGJ29" s="191"/>
      <c r="GGL29" s="191"/>
      <c r="GGM29" s="191"/>
      <c r="GGN29" s="191"/>
      <c r="GGP29" s="191"/>
      <c r="GGQ29" s="191"/>
      <c r="GGR29" s="191"/>
      <c r="GGT29" s="191"/>
      <c r="GGU29" s="191"/>
      <c r="GGV29" s="191"/>
      <c r="GGX29" s="191"/>
      <c r="GGY29" s="191"/>
      <c r="GGZ29" s="191"/>
      <c r="GHB29" s="191"/>
      <c r="GHC29" s="191"/>
      <c r="GHD29" s="191"/>
      <c r="GHF29" s="191"/>
      <c r="GHG29" s="191"/>
      <c r="GHH29" s="191"/>
      <c r="GHJ29" s="191"/>
      <c r="GHK29" s="191"/>
      <c r="GHL29" s="191"/>
      <c r="GHN29" s="191"/>
      <c r="GHO29" s="191"/>
      <c r="GHP29" s="191"/>
      <c r="GHR29" s="191"/>
      <c r="GHS29" s="191"/>
      <c r="GHT29" s="191"/>
      <c r="GHV29" s="191"/>
      <c r="GHW29" s="191"/>
      <c r="GHX29" s="191"/>
      <c r="GHZ29" s="191"/>
      <c r="GIA29" s="191"/>
      <c r="GIB29" s="191"/>
      <c r="GID29" s="191"/>
      <c r="GIE29" s="191"/>
      <c r="GIF29" s="191"/>
      <c r="GIH29" s="191"/>
      <c r="GII29" s="191"/>
      <c r="GIJ29" s="191"/>
      <c r="GIL29" s="191"/>
      <c r="GIM29" s="191"/>
      <c r="GIN29" s="191"/>
      <c r="GIP29" s="191"/>
      <c r="GIQ29" s="191"/>
      <c r="GIR29" s="191"/>
      <c r="GIT29" s="191"/>
      <c r="GIU29" s="191"/>
      <c r="GIV29" s="191"/>
      <c r="GIX29" s="191"/>
      <c r="GIY29" s="191"/>
      <c r="GIZ29" s="191"/>
      <c r="GJB29" s="191"/>
      <c r="GJC29" s="191"/>
      <c r="GJD29" s="191"/>
      <c r="GJF29" s="191"/>
      <c r="GJG29" s="191"/>
      <c r="GJH29" s="191"/>
      <c r="GJJ29" s="191"/>
      <c r="GJK29" s="191"/>
      <c r="GJL29" s="191"/>
      <c r="GJN29" s="191"/>
      <c r="GJO29" s="191"/>
      <c r="GJP29" s="191"/>
      <c r="GJR29" s="191"/>
      <c r="GJS29" s="191"/>
      <c r="GJT29" s="191"/>
      <c r="GJV29" s="191"/>
      <c r="GJW29" s="191"/>
      <c r="GJX29" s="191"/>
      <c r="GJZ29" s="191"/>
      <c r="GKA29" s="191"/>
      <c r="GKB29" s="191"/>
      <c r="GKD29" s="191"/>
      <c r="GKE29" s="191"/>
      <c r="GKF29" s="191"/>
      <c r="GKH29" s="191"/>
      <c r="GKI29" s="191"/>
      <c r="GKJ29" s="191"/>
      <c r="GKL29" s="191"/>
      <c r="GKM29" s="191"/>
      <c r="GKN29" s="191"/>
      <c r="GKP29" s="191"/>
      <c r="GKQ29" s="191"/>
      <c r="GKR29" s="191"/>
      <c r="GKT29" s="191"/>
      <c r="GKU29" s="191"/>
      <c r="GKV29" s="191"/>
      <c r="GKX29" s="191"/>
      <c r="GKY29" s="191"/>
      <c r="GKZ29" s="191"/>
      <c r="GLB29" s="191"/>
      <c r="GLC29" s="191"/>
      <c r="GLD29" s="191"/>
      <c r="GLF29" s="191"/>
      <c r="GLG29" s="191"/>
      <c r="GLH29" s="191"/>
      <c r="GLJ29" s="191"/>
      <c r="GLK29" s="191"/>
      <c r="GLL29" s="191"/>
      <c r="GLN29" s="191"/>
      <c r="GLO29" s="191"/>
      <c r="GLP29" s="191"/>
      <c r="GLR29" s="191"/>
      <c r="GLS29" s="191"/>
      <c r="GLT29" s="191"/>
      <c r="GLV29" s="191"/>
      <c r="GLW29" s="191"/>
      <c r="GLX29" s="191"/>
      <c r="GLZ29" s="191"/>
      <c r="GMA29" s="191"/>
      <c r="GMB29" s="191"/>
      <c r="GMD29" s="191"/>
      <c r="GME29" s="191"/>
      <c r="GMF29" s="191"/>
      <c r="GMH29" s="191"/>
      <c r="GMI29" s="191"/>
      <c r="GMJ29" s="191"/>
      <c r="GML29" s="191"/>
      <c r="GMM29" s="191"/>
      <c r="GMN29" s="191"/>
      <c r="GMP29" s="191"/>
      <c r="GMQ29" s="191"/>
      <c r="GMR29" s="191"/>
      <c r="GMT29" s="191"/>
      <c r="GMU29" s="191"/>
      <c r="GMV29" s="191"/>
      <c r="GMX29" s="191"/>
      <c r="GMY29" s="191"/>
      <c r="GMZ29" s="191"/>
      <c r="GNB29" s="191"/>
      <c r="GNC29" s="191"/>
      <c r="GND29" s="191"/>
      <c r="GNF29" s="191"/>
      <c r="GNG29" s="191"/>
      <c r="GNH29" s="191"/>
      <c r="GNJ29" s="191"/>
      <c r="GNK29" s="191"/>
      <c r="GNL29" s="191"/>
      <c r="GNN29" s="191"/>
      <c r="GNO29" s="191"/>
      <c r="GNP29" s="191"/>
      <c r="GNR29" s="191"/>
      <c r="GNS29" s="191"/>
      <c r="GNT29" s="191"/>
      <c r="GNV29" s="191"/>
      <c r="GNW29" s="191"/>
      <c r="GNX29" s="191"/>
      <c r="GNZ29" s="191"/>
      <c r="GOA29" s="191"/>
      <c r="GOB29" s="191"/>
      <c r="GOD29" s="191"/>
      <c r="GOE29" s="191"/>
      <c r="GOF29" s="191"/>
      <c r="GOH29" s="191"/>
      <c r="GOI29" s="191"/>
      <c r="GOJ29" s="191"/>
      <c r="GOL29" s="191"/>
      <c r="GOM29" s="191"/>
      <c r="GON29" s="191"/>
      <c r="GOP29" s="191"/>
      <c r="GOQ29" s="191"/>
      <c r="GOR29" s="191"/>
      <c r="GOT29" s="191"/>
      <c r="GOU29" s="191"/>
      <c r="GOV29" s="191"/>
      <c r="GOX29" s="191"/>
      <c r="GOY29" s="191"/>
      <c r="GOZ29" s="191"/>
      <c r="GPB29" s="191"/>
      <c r="GPC29" s="191"/>
      <c r="GPD29" s="191"/>
      <c r="GPF29" s="191"/>
      <c r="GPG29" s="191"/>
      <c r="GPH29" s="191"/>
      <c r="GPJ29" s="191"/>
      <c r="GPK29" s="191"/>
      <c r="GPL29" s="191"/>
      <c r="GPN29" s="191"/>
      <c r="GPO29" s="191"/>
      <c r="GPP29" s="191"/>
      <c r="GPR29" s="191"/>
      <c r="GPS29" s="191"/>
      <c r="GPT29" s="191"/>
      <c r="GPV29" s="191"/>
      <c r="GPW29" s="191"/>
      <c r="GPX29" s="191"/>
      <c r="GPZ29" s="191"/>
      <c r="GQA29" s="191"/>
      <c r="GQB29" s="191"/>
      <c r="GQD29" s="191"/>
      <c r="GQE29" s="191"/>
      <c r="GQF29" s="191"/>
      <c r="GQH29" s="191"/>
      <c r="GQI29" s="191"/>
      <c r="GQJ29" s="191"/>
      <c r="GQL29" s="191"/>
      <c r="GQM29" s="191"/>
      <c r="GQN29" s="191"/>
      <c r="GQP29" s="191"/>
      <c r="GQQ29" s="191"/>
      <c r="GQR29" s="191"/>
      <c r="GQT29" s="191"/>
      <c r="GQU29" s="191"/>
      <c r="GQV29" s="191"/>
      <c r="GQX29" s="191"/>
      <c r="GQY29" s="191"/>
      <c r="GQZ29" s="191"/>
      <c r="GRB29" s="191"/>
      <c r="GRC29" s="191"/>
      <c r="GRD29" s="191"/>
      <c r="GRF29" s="191"/>
      <c r="GRG29" s="191"/>
      <c r="GRH29" s="191"/>
      <c r="GRJ29" s="191"/>
      <c r="GRK29" s="191"/>
      <c r="GRL29" s="191"/>
      <c r="GRN29" s="191"/>
      <c r="GRO29" s="191"/>
      <c r="GRP29" s="191"/>
      <c r="GRR29" s="191"/>
      <c r="GRS29" s="191"/>
      <c r="GRT29" s="191"/>
      <c r="GRV29" s="191"/>
      <c r="GRW29" s="191"/>
      <c r="GRX29" s="191"/>
      <c r="GRZ29" s="191"/>
      <c r="GSA29" s="191"/>
      <c r="GSB29" s="191"/>
      <c r="GSD29" s="191"/>
      <c r="GSE29" s="191"/>
      <c r="GSF29" s="191"/>
      <c r="GSH29" s="191"/>
      <c r="GSI29" s="191"/>
      <c r="GSJ29" s="191"/>
      <c r="GSL29" s="191"/>
      <c r="GSM29" s="191"/>
      <c r="GSN29" s="191"/>
      <c r="GSP29" s="191"/>
      <c r="GSQ29" s="191"/>
      <c r="GSR29" s="191"/>
      <c r="GST29" s="191"/>
      <c r="GSU29" s="191"/>
      <c r="GSV29" s="191"/>
      <c r="GSX29" s="191"/>
      <c r="GSY29" s="191"/>
      <c r="GSZ29" s="191"/>
      <c r="GTB29" s="191"/>
      <c r="GTC29" s="191"/>
      <c r="GTD29" s="191"/>
      <c r="GTF29" s="191"/>
      <c r="GTG29" s="191"/>
      <c r="GTH29" s="191"/>
      <c r="GTJ29" s="191"/>
      <c r="GTK29" s="191"/>
      <c r="GTL29" s="191"/>
      <c r="GTN29" s="191"/>
      <c r="GTO29" s="191"/>
      <c r="GTP29" s="191"/>
      <c r="GTR29" s="191"/>
      <c r="GTS29" s="191"/>
      <c r="GTT29" s="191"/>
      <c r="GTV29" s="191"/>
      <c r="GTW29" s="191"/>
      <c r="GTX29" s="191"/>
      <c r="GTZ29" s="191"/>
      <c r="GUA29" s="191"/>
      <c r="GUB29" s="191"/>
      <c r="GUD29" s="191"/>
      <c r="GUE29" s="191"/>
      <c r="GUF29" s="191"/>
      <c r="GUH29" s="191"/>
      <c r="GUI29" s="191"/>
      <c r="GUJ29" s="191"/>
      <c r="GUL29" s="191"/>
      <c r="GUM29" s="191"/>
      <c r="GUN29" s="191"/>
      <c r="GUP29" s="191"/>
      <c r="GUQ29" s="191"/>
      <c r="GUR29" s="191"/>
      <c r="GUT29" s="191"/>
      <c r="GUU29" s="191"/>
      <c r="GUV29" s="191"/>
      <c r="GUX29" s="191"/>
      <c r="GUY29" s="191"/>
      <c r="GUZ29" s="191"/>
      <c r="GVB29" s="191"/>
      <c r="GVC29" s="191"/>
      <c r="GVD29" s="191"/>
      <c r="GVF29" s="191"/>
      <c r="GVG29" s="191"/>
      <c r="GVH29" s="191"/>
      <c r="GVJ29" s="191"/>
      <c r="GVK29" s="191"/>
      <c r="GVL29" s="191"/>
      <c r="GVN29" s="191"/>
      <c r="GVO29" s="191"/>
      <c r="GVP29" s="191"/>
      <c r="GVR29" s="191"/>
      <c r="GVS29" s="191"/>
      <c r="GVT29" s="191"/>
      <c r="GVV29" s="191"/>
      <c r="GVW29" s="191"/>
      <c r="GVX29" s="191"/>
      <c r="GVZ29" s="191"/>
      <c r="GWA29" s="191"/>
      <c r="GWB29" s="191"/>
      <c r="GWD29" s="191"/>
      <c r="GWE29" s="191"/>
      <c r="GWF29" s="191"/>
      <c r="GWH29" s="191"/>
      <c r="GWI29" s="191"/>
      <c r="GWJ29" s="191"/>
      <c r="GWL29" s="191"/>
      <c r="GWM29" s="191"/>
      <c r="GWN29" s="191"/>
      <c r="GWP29" s="191"/>
      <c r="GWQ29" s="191"/>
      <c r="GWR29" s="191"/>
      <c r="GWT29" s="191"/>
      <c r="GWU29" s="191"/>
      <c r="GWV29" s="191"/>
      <c r="GWX29" s="191"/>
      <c r="GWY29" s="191"/>
      <c r="GWZ29" s="191"/>
      <c r="GXB29" s="191"/>
      <c r="GXC29" s="191"/>
      <c r="GXD29" s="191"/>
      <c r="GXF29" s="191"/>
      <c r="GXG29" s="191"/>
      <c r="GXH29" s="191"/>
      <c r="GXJ29" s="191"/>
      <c r="GXK29" s="191"/>
      <c r="GXL29" s="191"/>
      <c r="GXN29" s="191"/>
      <c r="GXO29" s="191"/>
      <c r="GXP29" s="191"/>
      <c r="GXR29" s="191"/>
      <c r="GXS29" s="191"/>
      <c r="GXT29" s="191"/>
      <c r="GXV29" s="191"/>
      <c r="GXW29" s="191"/>
      <c r="GXX29" s="191"/>
      <c r="GXZ29" s="191"/>
      <c r="GYA29" s="191"/>
      <c r="GYB29" s="191"/>
      <c r="GYD29" s="191"/>
      <c r="GYE29" s="191"/>
      <c r="GYF29" s="191"/>
      <c r="GYH29" s="191"/>
      <c r="GYI29" s="191"/>
      <c r="GYJ29" s="191"/>
      <c r="GYL29" s="191"/>
      <c r="GYM29" s="191"/>
      <c r="GYN29" s="191"/>
      <c r="GYP29" s="191"/>
      <c r="GYQ29" s="191"/>
      <c r="GYR29" s="191"/>
      <c r="GYT29" s="191"/>
      <c r="GYU29" s="191"/>
      <c r="GYV29" s="191"/>
      <c r="GYX29" s="191"/>
      <c r="GYY29" s="191"/>
      <c r="GYZ29" s="191"/>
      <c r="GZB29" s="191"/>
      <c r="GZC29" s="191"/>
      <c r="GZD29" s="191"/>
      <c r="GZF29" s="191"/>
      <c r="GZG29" s="191"/>
      <c r="GZH29" s="191"/>
      <c r="GZJ29" s="191"/>
      <c r="GZK29" s="191"/>
      <c r="GZL29" s="191"/>
      <c r="GZN29" s="191"/>
      <c r="GZO29" s="191"/>
      <c r="GZP29" s="191"/>
      <c r="GZR29" s="191"/>
      <c r="GZS29" s="191"/>
      <c r="GZT29" s="191"/>
      <c r="GZV29" s="191"/>
      <c r="GZW29" s="191"/>
      <c r="GZX29" s="191"/>
      <c r="GZZ29" s="191"/>
      <c r="HAA29" s="191"/>
      <c r="HAB29" s="191"/>
      <c r="HAD29" s="191"/>
      <c r="HAE29" s="191"/>
      <c r="HAF29" s="191"/>
      <c r="HAH29" s="191"/>
      <c r="HAI29" s="191"/>
      <c r="HAJ29" s="191"/>
      <c r="HAL29" s="191"/>
      <c r="HAM29" s="191"/>
      <c r="HAN29" s="191"/>
      <c r="HAP29" s="191"/>
      <c r="HAQ29" s="191"/>
      <c r="HAR29" s="191"/>
      <c r="HAT29" s="191"/>
      <c r="HAU29" s="191"/>
      <c r="HAV29" s="191"/>
      <c r="HAX29" s="191"/>
      <c r="HAY29" s="191"/>
      <c r="HAZ29" s="191"/>
      <c r="HBB29" s="191"/>
      <c r="HBC29" s="191"/>
      <c r="HBD29" s="191"/>
      <c r="HBF29" s="191"/>
      <c r="HBG29" s="191"/>
      <c r="HBH29" s="191"/>
      <c r="HBJ29" s="191"/>
      <c r="HBK29" s="191"/>
      <c r="HBL29" s="191"/>
      <c r="HBN29" s="191"/>
      <c r="HBO29" s="191"/>
      <c r="HBP29" s="191"/>
      <c r="HBR29" s="191"/>
      <c r="HBS29" s="191"/>
      <c r="HBT29" s="191"/>
      <c r="HBV29" s="191"/>
      <c r="HBW29" s="191"/>
      <c r="HBX29" s="191"/>
      <c r="HBZ29" s="191"/>
      <c r="HCA29" s="191"/>
      <c r="HCB29" s="191"/>
      <c r="HCD29" s="191"/>
      <c r="HCE29" s="191"/>
      <c r="HCF29" s="191"/>
      <c r="HCH29" s="191"/>
      <c r="HCI29" s="191"/>
      <c r="HCJ29" s="191"/>
      <c r="HCL29" s="191"/>
      <c r="HCM29" s="191"/>
      <c r="HCN29" s="191"/>
      <c r="HCP29" s="191"/>
      <c r="HCQ29" s="191"/>
      <c r="HCR29" s="191"/>
      <c r="HCT29" s="191"/>
      <c r="HCU29" s="191"/>
      <c r="HCV29" s="191"/>
      <c r="HCX29" s="191"/>
      <c r="HCY29" s="191"/>
      <c r="HCZ29" s="191"/>
      <c r="HDB29" s="191"/>
      <c r="HDC29" s="191"/>
      <c r="HDD29" s="191"/>
      <c r="HDF29" s="191"/>
      <c r="HDG29" s="191"/>
      <c r="HDH29" s="191"/>
      <c r="HDJ29" s="191"/>
      <c r="HDK29" s="191"/>
      <c r="HDL29" s="191"/>
      <c r="HDN29" s="191"/>
      <c r="HDO29" s="191"/>
      <c r="HDP29" s="191"/>
      <c r="HDR29" s="191"/>
      <c r="HDS29" s="191"/>
      <c r="HDT29" s="191"/>
      <c r="HDV29" s="191"/>
      <c r="HDW29" s="191"/>
      <c r="HDX29" s="191"/>
      <c r="HDZ29" s="191"/>
      <c r="HEA29" s="191"/>
      <c r="HEB29" s="191"/>
      <c r="HED29" s="191"/>
      <c r="HEE29" s="191"/>
      <c r="HEF29" s="191"/>
      <c r="HEH29" s="191"/>
      <c r="HEI29" s="191"/>
      <c r="HEJ29" s="191"/>
      <c r="HEL29" s="191"/>
      <c r="HEM29" s="191"/>
      <c r="HEN29" s="191"/>
      <c r="HEP29" s="191"/>
      <c r="HEQ29" s="191"/>
      <c r="HER29" s="191"/>
      <c r="HET29" s="191"/>
      <c r="HEU29" s="191"/>
      <c r="HEV29" s="191"/>
      <c r="HEX29" s="191"/>
      <c r="HEY29" s="191"/>
      <c r="HEZ29" s="191"/>
      <c r="HFB29" s="191"/>
      <c r="HFC29" s="191"/>
      <c r="HFD29" s="191"/>
      <c r="HFF29" s="191"/>
      <c r="HFG29" s="191"/>
      <c r="HFH29" s="191"/>
      <c r="HFJ29" s="191"/>
      <c r="HFK29" s="191"/>
      <c r="HFL29" s="191"/>
      <c r="HFN29" s="191"/>
      <c r="HFO29" s="191"/>
      <c r="HFP29" s="191"/>
      <c r="HFR29" s="191"/>
      <c r="HFS29" s="191"/>
      <c r="HFT29" s="191"/>
      <c r="HFV29" s="191"/>
      <c r="HFW29" s="191"/>
      <c r="HFX29" s="191"/>
      <c r="HFZ29" s="191"/>
      <c r="HGA29" s="191"/>
      <c r="HGB29" s="191"/>
      <c r="HGD29" s="191"/>
      <c r="HGE29" s="191"/>
      <c r="HGF29" s="191"/>
      <c r="HGH29" s="191"/>
      <c r="HGI29" s="191"/>
      <c r="HGJ29" s="191"/>
      <c r="HGL29" s="191"/>
      <c r="HGM29" s="191"/>
      <c r="HGN29" s="191"/>
      <c r="HGP29" s="191"/>
      <c r="HGQ29" s="191"/>
      <c r="HGR29" s="191"/>
      <c r="HGT29" s="191"/>
      <c r="HGU29" s="191"/>
      <c r="HGV29" s="191"/>
      <c r="HGX29" s="191"/>
      <c r="HGY29" s="191"/>
      <c r="HGZ29" s="191"/>
      <c r="HHB29" s="191"/>
      <c r="HHC29" s="191"/>
      <c r="HHD29" s="191"/>
      <c r="HHF29" s="191"/>
      <c r="HHG29" s="191"/>
      <c r="HHH29" s="191"/>
      <c r="HHJ29" s="191"/>
      <c r="HHK29" s="191"/>
      <c r="HHL29" s="191"/>
      <c r="HHN29" s="191"/>
      <c r="HHO29" s="191"/>
      <c r="HHP29" s="191"/>
      <c r="HHR29" s="191"/>
      <c r="HHS29" s="191"/>
      <c r="HHT29" s="191"/>
      <c r="HHV29" s="191"/>
      <c r="HHW29" s="191"/>
      <c r="HHX29" s="191"/>
      <c r="HHZ29" s="191"/>
      <c r="HIA29" s="191"/>
      <c r="HIB29" s="191"/>
      <c r="HID29" s="191"/>
      <c r="HIE29" s="191"/>
      <c r="HIF29" s="191"/>
      <c r="HIH29" s="191"/>
      <c r="HII29" s="191"/>
      <c r="HIJ29" s="191"/>
      <c r="HIL29" s="191"/>
      <c r="HIM29" s="191"/>
      <c r="HIN29" s="191"/>
      <c r="HIP29" s="191"/>
      <c r="HIQ29" s="191"/>
      <c r="HIR29" s="191"/>
      <c r="HIT29" s="191"/>
      <c r="HIU29" s="191"/>
      <c r="HIV29" s="191"/>
      <c r="HIX29" s="191"/>
      <c r="HIY29" s="191"/>
      <c r="HIZ29" s="191"/>
      <c r="HJB29" s="191"/>
      <c r="HJC29" s="191"/>
      <c r="HJD29" s="191"/>
      <c r="HJF29" s="191"/>
      <c r="HJG29" s="191"/>
      <c r="HJH29" s="191"/>
      <c r="HJJ29" s="191"/>
      <c r="HJK29" s="191"/>
      <c r="HJL29" s="191"/>
      <c r="HJN29" s="191"/>
      <c r="HJO29" s="191"/>
      <c r="HJP29" s="191"/>
      <c r="HJR29" s="191"/>
      <c r="HJS29" s="191"/>
      <c r="HJT29" s="191"/>
      <c r="HJV29" s="191"/>
      <c r="HJW29" s="191"/>
      <c r="HJX29" s="191"/>
      <c r="HJZ29" s="191"/>
      <c r="HKA29" s="191"/>
      <c r="HKB29" s="191"/>
      <c r="HKD29" s="191"/>
      <c r="HKE29" s="191"/>
      <c r="HKF29" s="191"/>
      <c r="HKH29" s="191"/>
      <c r="HKI29" s="191"/>
      <c r="HKJ29" s="191"/>
      <c r="HKL29" s="191"/>
      <c r="HKM29" s="191"/>
      <c r="HKN29" s="191"/>
      <c r="HKP29" s="191"/>
      <c r="HKQ29" s="191"/>
      <c r="HKR29" s="191"/>
      <c r="HKT29" s="191"/>
      <c r="HKU29" s="191"/>
      <c r="HKV29" s="191"/>
      <c r="HKX29" s="191"/>
      <c r="HKY29" s="191"/>
      <c r="HKZ29" s="191"/>
      <c r="HLB29" s="191"/>
      <c r="HLC29" s="191"/>
      <c r="HLD29" s="191"/>
      <c r="HLF29" s="191"/>
      <c r="HLG29" s="191"/>
      <c r="HLH29" s="191"/>
      <c r="HLJ29" s="191"/>
      <c r="HLK29" s="191"/>
      <c r="HLL29" s="191"/>
      <c r="HLN29" s="191"/>
      <c r="HLO29" s="191"/>
      <c r="HLP29" s="191"/>
      <c r="HLR29" s="191"/>
      <c r="HLS29" s="191"/>
      <c r="HLT29" s="191"/>
      <c r="HLV29" s="191"/>
      <c r="HLW29" s="191"/>
      <c r="HLX29" s="191"/>
      <c r="HLZ29" s="191"/>
      <c r="HMA29" s="191"/>
      <c r="HMB29" s="191"/>
      <c r="HMD29" s="191"/>
      <c r="HME29" s="191"/>
      <c r="HMF29" s="191"/>
      <c r="HMH29" s="191"/>
      <c r="HMI29" s="191"/>
      <c r="HMJ29" s="191"/>
      <c r="HML29" s="191"/>
      <c r="HMM29" s="191"/>
      <c r="HMN29" s="191"/>
      <c r="HMP29" s="191"/>
      <c r="HMQ29" s="191"/>
      <c r="HMR29" s="191"/>
      <c r="HMT29" s="191"/>
      <c r="HMU29" s="191"/>
      <c r="HMV29" s="191"/>
      <c r="HMX29" s="191"/>
      <c r="HMY29" s="191"/>
      <c r="HMZ29" s="191"/>
      <c r="HNB29" s="191"/>
      <c r="HNC29" s="191"/>
      <c r="HND29" s="191"/>
      <c r="HNF29" s="191"/>
      <c r="HNG29" s="191"/>
      <c r="HNH29" s="191"/>
      <c r="HNJ29" s="191"/>
      <c r="HNK29" s="191"/>
      <c r="HNL29" s="191"/>
      <c r="HNN29" s="191"/>
      <c r="HNO29" s="191"/>
      <c r="HNP29" s="191"/>
      <c r="HNR29" s="191"/>
      <c r="HNS29" s="191"/>
      <c r="HNT29" s="191"/>
      <c r="HNV29" s="191"/>
      <c r="HNW29" s="191"/>
      <c r="HNX29" s="191"/>
      <c r="HNZ29" s="191"/>
      <c r="HOA29" s="191"/>
      <c r="HOB29" s="191"/>
      <c r="HOD29" s="191"/>
      <c r="HOE29" s="191"/>
      <c r="HOF29" s="191"/>
      <c r="HOH29" s="191"/>
      <c r="HOI29" s="191"/>
      <c r="HOJ29" s="191"/>
      <c r="HOL29" s="191"/>
      <c r="HOM29" s="191"/>
      <c r="HON29" s="191"/>
      <c r="HOP29" s="191"/>
      <c r="HOQ29" s="191"/>
      <c r="HOR29" s="191"/>
      <c r="HOT29" s="191"/>
      <c r="HOU29" s="191"/>
      <c r="HOV29" s="191"/>
      <c r="HOX29" s="191"/>
      <c r="HOY29" s="191"/>
      <c r="HOZ29" s="191"/>
      <c r="HPB29" s="191"/>
      <c r="HPC29" s="191"/>
      <c r="HPD29" s="191"/>
      <c r="HPF29" s="191"/>
      <c r="HPG29" s="191"/>
      <c r="HPH29" s="191"/>
      <c r="HPJ29" s="191"/>
      <c r="HPK29" s="191"/>
      <c r="HPL29" s="191"/>
      <c r="HPN29" s="191"/>
      <c r="HPO29" s="191"/>
      <c r="HPP29" s="191"/>
      <c r="HPR29" s="191"/>
      <c r="HPS29" s="191"/>
      <c r="HPT29" s="191"/>
      <c r="HPV29" s="191"/>
      <c r="HPW29" s="191"/>
      <c r="HPX29" s="191"/>
      <c r="HPZ29" s="191"/>
      <c r="HQA29" s="191"/>
      <c r="HQB29" s="191"/>
      <c r="HQD29" s="191"/>
      <c r="HQE29" s="191"/>
      <c r="HQF29" s="191"/>
      <c r="HQH29" s="191"/>
      <c r="HQI29" s="191"/>
      <c r="HQJ29" s="191"/>
      <c r="HQL29" s="191"/>
      <c r="HQM29" s="191"/>
      <c r="HQN29" s="191"/>
      <c r="HQP29" s="191"/>
      <c r="HQQ29" s="191"/>
      <c r="HQR29" s="191"/>
      <c r="HQT29" s="191"/>
      <c r="HQU29" s="191"/>
      <c r="HQV29" s="191"/>
      <c r="HQX29" s="191"/>
      <c r="HQY29" s="191"/>
      <c r="HQZ29" s="191"/>
      <c r="HRB29" s="191"/>
      <c r="HRC29" s="191"/>
      <c r="HRD29" s="191"/>
      <c r="HRF29" s="191"/>
      <c r="HRG29" s="191"/>
      <c r="HRH29" s="191"/>
      <c r="HRJ29" s="191"/>
      <c r="HRK29" s="191"/>
      <c r="HRL29" s="191"/>
      <c r="HRN29" s="191"/>
      <c r="HRO29" s="191"/>
      <c r="HRP29" s="191"/>
      <c r="HRR29" s="191"/>
      <c r="HRS29" s="191"/>
      <c r="HRT29" s="191"/>
      <c r="HRV29" s="191"/>
      <c r="HRW29" s="191"/>
      <c r="HRX29" s="191"/>
      <c r="HRZ29" s="191"/>
      <c r="HSA29" s="191"/>
      <c r="HSB29" s="191"/>
      <c r="HSD29" s="191"/>
      <c r="HSE29" s="191"/>
      <c r="HSF29" s="191"/>
      <c r="HSH29" s="191"/>
      <c r="HSI29" s="191"/>
      <c r="HSJ29" s="191"/>
      <c r="HSL29" s="191"/>
      <c r="HSM29" s="191"/>
      <c r="HSN29" s="191"/>
      <c r="HSP29" s="191"/>
      <c r="HSQ29" s="191"/>
      <c r="HSR29" s="191"/>
      <c r="HST29" s="191"/>
      <c r="HSU29" s="191"/>
      <c r="HSV29" s="191"/>
      <c r="HSX29" s="191"/>
      <c r="HSY29" s="191"/>
      <c r="HSZ29" s="191"/>
      <c r="HTB29" s="191"/>
      <c r="HTC29" s="191"/>
      <c r="HTD29" s="191"/>
      <c r="HTF29" s="191"/>
      <c r="HTG29" s="191"/>
      <c r="HTH29" s="191"/>
      <c r="HTJ29" s="191"/>
      <c r="HTK29" s="191"/>
      <c r="HTL29" s="191"/>
      <c r="HTN29" s="191"/>
      <c r="HTO29" s="191"/>
      <c r="HTP29" s="191"/>
      <c r="HTR29" s="191"/>
      <c r="HTS29" s="191"/>
      <c r="HTT29" s="191"/>
      <c r="HTV29" s="191"/>
      <c r="HTW29" s="191"/>
      <c r="HTX29" s="191"/>
      <c r="HTZ29" s="191"/>
      <c r="HUA29" s="191"/>
      <c r="HUB29" s="191"/>
      <c r="HUD29" s="191"/>
      <c r="HUE29" s="191"/>
      <c r="HUF29" s="191"/>
      <c r="HUH29" s="191"/>
      <c r="HUI29" s="191"/>
      <c r="HUJ29" s="191"/>
      <c r="HUL29" s="191"/>
      <c r="HUM29" s="191"/>
      <c r="HUN29" s="191"/>
      <c r="HUP29" s="191"/>
      <c r="HUQ29" s="191"/>
      <c r="HUR29" s="191"/>
      <c r="HUT29" s="191"/>
      <c r="HUU29" s="191"/>
      <c r="HUV29" s="191"/>
      <c r="HUX29" s="191"/>
      <c r="HUY29" s="191"/>
      <c r="HUZ29" s="191"/>
      <c r="HVB29" s="191"/>
      <c r="HVC29" s="191"/>
      <c r="HVD29" s="191"/>
      <c r="HVF29" s="191"/>
      <c r="HVG29" s="191"/>
      <c r="HVH29" s="191"/>
      <c r="HVJ29" s="191"/>
      <c r="HVK29" s="191"/>
      <c r="HVL29" s="191"/>
      <c r="HVN29" s="191"/>
      <c r="HVO29" s="191"/>
      <c r="HVP29" s="191"/>
      <c r="HVR29" s="191"/>
      <c r="HVS29" s="191"/>
      <c r="HVT29" s="191"/>
      <c r="HVV29" s="191"/>
      <c r="HVW29" s="191"/>
      <c r="HVX29" s="191"/>
      <c r="HVZ29" s="191"/>
      <c r="HWA29" s="191"/>
      <c r="HWB29" s="191"/>
      <c r="HWD29" s="191"/>
      <c r="HWE29" s="191"/>
      <c r="HWF29" s="191"/>
      <c r="HWH29" s="191"/>
      <c r="HWI29" s="191"/>
      <c r="HWJ29" s="191"/>
      <c r="HWL29" s="191"/>
      <c r="HWM29" s="191"/>
      <c r="HWN29" s="191"/>
      <c r="HWP29" s="191"/>
      <c r="HWQ29" s="191"/>
      <c r="HWR29" s="191"/>
      <c r="HWT29" s="191"/>
      <c r="HWU29" s="191"/>
      <c r="HWV29" s="191"/>
      <c r="HWX29" s="191"/>
      <c r="HWY29" s="191"/>
      <c r="HWZ29" s="191"/>
      <c r="HXB29" s="191"/>
      <c r="HXC29" s="191"/>
      <c r="HXD29" s="191"/>
      <c r="HXF29" s="191"/>
      <c r="HXG29" s="191"/>
      <c r="HXH29" s="191"/>
      <c r="HXJ29" s="191"/>
      <c r="HXK29" s="191"/>
      <c r="HXL29" s="191"/>
      <c r="HXN29" s="191"/>
      <c r="HXO29" s="191"/>
      <c r="HXP29" s="191"/>
      <c r="HXR29" s="191"/>
      <c r="HXS29" s="191"/>
      <c r="HXT29" s="191"/>
      <c r="HXV29" s="191"/>
      <c r="HXW29" s="191"/>
      <c r="HXX29" s="191"/>
      <c r="HXZ29" s="191"/>
      <c r="HYA29" s="191"/>
      <c r="HYB29" s="191"/>
      <c r="HYD29" s="191"/>
      <c r="HYE29" s="191"/>
      <c r="HYF29" s="191"/>
      <c r="HYH29" s="191"/>
      <c r="HYI29" s="191"/>
      <c r="HYJ29" s="191"/>
      <c r="HYL29" s="191"/>
      <c r="HYM29" s="191"/>
      <c r="HYN29" s="191"/>
      <c r="HYP29" s="191"/>
      <c r="HYQ29" s="191"/>
      <c r="HYR29" s="191"/>
      <c r="HYT29" s="191"/>
      <c r="HYU29" s="191"/>
      <c r="HYV29" s="191"/>
      <c r="HYX29" s="191"/>
      <c r="HYY29" s="191"/>
      <c r="HYZ29" s="191"/>
      <c r="HZB29" s="191"/>
      <c r="HZC29" s="191"/>
      <c r="HZD29" s="191"/>
      <c r="HZF29" s="191"/>
      <c r="HZG29" s="191"/>
      <c r="HZH29" s="191"/>
      <c r="HZJ29" s="191"/>
      <c r="HZK29" s="191"/>
      <c r="HZL29" s="191"/>
      <c r="HZN29" s="191"/>
      <c r="HZO29" s="191"/>
      <c r="HZP29" s="191"/>
      <c r="HZR29" s="191"/>
      <c r="HZS29" s="191"/>
      <c r="HZT29" s="191"/>
      <c r="HZV29" s="191"/>
      <c r="HZW29" s="191"/>
      <c r="HZX29" s="191"/>
      <c r="HZZ29" s="191"/>
      <c r="IAA29" s="191"/>
      <c r="IAB29" s="191"/>
      <c r="IAD29" s="191"/>
      <c r="IAE29" s="191"/>
      <c r="IAF29" s="191"/>
      <c r="IAH29" s="191"/>
      <c r="IAI29" s="191"/>
      <c r="IAJ29" s="191"/>
      <c r="IAL29" s="191"/>
      <c r="IAM29" s="191"/>
      <c r="IAN29" s="191"/>
      <c r="IAP29" s="191"/>
      <c r="IAQ29" s="191"/>
      <c r="IAR29" s="191"/>
      <c r="IAT29" s="191"/>
      <c r="IAU29" s="191"/>
      <c r="IAV29" s="191"/>
      <c r="IAX29" s="191"/>
      <c r="IAY29" s="191"/>
      <c r="IAZ29" s="191"/>
      <c r="IBB29" s="191"/>
      <c r="IBC29" s="191"/>
      <c r="IBD29" s="191"/>
      <c r="IBF29" s="191"/>
      <c r="IBG29" s="191"/>
      <c r="IBH29" s="191"/>
      <c r="IBJ29" s="191"/>
      <c r="IBK29" s="191"/>
      <c r="IBL29" s="191"/>
      <c r="IBN29" s="191"/>
      <c r="IBO29" s="191"/>
      <c r="IBP29" s="191"/>
      <c r="IBR29" s="191"/>
      <c r="IBS29" s="191"/>
      <c r="IBT29" s="191"/>
      <c r="IBV29" s="191"/>
      <c r="IBW29" s="191"/>
      <c r="IBX29" s="191"/>
      <c r="IBZ29" s="191"/>
      <c r="ICA29" s="191"/>
      <c r="ICB29" s="191"/>
      <c r="ICD29" s="191"/>
      <c r="ICE29" s="191"/>
      <c r="ICF29" s="191"/>
      <c r="ICH29" s="191"/>
      <c r="ICI29" s="191"/>
      <c r="ICJ29" s="191"/>
      <c r="ICL29" s="191"/>
      <c r="ICM29" s="191"/>
      <c r="ICN29" s="191"/>
      <c r="ICP29" s="191"/>
      <c r="ICQ29" s="191"/>
      <c r="ICR29" s="191"/>
      <c r="ICT29" s="191"/>
      <c r="ICU29" s="191"/>
      <c r="ICV29" s="191"/>
      <c r="ICX29" s="191"/>
      <c r="ICY29" s="191"/>
      <c r="ICZ29" s="191"/>
      <c r="IDB29" s="191"/>
      <c r="IDC29" s="191"/>
      <c r="IDD29" s="191"/>
      <c r="IDF29" s="191"/>
      <c r="IDG29" s="191"/>
      <c r="IDH29" s="191"/>
      <c r="IDJ29" s="191"/>
      <c r="IDK29" s="191"/>
      <c r="IDL29" s="191"/>
      <c r="IDN29" s="191"/>
      <c r="IDO29" s="191"/>
      <c r="IDP29" s="191"/>
      <c r="IDR29" s="191"/>
      <c r="IDS29" s="191"/>
      <c r="IDT29" s="191"/>
      <c r="IDV29" s="191"/>
      <c r="IDW29" s="191"/>
      <c r="IDX29" s="191"/>
      <c r="IDZ29" s="191"/>
      <c r="IEA29" s="191"/>
      <c r="IEB29" s="191"/>
      <c r="IED29" s="191"/>
      <c r="IEE29" s="191"/>
      <c r="IEF29" s="191"/>
      <c r="IEH29" s="191"/>
      <c r="IEI29" s="191"/>
      <c r="IEJ29" s="191"/>
      <c r="IEL29" s="191"/>
      <c r="IEM29" s="191"/>
      <c r="IEN29" s="191"/>
      <c r="IEP29" s="191"/>
      <c r="IEQ29" s="191"/>
      <c r="IER29" s="191"/>
      <c r="IET29" s="191"/>
      <c r="IEU29" s="191"/>
      <c r="IEV29" s="191"/>
      <c r="IEX29" s="191"/>
      <c r="IEY29" s="191"/>
      <c r="IEZ29" s="191"/>
      <c r="IFB29" s="191"/>
      <c r="IFC29" s="191"/>
      <c r="IFD29" s="191"/>
      <c r="IFF29" s="191"/>
      <c r="IFG29" s="191"/>
      <c r="IFH29" s="191"/>
      <c r="IFJ29" s="191"/>
      <c r="IFK29" s="191"/>
      <c r="IFL29" s="191"/>
      <c r="IFN29" s="191"/>
      <c r="IFO29" s="191"/>
      <c r="IFP29" s="191"/>
      <c r="IFR29" s="191"/>
      <c r="IFS29" s="191"/>
      <c r="IFT29" s="191"/>
      <c r="IFV29" s="191"/>
      <c r="IFW29" s="191"/>
      <c r="IFX29" s="191"/>
      <c r="IFZ29" s="191"/>
      <c r="IGA29" s="191"/>
      <c r="IGB29" s="191"/>
      <c r="IGD29" s="191"/>
      <c r="IGE29" s="191"/>
      <c r="IGF29" s="191"/>
      <c r="IGH29" s="191"/>
      <c r="IGI29" s="191"/>
      <c r="IGJ29" s="191"/>
      <c r="IGL29" s="191"/>
      <c r="IGM29" s="191"/>
      <c r="IGN29" s="191"/>
      <c r="IGP29" s="191"/>
      <c r="IGQ29" s="191"/>
      <c r="IGR29" s="191"/>
      <c r="IGT29" s="191"/>
      <c r="IGU29" s="191"/>
      <c r="IGV29" s="191"/>
      <c r="IGX29" s="191"/>
      <c r="IGY29" s="191"/>
      <c r="IGZ29" s="191"/>
      <c r="IHB29" s="191"/>
      <c r="IHC29" s="191"/>
      <c r="IHD29" s="191"/>
      <c r="IHF29" s="191"/>
      <c r="IHG29" s="191"/>
      <c r="IHH29" s="191"/>
      <c r="IHJ29" s="191"/>
      <c r="IHK29" s="191"/>
      <c r="IHL29" s="191"/>
      <c r="IHN29" s="191"/>
      <c r="IHO29" s="191"/>
      <c r="IHP29" s="191"/>
      <c r="IHR29" s="191"/>
      <c r="IHS29" s="191"/>
      <c r="IHT29" s="191"/>
      <c r="IHV29" s="191"/>
      <c r="IHW29" s="191"/>
      <c r="IHX29" s="191"/>
      <c r="IHZ29" s="191"/>
      <c r="IIA29" s="191"/>
      <c r="IIB29" s="191"/>
      <c r="IID29" s="191"/>
      <c r="IIE29" s="191"/>
      <c r="IIF29" s="191"/>
      <c r="IIH29" s="191"/>
      <c r="III29" s="191"/>
      <c r="IIJ29" s="191"/>
      <c r="IIL29" s="191"/>
      <c r="IIM29" s="191"/>
      <c r="IIN29" s="191"/>
      <c r="IIP29" s="191"/>
      <c r="IIQ29" s="191"/>
      <c r="IIR29" s="191"/>
      <c r="IIT29" s="191"/>
      <c r="IIU29" s="191"/>
      <c r="IIV29" s="191"/>
      <c r="IIX29" s="191"/>
      <c r="IIY29" s="191"/>
      <c r="IIZ29" s="191"/>
      <c r="IJB29" s="191"/>
      <c r="IJC29" s="191"/>
      <c r="IJD29" s="191"/>
      <c r="IJF29" s="191"/>
      <c r="IJG29" s="191"/>
      <c r="IJH29" s="191"/>
      <c r="IJJ29" s="191"/>
      <c r="IJK29" s="191"/>
      <c r="IJL29" s="191"/>
      <c r="IJN29" s="191"/>
      <c r="IJO29" s="191"/>
      <c r="IJP29" s="191"/>
      <c r="IJR29" s="191"/>
      <c r="IJS29" s="191"/>
      <c r="IJT29" s="191"/>
      <c r="IJV29" s="191"/>
      <c r="IJW29" s="191"/>
      <c r="IJX29" s="191"/>
      <c r="IJZ29" s="191"/>
      <c r="IKA29" s="191"/>
      <c r="IKB29" s="191"/>
      <c r="IKD29" s="191"/>
      <c r="IKE29" s="191"/>
      <c r="IKF29" s="191"/>
      <c r="IKH29" s="191"/>
      <c r="IKI29" s="191"/>
      <c r="IKJ29" s="191"/>
      <c r="IKL29" s="191"/>
      <c r="IKM29" s="191"/>
      <c r="IKN29" s="191"/>
      <c r="IKP29" s="191"/>
      <c r="IKQ29" s="191"/>
      <c r="IKR29" s="191"/>
      <c r="IKT29" s="191"/>
      <c r="IKU29" s="191"/>
      <c r="IKV29" s="191"/>
      <c r="IKX29" s="191"/>
      <c r="IKY29" s="191"/>
      <c r="IKZ29" s="191"/>
      <c r="ILB29" s="191"/>
      <c r="ILC29" s="191"/>
      <c r="ILD29" s="191"/>
      <c r="ILF29" s="191"/>
      <c r="ILG29" s="191"/>
      <c r="ILH29" s="191"/>
      <c r="ILJ29" s="191"/>
      <c r="ILK29" s="191"/>
      <c r="ILL29" s="191"/>
      <c r="ILN29" s="191"/>
      <c r="ILO29" s="191"/>
      <c r="ILP29" s="191"/>
      <c r="ILR29" s="191"/>
      <c r="ILS29" s="191"/>
      <c r="ILT29" s="191"/>
      <c r="ILV29" s="191"/>
      <c r="ILW29" s="191"/>
      <c r="ILX29" s="191"/>
      <c r="ILZ29" s="191"/>
      <c r="IMA29" s="191"/>
      <c r="IMB29" s="191"/>
      <c r="IMD29" s="191"/>
      <c r="IME29" s="191"/>
      <c r="IMF29" s="191"/>
      <c r="IMH29" s="191"/>
      <c r="IMI29" s="191"/>
      <c r="IMJ29" s="191"/>
      <c r="IML29" s="191"/>
      <c r="IMM29" s="191"/>
      <c r="IMN29" s="191"/>
      <c r="IMP29" s="191"/>
      <c r="IMQ29" s="191"/>
      <c r="IMR29" s="191"/>
      <c r="IMT29" s="191"/>
      <c r="IMU29" s="191"/>
      <c r="IMV29" s="191"/>
      <c r="IMX29" s="191"/>
      <c r="IMY29" s="191"/>
      <c r="IMZ29" s="191"/>
      <c r="INB29" s="191"/>
      <c r="INC29" s="191"/>
      <c r="IND29" s="191"/>
      <c r="INF29" s="191"/>
      <c r="ING29" s="191"/>
      <c r="INH29" s="191"/>
      <c r="INJ29" s="191"/>
      <c r="INK29" s="191"/>
      <c r="INL29" s="191"/>
      <c r="INN29" s="191"/>
      <c r="INO29" s="191"/>
      <c r="INP29" s="191"/>
      <c r="INR29" s="191"/>
      <c r="INS29" s="191"/>
      <c r="INT29" s="191"/>
      <c r="INV29" s="191"/>
      <c r="INW29" s="191"/>
      <c r="INX29" s="191"/>
      <c r="INZ29" s="191"/>
      <c r="IOA29" s="191"/>
      <c r="IOB29" s="191"/>
      <c r="IOD29" s="191"/>
      <c r="IOE29" s="191"/>
      <c r="IOF29" s="191"/>
      <c r="IOH29" s="191"/>
      <c r="IOI29" s="191"/>
      <c r="IOJ29" s="191"/>
      <c r="IOL29" s="191"/>
      <c r="IOM29" s="191"/>
      <c r="ION29" s="191"/>
      <c r="IOP29" s="191"/>
      <c r="IOQ29" s="191"/>
      <c r="IOR29" s="191"/>
      <c r="IOT29" s="191"/>
      <c r="IOU29" s="191"/>
      <c r="IOV29" s="191"/>
      <c r="IOX29" s="191"/>
      <c r="IOY29" s="191"/>
      <c r="IOZ29" s="191"/>
      <c r="IPB29" s="191"/>
      <c r="IPC29" s="191"/>
      <c r="IPD29" s="191"/>
      <c r="IPF29" s="191"/>
      <c r="IPG29" s="191"/>
      <c r="IPH29" s="191"/>
      <c r="IPJ29" s="191"/>
      <c r="IPK29" s="191"/>
      <c r="IPL29" s="191"/>
      <c r="IPN29" s="191"/>
      <c r="IPO29" s="191"/>
      <c r="IPP29" s="191"/>
      <c r="IPR29" s="191"/>
      <c r="IPS29" s="191"/>
      <c r="IPT29" s="191"/>
      <c r="IPV29" s="191"/>
      <c r="IPW29" s="191"/>
      <c r="IPX29" s="191"/>
      <c r="IPZ29" s="191"/>
      <c r="IQA29" s="191"/>
      <c r="IQB29" s="191"/>
      <c r="IQD29" s="191"/>
      <c r="IQE29" s="191"/>
      <c r="IQF29" s="191"/>
      <c r="IQH29" s="191"/>
      <c r="IQI29" s="191"/>
      <c r="IQJ29" s="191"/>
      <c r="IQL29" s="191"/>
      <c r="IQM29" s="191"/>
      <c r="IQN29" s="191"/>
      <c r="IQP29" s="191"/>
      <c r="IQQ29" s="191"/>
      <c r="IQR29" s="191"/>
      <c r="IQT29" s="191"/>
      <c r="IQU29" s="191"/>
      <c r="IQV29" s="191"/>
      <c r="IQX29" s="191"/>
      <c r="IQY29" s="191"/>
      <c r="IQZ29" s="191"/>
      <c r="IRB29" s="191"/>
      <c r="IRC29" s="191"/>
      <c r="IRD29" s="191"/>
      <c r="IRF29" s="191"/>
      <c r="IRG29" s="191"/>
      <c r="IRH29" s="191"/>
      <c r="IRJ29" s="191"/>
      <c r="IRK29" s="191"/>
      <c r="IRL29" s="191"/>
      <c r="IRN29" s="191"/>
      <c r="IRO29" s="191"/>
      <c r="IRP29" s="191"/>
      <c r="IRR29" s="191"/>
      <c r="IRS29" s="191"/>
      <c r="IRT29" s="191"/>
      <c r="IRV29" s="191"/>
      <c r="IRW29" s="191"/>
      <c r="IRX29" s="191"/>
      <c r="IRZ29" s="191"/>
      <c r="ISA29" s="191"/>
      <c r="ISB29" s="191"/>
      <c r="ISD29" s="191"/>
      <c r="ISE29" s="191"/>
      <c r="ISF29" s="191"/>
      <c r="ISH29" s="191"/>
      <c r="ISI29" s="191"/>
      <c r="ISJ29" s="191"/>
      <c r="ISL29" s="191"/>
      <c r="ISM29" s="191"/>
      <c r="ISN29" s="191"/>
      <c r="ISP29" s="191"/>
      <c r="ISQ29" s="191"/>
      <c r="ISR29" s="191"/>
      <c r="IST29" s="191"/>
      <c r="ISU29" s="191"/>
      <c r="ISV29" s="191"/>
      <c r="ISX29" s="191"/>
      <c r="ISY29" s="191"/>
      <c r="ISZ29" s="191"/>
      <c r="ITB29" s="191"/>
      <c r="ITC29" s="191"/>
      <c r="ITD29" s="191"/>
      <c r="ITF29" s="191"/>
      <c r="ITG29" s="191"/>
      <c r="ITH29" s="191"/>
      <c r="ITJ29" s="191"/>
      <c r="ITK29" s="191"/>
      <c r="ITL29" s="191"/>
      <c r="ITN29" s="191"/>
      <c r="ITO29" s="191"/>
      <c r="ITP29" s="191"/>
      <c r="ITR29" s="191"/>
      <c r="ITS29" s="191"/>
      <c r="ITT29" s="191"/>
      <c r="ITV29" s="191"/>
      <c r="ITW29" s="191"/>
      <c r="ITX29" s="191"/>
      <c r="ITZ29" s="191"/>
      <c r="IUA29" s="191"/>
      <c r="IUB29" s="191"/>
      <c r="IUD29" s="191"/>
      <c r="IUE29" s="191"/>
      <c r="IUF29" s="191"/>
      <c r="IUH29" s="191"/>
      <c r="IUI29" s="191"/>
      <c r="IUJ29" s="191"/>
      <c r="IUL29" s="191"/>
      <c r="IUM29" s="191"/>
      <c r="IUN29" s="191"/>
      <c r="IUP29" s="191"/>
      <c r="IUQ29" s="191"/>
      <c r="IUR29" s="191"/>
      <c r="IUT29" s="191"/>
      <c r="IUU29" s="191"/>
      <c r="IUV29" s="191"/>
      <c r="IUX29" s="191"/>
      <c r="IUY29" s="191"/>
      <c r="IUZ29" s="191"/>
      <c r="IVB29" s="191"/>
      <c r="IVC29" s="191"/>
      <c r="IVD29" s="191"/>
      <c r="IVF29" s="191"/>
      <c r="IVG29" s="191"/>
      <c r="IVH29" s="191"/>
      <c r="IVJ29" s="191"/>
      <c r="IVK29" s="191"/>
      <c r="IVL29" s="191"/>
      <c r="IVN29" s="191"/>
      <c r="IVO29" s="191"/>
      <c r="IVP29" s="191"/>
      <c r="IVR29" s="191"/>
      <c r="IVS29" s="191"/>
      <c r="IVT29" s="191"/>
      <c r="IVV29" s="191"/>
      <c r="IVW29" s="191"/>
      <c r="IVX29" s="191"/>
      <c r="IVZ29" s="191"/>
      <c r="IWA29" s="191"/>
      <c r="IWB29" s="191"/>
      <c r="IWD29" s="191"/>
      <c r="IWE29" s="191"/>
      <c r="IWF29" s="191"/>
      <c r="IWH29" s="191"/>
      <c r="IWI29" s="191"/>
      <c r="IWJ29" s="191"/>
      <c r="IWL29" s="191"/>
      <c r="IWM29" s="191"/>
      <c r="IWN29" s="191"/>
      <c r="IWP29" s="191"/>
      <c r="IWQ29" s="191"/>
      <c r="IWR29" s="191"/>
      <c r="IWT29" s="191"/>
      <c r="IWU29" s="191"/>
      <c r="IWV29" s="191"/>
      <c r="IWX29" s="191"/>
      <c r="IWY29" s="191"/>
      <c r="IWZ29" s="191"/>
      <c r="IXB29" s="191"/>
      <c r="IXC29" s="191"/>
      <c r="IXD29" s="191"/>
      <c r="IXF29" s="191"/>
      <c r="IXG29" s="191"/>
      <c r="IXH29" s="191"/>
      <c r="IXJ29" s="191"/>
      <c r="IXK29" s="191"/>
      <c r="IXL29" s="191"/>
      <c r="IXN29" s="191"/>
      <c r="IXO29" s="191"/>
      <c r="IXP29" s="191"/>
      <c r="IXR29" s="191"/>
      <c r="IXS29" s="191"/>
      <c r="IXT29" s="191"/>
      <c r="IXV29" s="191"/>
      <c r="IXW29" s="191"/>
      <c r="IXX29" s="191"/>
      <c r="IXZ29" s="191"/>
      <c r="IYA29" s="191"/>
      <c r="IYB29" s="191"/>
      <c r="IYD29" s="191"/>
      <c r="IYE29" s="191"/>
      <c r="IYF29" s="191"/>
      <c r="IYH29" s="191"/>
      <c r="IYI29" s="191"/>
      <c r="IYJ29" s="191"/>
      <c r="IYL29" s="191"/>
      <c r="IYM29" s="191"/>
      <c r="IYN29" s="191"/>
      <c r="IYP29" s="191"/>
      <c r="IYQ29" s="191"/>
      <c r="IYR29" s="191"/>
      <c r="IYT29" s="191"/>
      <c r="IYU29" s="191"/>
      <c r="IYV29" s="191"/>
      <c r="IYX29" s="191"/>
      <c r="IYY29" s="191"/>
      <c r="IYZ29" s="191"/>
      <c r="IZB29" s="191"/>
      <c r="IZC29" s="191"/>
      <c r="IZD29" s="191"/>
      <c r="IZF29" s="191"/>
      <c r="IZG29" s="191"/>
      <c r="IZH29" s="191"/>
      <c r="IZJ29" s="191"/>
      <c r="IZK29" s="191"/>
      <c r="IZL29" s="191"/>
      <c r="IZN29" s="191"/>
      <c r="IZO29" s="191"/>
      <c r="IZP29" s="191"/>
      <c r="IZR29" s="191"/>
      <c r="IZS29" s="191"/>
      <c r="IZT29" s="191"/>
      <c r="IZV29" s="191"/>
      <c r="IZW29" s="191"/>
      <c r="IZX29" s="191"/>
      <c r="IZZ29" s="191"/>
      <c r="JAA29" s="191"/>
      <c r="JAB29" s="191"/>
      <c r="JAD29" s="191"/>
      <c r="JAE29" s="191"/>
      <c r="JAF29" s="191"/>
      <c r="JAH29" s="191"/>
      <c r="JAI29" s="191"/>
      <c r="JAJ29" s="191"/>
      <c r="JAL29" s="191"/>
      <c r="JAM29" s="191"/>
      <c r="JAN29" s="191"/>
      <c r="JAP29" s="191"/>
      <c r="JAQ29" s="191"/>
      <c r="JAR29" s="191"/>
      <c r="JAT29" s="191"/>
      <c r="JAU29" s="191"/>
      <c r="JAV29" s="191"/>
      <c r="JAX29" s="191"/>
      <c r="JAY29" s="191"/>
      <c r="JAZ29" s="191"/>
      <c r="JBB29" s="191"/>
      <c r="JBC29" s="191"/>
      <c r="JBD29" s="191"/>
      <c r="JBF29" s="191"/>
      <c r="JBG29" s="191"/>
      <c r="JBH29" s="191"/>
      <c r="JBJ29" s="191"/>
      <c r="JBK29" s="191"/>
      <c r="JBL29" s="191"/>
      <c r="JBN29" s="191"/>
      <c r="JBO29" s="191"/>
      <c r="JBP29" s="191"/>
      <c r="JBR29" s="191"/>
      <c r="JBS29" s="191"/>
      <c r="JBT29" s="191"/>
      <c r="JBV29" s="191"/>
      <c r="JBW29" s="191"/>
      <c r="JBX29" s="191"/>
      <c r="JBZ29" s="191"/>
      <c r="JCA29" s="191"/>
      <c r="JCB29" s="191"/>
      <c r="JCD29" s="191"/>
      <c r="JCE29" s="191"/>
      <c r="JCF29" s="191"/>
      <c r="JCH29" s="191"/>
      <c r="JCI29" s="191"/>
      <c r="JCJ29" s="191"/>
      <c r="JCL29" s="191"/>
      <c r="JCM29" s="191"/>
      <c r="JCN29" s="191"/>
      <c r="JCP29" s="191"/>
      <c r="JCQ29" s="191"/>
      <c r="JCR29" s="191"/>
      <c r="JCT29" s="191"/>
      <c r="JCU29" s="191"/>
      <c r="JCV29" s="191"/>
      <c r="JCX29" s="191"/>
      <c r="JCY29" s="191"/>
      <c r="JCZ29" s="191"/>
      <c r="JDB29" s="191"/>
      <c r="JDC29" s="191"/>
      <c r="JDD29" s="191"/>
      <c r="JDF29" s="191"/>
      <c r="JDG29" s="191"/>
      <c r="JDH29" s="191"/>
      <c r="JDJ29" s="191"/>
      <c r="JDK29" s="191"/>
      <c r="JDL29" s="191"/>
      <c r="JDN29" s="191"/>
      <c r="JDO29" s="191"/>
      <c r="JDP29" s="191"/>
      <c r="JDR29" s="191"/>
      <c r="JDS29" s="191"/>
      <c r="JDT29" s="191"/>
      <c r="JDV29" s="191"/>
      <c r="JDW29" s="191"/>
      <c r="JDX29" s="191"/>
      <c r="JDZ29" s="191"/>
      <c r="JEA29" s="191"/>
      <c r="JEB29" s="191"/>
      <c r="JED29" s="191"/>
      <c r="JEE29" s="191"/>
      <c r="JEF29" s="191"/>
      <c r="JEH29" s="191"/>
      <c r="JEI29" s="191"/>
      <c r="JEJ29" s="191"/>
      <c r="JEL29" s="191"/>
      <c r="JEM29" s="191"/>
      <c r="JEN29" s="191"/>
      <c r="JEP29" s="191"/>
      <c r="JEQ29" s="191"/>
      <c r="JER29" s="191"/>
      <c r="JET29" s="191"/>
      <c r="JEU29" s="191"/>
      <c r="JEV29" s="191"/>
      <c r="JEX29" s="191"/>
      <c r="JEY29" s="191"/>
      <c r="JEZ29" s="191"/>
      <c r="JFB29" s="191"/>
      <c r="JFC29" s="191"/>
      <c r="JFD29" s="191"/>
      <c r="JFF29" s="191"/>
      <c r="JFG29" s="191"/>
      <c r="JFH29" s="191"/>
      <c r="JFJ29" s="191"/>
      <c r="JFK29" s="191"/>
      <c r="JFL29" s="191"/>
      <c r="JFN29" s="191"/>
      <c r="JFO29" s="191"/>
      <c r="JFP29" s="191"/>
      <c r="JFR29" s="191"/>
      <c r="JFS29" s="191"/>
      <c r="JFT29" s="191"/>
      <c r="JFV29" s="191"/>
      <c r="JFW29" s="191"/>
      <c r="JFX29" s="191"/>
      <c r="JFZ29" s="191"/>
      <c r="JGA29" s="191"/>
      <c r="JGB29" s="191"/>
      <c r="JGD29" s="191"/>
      <c r="JGE29" s="191"/>
      <c r="JGF29" s="191"/>
      <c r="JGH29" s="191"/>
      <c r="JGI29" s="191"/>
      <c r="JGJ29" s="191"/>
      <c r="JGL29" s="191"/>
      <c r="JGM29" s="191"/>
      <c r="JGN29" s="191"/>
      <c r="JGP29" s="191"/>
      <c r="JGQ29" s="191"/>
      <c r="JGR29" s="191"/>
      <c r="JGT29" s="191"/>
      <c r="JGU29" s="191"/>
      <c r="JGV29" s="191"/>
      <c r="JGX29" s="191"/>
      <c r="JGY29" s="191"/>
      <c r="JGZ29" s="191"/>
      <c r="JHB29" s="191"/>
      <c r="JHC29" s="191"/>
      <c r="JHD29" s="191"/>
      <c r="JHF29" s="191"/>
      <c r="JHG29" s="191"/>
      <c r="JHH29" s="191"/>
      <c r="JHJ29" s="191"/>
      <c r="JHK29" s="191"/>
      <c r="JHL29" s="191"/>
      <c r="JHN29" s="191"/>
      <c r="JHO29" s="191"/>
      <c r="JHP29" s="191"/>
      <c r="JHR29" s="191"/>
      <c r="JHS29" s="191"/>
      <c r="JHT29" s="191"/>
      <c r="JHV29" s="191"/>
      <c r="JHW29" s="191"/>
      <c r="JHX29" s="191"/>
      <c r="JHZ29" s="191"/>
      <c r="JIA29" s="191"/>
      <c r="JIB29" s="191"/>
      <c r="JID29" s="191"/>
      <c r="JIE29" s="191"/>
      <c r="JIF29" s="191"/>
      <c r="JIH29" s="191"/>
      <c r="JII29" s="191"/>
      <c r="JIJ29" s="191"/>
      <c r="JIL29" s="191"/>
      <c r="JIM29" s="191"/>
      <c r="JIN29" s="191"/>
      <c r="JIP29" s="191"/>
      <c r="JIQ29" s="191"/>
      <c r="JIR29" s="191"/>
      <c r="JIT29" s="191"/>
      <c r="JIU29" s="191"/>
      <c r="JIV29" s="191"/>
      <c r="JIX29" s="191"/>
      <c r="JIY29" s="191"/>
      <c r="JIZ29" s="191"/>
      <c r="JJB29" s="191"/>
      <c r="JJC29" s="191"/>
      <c r="JJD29" s="191"/>
      <c r="JJF29" s="191"/>
      <c r="JJG29" s="191"/>
      <c r="JJH29" s="191"/>
      <c r="JJJ29" s="191"/>
      <c r="JJK29" s="191"/>
      <c r="JJL29" s="191"/>
      <c r="JJN29" s="191"/>
      <c r="JJO29" s="191"/>
      <c r="JJP29" s="191"/>
      <c r="JJR29" s="191"/>
      <c r="JJS29" s="191"/>
      <c r="JJT29" s="191"/>
      <c r="JJV29" s="191"/>
      <c r="JJW29" s="191"/>
      <c r="JJX29" s="191"/>
      <c r="JJZ29" s="191"/>
      <c r="JKA29" s="191"/>
      <c r="JKB29" s="191"/>
      <c r="JKD29" s="191"/>
      <c r="JKE29" s="191"/>
      <c r="JKF29" s="191"/>
      <c r="JKH29" s="191"/>
      <c r="JKI29" s="191"/>
      <c r="JKJ29" s="191"/>
      <c r="JKL29" s="191"/>
      <c r="JKM29" s="191"/>
      <c r="JKN29" s="191"/>
      <c r="JKP29" s="191"/>
      <c r="JKQ29" s="191"/>
      <c r="JKR29" s="191"/>
      <c r="JKT29" s="191"/>
      <c r="JKU29" s="191"/>
      <c r="JKV29" s="191"/>
      <c r="JKX29" s="191"/>
      <c r="JKY29" s="191"/>
      <c r="JKZ29" s="191"/>
      <c r="JLB29" s="191"/>
      <c r="JLC29" s="191"/>
      <c r="JLD29" s="191"/>
      <c r="JLF29" s="191"/>
      <c r="JLG29" s="191"/>
      <c r="JLH29" s="191"/>
      <c r="JLJ29" s="191"/>
      <c r="JLK29" s="191"/>
      <c r="JLL29" s="191"/>
      <c r="JLN29" s="191"/>
      <c r="JLO29" s="191"/>
      <c r="JLP29" s="191"/>
      <c r="JLR29" s="191"/>
      <c r="JLS29" s="191"/>
      <c r="JLT29" s="191"/>
      <c r="JLV29" s="191"/>
      <c r="JLW29" s="191"/>
      <c r="JLX29" s="191"/>
      <c r="JLZ29" s="191"/>
      <c r="JMA29" s="191"/>
      <c r="JMB29" s="191"/>
      <c r="JMD29" s="191"/>
      <c r="JME29" s="191"/>
      <c r="JMF29" s="191"/>
      <c r="JMH29" s="191"/>
      <c r="JMI29" s="191"/>
      <c r="JMJ29" s="191"/>
      <c r="JML29" s="191"/>
      <c r="JMM29" s="191"/>
      <c r="JMN29" s="191"/>
      <c r="JMP29" s="191"/>
      <c r="JMQ29" s="191"/>
      <c r="JMR29" s="191"/>
      <c r="JMT29" s="191"/>
      <c r="JMU29" s="191"/>
      <c r="JMV29" s="191"/>
      <c r="JMX29" s="191"/>
      <c r="JMY29" s="191"/>
      <c r="JMZ29" s="191"/>
      <c r="JNB29" s="191"/>
      <c r="JNC29" s="191"/>
      <c r="JND29" s="191"/>
      <c r="JNF29" s="191"/>
      <c r="JNG29" s="191"/>
      <c r="JNH29" s="191"/>
      <c r="JNJ29" s="191"/>
      <c r="JNK29" s="191"/>
      <c r="JNL29" s="191"/>
      <c r="JNN29" s="191"/>
      <c r="JNO29" s="191"/>
      <c r="JNP29" s="191"/>
      <c r="JNR29" s="191"/>
      <c r="JNS29" s="191"/>
      <c r="JNT29" s="191"/>
      <c r="JNV29" s="191"/>
      <c r="JNW29" s="191"/>
      <c r="JNX29" s="191"/>
      <c r="JNZ29" s="191"/>
      <c r="JOA29" s="191"/>
      <c r="JOB29" s="191"/>
      <c r="JOD29" s="191"/>
      <c r="JOE29" s="191"/>
      <c r="JOF29" s="191"/>
      <c r="JOH29" s="191"/>
      <c r="JOI29" s="191"/>
      <c r="JOJ29" s="191"/>
      <c r="JOL29" s="191"/>
      <c r="JOM29" s="191"/>
      <c r="JON29" s="191"/>
      <c r="JOP29" s="191"/>
      <c r="JOQ29" s="191"/>
      <c r="JOR29" s="191"/>
      <c r="JOT29" s="191"/>
      <c r="JOU29" s="191"/>
      <c r="JOV29" s="191"/>
      <c r="JOX29" s="191"/>
      <c r="JOY29" s="191"/>
      <c r="JOZ29" s="191"/>
      <c r="JPB29" s="191"/>
      <c r="JPC29" s="191"/>
      <c r="JPD29" s="191"/>
      <c r="JPF29" s="191"/>
      <c r="JPG29" s="191"/>
      <c r="JPH29" s="191"/>
      <c r="JPJ29" s="191"/>
      <c r="JPK29" s="191"/>
      <c r="JPL29" s="191"/>
      <c r="JPN29" s="191"/>
      <c r="JPO29" s="191"/>
      <c r="JPP29" s="191"/>
      <c r="JPR29" s="191"/>
      <c r="JPS29" s="191"/>
      <c r="JPT29" s="191"/>
      <c r="JPV29" s="191"/>
      <c r="JPW29" s="191"/>
      <c r="JPX29" s="191"/>
      <c r="JPZ29" s="191"/>
      <c r="JQA29" s="191"/>
      <c r="JQB29" s="191"/>
      <c r="JQD29" s="191"/>
      <c r="JQE29" s="191"/>
      <c r="JQF29" s="191"/>
      <c r="JQH29" s="191"/>
      <c r="JQI29" s="191"/>
      <c r="JQJ29" s="191"/>
      <c r="JQL29" s="191"/>
      <c r="JQM29" s="191"/>
      <c r="JQN29" s="191"/>
      <c r="JQP29" s="191"/>
      <c r="JQQ29" s="191"/>
      <c r="JQR29" s="191"/>
      <c r="JQT29" s="191"/>
      <c r="JQU29" s="191"/>
      <c r="JQV29" s="191"/>
      <c r="JQX29" s="191"/>
      <c r="JQY29" s="191"/>
      <c r="JQZ29" s="191"/>
      <c r="JRB29" s="191"/>
      <c r="JRC29" s="191"/>
      <c r="JRD29" s="191"/>
      <c r="JRF29" s="191"/>
      <c r="JRG29" s="191"/>
      <c r="JRH29" s="191"/>
      <c r="JRJ29" s="191"/>
      <c r="JRK29" s="191"/>
      <c r="JRL29" s="191"/>
      <c r="JRN29" s="191"/>
      <c r="JRO29" s="191"/>
      <c r="JRP29" s="191"/>
      <c r="JRR29" s="191"/>
      <c r="JRS29" s="191"/>
      <c r="JRT29" s="191"/>
      <c r="JRV29" s="191"/>
      <c r="JRW29" s="191"/>
      <c r="JRX29" s="191"/>
      <c r="JRZ29" s="191"/>
      <c r="JSA29" s="191"/>
      <c r="JSB29" s="191"/>
      <c r="JSD29" s="191"/>
      <c r="JSE29" s="191"/>
      <c r="JSF29" s="191"/>
      <c r="JSH29" s="191"/>
      <c r="JSI29" s="191"/>
      <c r="JSJ29" s="191"/>
      <c r="JSL29" s="191"/>
      <c r="JSM29" s="191"/>
      <c r="JSN29" s="191"/>
      <c r="JSP29" s="191"/>
      <c r="JSQ29" s="191"/>
      <c r="JSR29" s="191"/>
      <c r="JST29" s="191"/>
      <c r="JSU29" s="191"/>
      <c r="JSV29" s="191"/>
      <c r="JSX29" s="191"/>
      <c r="JSY29" s="191"/>
      <c r="JSZ29" s="191"/>
      <c r="JTB29" s="191"/>
      <c r="JTC29" s="191"/>
      <c r="JTD29" s="191"/>
      <c r="JTF29" s="191"/>
      <c r="JTG29" s="191"/>
      <c r="JTH29" s="191"/>
      <c r="JTJ29" s="191"/>
      <c r="JTK29" s="191"/>
      <c r="JTL29" s="191"/>
      <c r="JTN29" s="191"/>
      <c r="JTO29" s="191"/>
      <c r="JTP29" s="191"/>
      <c r="JTR29" s="191"/>
      <c r="JTS29" s="191"/>
      <c r="JTT29" s="191"/>
      <c r="JTV29" s="191"/>
      <c r="JTW29" s="191"/>
      <c r="JTX29" s="191"/>
      <c r="JTZ29" s="191"/>
      <c r="JUA29" s="191"/>
      <c r="JUB29" s="191"/>
      <c r="JUD29" s="191"/>
      <c r="JUE29" s="191"/>
      <c r="JUF29" s="191"/>
      <c r="JUH29" s="191"/>
      <c r="JUI29" s="191"/>
      <c r="JUJ29" s="191"/>
      <c r="JUL29" s="191"/>
      <c r="JUM29" s="191"/>
      <c r="JUN29" s="191"/>
      <c r="JUP29" s="191"/>
      <c r="JUQ29" s="191"/>
      <c r="JUR29" s="191"/>
      <c r="JUT29" s="191"/>
      <c r="JUU29" s="191"/>
      <c r="JUV29" s="191"/>
      <c r="JUX29" s="191"/>
      <c r="JUY29" s="191"/>
      <c r="JUZ29" s="191"/>
      <c r="JVB29" s="191"/>
      <c r="JVC29" s="191"/>
      <c r="JVD29" s="191"/>
      <c r="JVF29" s="191"/>
      <c r="JVG29" s="191"/>
      <c r="JVH29" s="191"/>
      <c r="JVJ29" s="191"/>
      <c r="JVK29" s="191"/>
      <c r="JVL29" s="191"/>
      <c r="JVN29" s="191"/>
      <c r="JVO29" s="191"/>
      <c r="JVP29" s="191"/>
      <c r="JVR29" s="191"/>
      <c r="JVS29" s="191"/>
      <c r="JVT29" s="191"/>
      <c r="JVV29" s="191"/>
      <c r="JVW29" s="191"/>
      <c r="JVX29" s="191"/>
      <c r="JVZ29" s="191"/>
      <c r="JWA29" s="191"/>
      <c r="JWB29" s="191"/>
      <c r="JWD29" s="191"/>
      <c r="JWE29" s="191"/>
      <c r="JWF29" s="191"/>
      <c r="JWH29" s="191"/>
      <c r="JWI29" s="191"/>
      <c r="JWJ29" s="191"/>
      <c r="JWL29" s="191"/>
      <c r="JWM29" s="191"/>
      <c r="JWN29" s="191"/>
      <c r="JWP29" s="191"/>
      <c r="JWQ29" s="191"/>
      <c r="JWR29" s="191"/>
      <c r="JWT29" s="191"/>
      <c r="JWU29" s="191"/>
      <c r="JWV29" s="191"/>
      <c r="JWX29" s="191"/>
      <c r="JWY29" s="191"/>
      <c r="JWZ29" s="191"/>
      <c r="JXB29" s="191"/>
      <c r="JXC29" s="191"/>
      <c r="JXD29" s="191"/>
      <c r="JXF29" s="191"/>
      <c r="JXG29" s="191"/>
      <c r="JXH29" s="191"/>
      <c r="JXJ29" s="191"/>
      <c r="JXK29" s="191"/>
      <c r="JXL29" s="191"/>
      <c r="JXN29" s="191"/>
      <c r="JXO29" s="191"/>
      <c r="JXP29" s="191"/>
      <c r="JXR29" s="191"/>
      <c r="JXS29" s="191"/>
      <c r="JXT29" s="191"/>
      <c r="JXV29" s="191"/>
      <c r="JXW29" s="191"/>
      <c r="JXX29" s="191"/>
      <c r="JXZ29" s="191"/>
      <c r="JYA29" s="191"/>
      <c r="JYB29" s="191"/>
      <c r="JYD29" s="191"/>
      <c r="JYE29" s="191"/>
      <c r="JYF29" s="191"/>
      <c r="JYH29" s="191"/>
      <c r="JYI29" s="191"/>
      <c r="JYJ29" s="191"/>
      <c r="JYL29" s="191"/>
      <c r="JYM29" s="191"/>
      <c r="JYN29" s="191"/>
      <c r="JYP29" s="191"/>
      <c r="JYQ29" s="191"/>
      <c r="JYR29" s="191"/>
      <c r="JYT29" s="191"/>
      <c r="JYU29" s="191"/>
      <c r="JYV29" s="191"/>
      <c r="JYX29" s="191"/>
      <c r="JYY29" s="191"/>
      <c r="JYZ29" s="191"/>
      <c r="JZB29" s="191"/>
      <c r="JZC29" s="191"/>
      <c r="JZD29" s="191"/>
      <c r="JZF29" s="191"/>
      <c r="JZG29" s="191"/>
      <c r="JZH29" s="191"/>
      <c r="JZJ29" s="191"/>
      <c r="JZK29" s="191"/>
      <c r="JZL29" s="191"/>
      <c r="JZN29" s="191"/>
      <c r="JZO29" s="191"/>
      <c r="JZP29" s="191"/>
      <c r="JZR29" s="191"/>
      <c r="JZS29" s="191"/>
      <c r="JZT29" s="191"/>
      <c r="JZV29" s="191"/>
      <c r="JZW29" s="191"/>
      <c r="JZX29" s="191"/>
      <c r="JZZ29" s="191"/>
      <c r="KAA29" s="191"/>
      <c r="KAB29" s="191"/>
      <c r="KAD29" s="191"/>
      <c r="KAE29" s="191"/>
      <c r="KAF29" s="191"/>
      <c r="KAH29" s="191"/>
      <c r="KAI29" s="191"/>
      <c r="KAJ29" s="191"/>
      <c r="KAL29" s="191"/>
      <c r="KAM29" s="191"/>
      <c r="KAN29" s="191"/>
      <c r="KAP29" s="191"/>
      <c r="KAQ29" s="191"/>
      <c r="KAR29" s="191"/>
      <c r="KAT29" s="191"/>
      <c r="KAU29" s="191"/>
      <c r="KAV29" s="191"/>
      <c r="KAX29" s="191"/>
      <c r="KAY29" s="191"/>
      <c r="KAZ29" s="191"/>
      <c r="KBB29" s="191"/>
      <c r="KBC29" s="191"/>
      <c r="KBD29" s="191"/>
      <c r="KBF29" s="191"/>
      <c r="KBG29" s="191"/>
      <c r="KBH29" s="191"/>
      <c r="KBJ29" s="191"/>
      <c r="KBK29" s="191"/>
      <c r="KBL29" s="191"/>
      <c r="KBN29" s="191"/>
      <c r="KBO29" s="191"/>
      <c r="KBP29" s="191"/>
      <c r="KBR29" s="191"/>
      <c r="KBS29" s="191"/>
      <c r="KBT29" s="191"/>
      <c r="KBV29" s="191"/>
      <c r="KBW29" s="191"/>
      <c r="KBX29" s="191"/>
      <c r="KBZ29" s="191"/>
      <c r="KCA29" s="191"/>
      <c r="KCB29" s="191"/>
      <c r="KCD29" s="191"/>
      <c r="KCE29" s="191"/>
      <c r="KCF29" s="191"/>
      <c r="KCH29" s="191"/>
      <c r="KCI29" s="191"/>
      <c r="KCJ29" s="191"/>
      <c r="KCL29" s="191"/>
      <c r="KCM29" s="191"/>
      <c r="KCN29" s="191"/>
      <c r="KCP29" s="191"/>
      <c r="KCQ29" s="191"/>
      <c r="KCR29" s="191"/>
      <c r="KCT29" s="191"/>
      <c r="KCU29" s="191"/>
      <c r="KCV29" s="191"/>
      <c r="KCX29" s="191"/>
      <c r="KCY29" s="191"/>
      <c r="KCZ29" s="191"/>
      <c r="KDB29" s="191"/>
      <c r="KDC29" s="191"/>
      <c r="KDD29" s="191"/>
      <c r="KDF29" s="191"/>
      <c r="KDG29" s="191"/>
      <c r="KDH29" s="191"/>
      <c r="KDJ29" s="191"/>
      <c r="KDK29" s="191"/>
      <c r="KDL29" s="191"/>
      <c r="KDN29" s="191"/>
      <c r="KDO29" s="191"/>
      <c r="KDP29" s="191"/>
      <c r="KDR29" s="191"/>
      <c r="KDS29" s="191"/>
      <c r="KDT29" s="191"/>
      <c r="KDV29" s="191"/>
      <c r="KDW29" s="191"/>
      <c r="KDX29" s="191"/>
      <c r="KDZ29" s="191"/>
      <c r="KEA29" s="191"/>
      <c r="KEB29" s="191"/>
      <c r="KED29" s="191"/>
      <c r="KEE29" s="191"/>
      <c r="KEF29" s="191"/>
      <c r="KEH29" s="191"/>
      <c r="KEI29" s="191"/>
      <c r="KEJ29" s="191"/>
      <c r="KEL29" s="191"/>
      <c r="KEM29" s="191"/>
      <c r="KEN29" s="191"/>
      <c r="KEP29" s="191"/>
      <c r="KEQ29" s="191"/>
      <c r="KER29" s="191"/>
      <c r="KET29" s="191"/>
      <c r="KEU29" s="191"/>
      <c r="KEV29" s="191"/>
      <c r="KEX29" s="191"/>
      <c r="KEY29" s="191"/>
      <c r="KEZ29" s="191"/>
      <c r="KFB29" s="191"/>
      <c r="KFC29" s="191"/>
      <c r="KFD29" s="191"/>
      <c r="KFF29" s="191"/>
      <c r="KFG29" s="191"/>
      <c r="KFH29" s="191"/>
      <c r="KFJ29" s="191"/>
      <c r="KFK29" s="191"/>
      <c r="KFL29" s="191"/>
      <c r="KFN29" s="191"/>
      <c r="KFO29" s="191"/>
      <c r="KFP29" s="191"/>
      <c r="KFR29" s="191"/>
      <c r="KFS29" s="191"/>
      <c r="KFT29" s="191"/>
      <c r="KFV29" s="191"/>
      <c r="KFW29" s="191"/>
      <c r="KFX29" s="191"/>
      <c r="KFZ29" s="191"/>
      <c r="KGA29" s="191"/>
      <c r="KGB29" s="191"/>
      <c r="KGD29" s="191"/>
      <c r="KGE29" s="191"/>
      <c r="KGF29" s="191"/>
      <c r="KGH29" s="191"/>
      <c r="KGI29" s="191"/>
      <c r="KGJ29" s="191"/>
      <c r="KGL29" s="191"/>
      <c r="KGM29" s="191"/>
      <c r="KGN29" s="191"/>
      <c r="KGP29" s="191"/>
      <c r="KGQ29" s="191"/>
      <c r="KGR29" s="191"/>
      <c r="KGT29" s="191"/>
      <c r="KGU29" s="191"/>
      <c r="KGV29" s="191"/>
      <c r="KGX29" s="191"/>
      <c r="KGY29" s="191"/>
      <c r="KGZ29" s="191"/>
      <c r="KHB29" s="191"/>
      <c r="KHC29" s="191"/>
      <c r="KHD29" s="191"/>
      <c r="KHF29" s="191"/>
      <c r="KHG29" s="191"/>
      <c r="KHH29" s="191"/>
      <c r="KHJ29" s="191"/>
      <c r="KHK29" s="191"/>
      <c r="KHL29" s="191"/>
      <c r="KHN29" s="191"/>
      <c r="KHO29" s="191"/>
      <c r="KHP29" s="191"/>
      <c r="KHR29" s="191"/>
      <c r="KHS29" s="191"/>
      <c r="KHT29" s="191"/>
      <c r="KHV29" s="191"/>
      <c r="KHW29" s="191"/>
      <c r="KHX29" s="191"/>
      <c r="KHZ29" s="191"/>
      <c r="KIA29" s="191"/>
      <c r="KIB29" s="191"/>
      <c r="KID29" s="191"/>
      <c r="KIE29" s="191"/>
      <c r="KIF29" s="191"/>
      <c r="KIH29" s="191"/>
      <c r="KII29" s="191"/>
      <c r="KIJ29" s="191"/>
      <c r="KIL29" s="191"/>
      <c r="KIM29" s="191"/>
      <c r="KIN29" s="191"/>
      <c r="KIP29" s="191"/>
      <c r="KIQ29" s="191"/>
      <c r="KIR29" s="191"/>
      <c r="KIT29" s="191"/>
      <c r="KIU29" s="191"/>
      <c r="KIV29" s="191"/>
      <c r="KIX29" s="191"/>
      <c r="KIY29" s="191"/>
      <c r="KIZ29" s="191"/>
      <c r="KJB29" s="191"/>
      <c r="KJC29" s="191"/>
      <c r="KJD29" s="191"/>
      <c r="KJF29" s="191"/>
      <c r="KJG29" s="191"/>
      <c r="KJH29" s="191"/>
      <c r="KJJ29" s="191"/>
      <c r="KJK29" s="191"/>
      <c r="KJL29" s="191"/>
      <c r="KJN29" s="191"/>
      <c r="KJO29" s="191"/>
      <c r="KJP29" s="191"/>
      <c r="KJR29" s="191"/>
      <c r="KJS29" s="191"/>
      <c r="KJT29" s="191"/>
      <c r="KJV29" s="191"/>
      <c r="KJW29" s="191"/>
      <c r="KJX29" s="191"/>
      <c r="KJZ29" s="191"/>
      <c r="KKA29" s="191"/>
      <c r="KKB29" s="191"/>
      <c r="KKD29" s="191"/>
      <c r="KKE29" s="191"/>
      <c r="KKF29" s="191"/>
      <c r="KKH29" s="191"/>
      <c r="KKI29" s="191"/>
      <c r="KKJ29" s="191"/>
      <c r="KKL29" s="191"/>
      <c r="KKM29" s="191"/>
      <c r="KKN29" s="191"/>
      <c r="KKP29" s="191"/>
      <c r="KKQ29" s="191"/>
      <c r="KKR29" s="191"/>
      <c r="KKT29" s="191"/>
      <c r="KKU29" s="191"/>
      <c r="KKV29" s="191"/>
      <c r="KKX29" s="191"/>
      <c r="KKY29" s="191"/>
      <c r="KKZ29" s="191"/>
      <c r="KLB29" s="191"/>
      <c r="KLC29" s="191"/>
      <c r="KLD29" s="191"/>
      <c r="KLF29" s="191"/>
      <c r="KLG29" s="191"/>
      <c r="KLH29" s="191"/>
      <c r="KLJ29" s="191"/>
      <c r="KLK29" s="191"/>
      <c r="KLL29" s="191"/>
      <c r="KLN29" s="191"/>
      <c r="KLO29" s="191"/>
      <c r="KLP29" s="191"/>
      <c r="KLR29" s="191"/>
      <c r="KLS29" s="191"/>
      <c r="KLT29" s="191"/>
      <c r="KLV29" s="191"/>
      <c r="KLW29" s="191"/>
      <c r="KLX29" s="191"/>
      <c r="KLZ29" s="191"/>
      <c r="KMA29" s="191"/>
      <c r="KMB29" s="191"/>
      <c r="KMD29" s="191"/>
      <c r="KME29" s="191"/>
      <c r="KMF29" s="191"/>
      <c r="KMH29" s="191"/>
      <c r="KMI29" s="191"/>
      <c r="KMJ29" s="191"/>
      <c r="KML29" s="191"/>
      <c r="KMM29" s="191"/>
      <c r="KMN29" s="191"/>
      <c r="KMP29" s="191"/>
      <c r="KMQ29" s="191"/>
      <c r="KMR29" s="191"/>
      <c r="KMT29" s="191"/>
      <c r="KMU29" s="191"/>
      <c r="KMV29" s="191"/>
      <c r="KMX29" s="191"/>
      <c r="KMY29" s="191"/>
      <c r="KMZ29" s="191"/>
      <c r="KNB29" s="191"/>
      <c r="KNC29" s="191"/>
      <c r="KND29" s="191"/>
      <c r="KNF29" s="191"/>
      <c r="KNG29" s="191"/>
      <c r="KNH29" s="191"/>
      <c r="KNJ29" s="191"/>
      <c r="KNK29" s="191"/>
      <c r="KNL29" s="191"/>
      <c r="KNN29" s="191"/>
      <c r="KNO29" s="191"/>
      <c r="KNP29" s="191"/>
      <c r="KNR29" s="191"/>
      <c r="KNS29" s="191"/>
      <c r="KNT29" s="191"/>
      <c r="KNV29" s="191"/>
      <c r="KNW29" s="191"/>
      <c r="KNX29" s="191"/>
      <c r="KNZ29" s="191"/>
      <c r="KOA29" s="191"/>
      <c r="KOB29" s="191"/>
      <c r="KOD29" s="191"/>
      <c r="KOE29" s="191"/>
      <c r="KOF29" s="191"/>
      <c r="KOH29" s="191"/>
      <c r="KOI29" s="191"/>
      <c r="KOJ29" s="191"/>
      <c r="KOL29" s="191"/>
      <c r="KOM29" s="191"/>
      <c r="KON29" s="191"/>
      <c r="KOP29" s="191"/>
      <c r="KOQ29" s="191"/>
      <c r="KOR29" s="191"/>
      <c r="KOT29" s="191"/>
      <c r="KOU29" s="191"/>
      <c r="KOV29" s="191"/>
      <c r="KOX29" s="191"/>
      <c r="KOY29" s="191"/>
      <c r="KOZ29" s="191"/>
      <c r="KPB29" s="191"/>
      <c r="KPC29" s="191"/>
      <c r="KPD29" s="191"/>
      <c r="KPF29" s="191"/>
      <c r="KPG29" s="191"/>
      <c r="KPH29" s="191"/>
      <c r="KPJ29" s="191"/>
      <c r="KPK29" s="191"/>
      <c r="KPL29" s="191"/>
      <c r="KPN29" s="191"/>
      <c r="KPO29" s="191"/>
      <c r="KPP29" s="191"/>
      <c r="KPR29" s="191"/>
      <c r="KPS29" s="191"/>
      <c r="KPT29" s="191"/>
      <c r="KPV29" s="191"/>
      <c r="KPW29" s="191"/>
      <c r="KPX29" s="191"/>
      <c r="KPZ29" s="191"/>
      <c r="KQA29" s="191"/>
      <c r="KQB29" s="191"/>
      <c r="KQD29" s="191"/>
      <c r="KQE29" s="191"/>
      <c r="KQF29" s="191"/>
      <c r="KQH29" s="191"/>
      <c r="KQI29" s="191"/>
      <c r="KQJ29" s="191"/>
      <c r="KQL29" s="191"/>
      <c r="KQM29" s="191"/>
      <c r="KQN29" s="191"/>
      <c r="KQP29" s="191"/>
      <c r="KQQ29" s="191"/>
      <c r="KQR29" s="191"/>
      <c r="KQT29" s="191"/>
      <c r="KQU29" s="191"/>
      <c r="KQV29" s="191"/>
      <c r="KQX29" s="191"/>
      <c r="KQY29" s="191"/>
      <c r="KQZ29" s="191"/>
      <c r="KRB29" s="191"/>
      <c r="KRC29" s="191"/>
      <c r="KRD29" s="191"/>
      <c r="KRF29" s="191"/>
      <c r="KRG29" s="191"/>
      <c r="KRH29" s="191"/>
      <c r="KRJ29" s="191"/>
      <c r="KRK29" s="191"/>
      <c r="KRL29" s="191"/>
      <c r="KRN29" s="191"/>
      <c r="KRO29" s="191"/>
      <c r="KRP29" s="191"/>
      <c r="KRR29" s="191"/>
      <c r="KRS29" s="191"/>
      <c r="KRT29" s="191"/>
      <c r="KRV29" s="191"/>
      <c r="KRW29" s="191"/>
      <c r="KRX29" s="191"/>
      <c r="KRZ29" s="191"/>
      <c r="KSA29" s="191"/>
      <c r="KSB29" s="191"/>
      <c r="KSD29" s="191"/>
      <c r="KSE29" s="191"/>
      <c r="KSF29" s="191"/>
      <c r="KSH29" s="191"/>
      <c r="KSI29" s="191"/>
      <c r="KSJ29" s="191"/>
      <c r="KSL29" s="191"/>
      <c r="KSM29" s="191"/>
      <c r="KSN29" s="191"/>
      <c r="KSP29" s="191"/>
      <c r="KSQ29" s="191"/>
      <c r="KSR29" s="191"/>
      <c r="KST29" s="191"/>
      <c r="KSU29" s="191"/>
      <c r="KSV29" s="191"/>
      <c r="KSX29" s="191"/>
      <c r="KSY29" s="191"/>
      <c r="KSZ29" s="191"/>
      <c r="KTB29" s="191"/>
      <c r="KTC29" s="191"/>
      <c r="KTD29" s="191"/>
      <c r="KTF29" s="191"/>
      <c r="KTG29" s="191"/>
      <c r="KTH29" s="191"/>
      <c r="KTJ29" s="191"/>
      <c r="KTK29" s="191"/>
      <c r="KTL29" s="191"/>
      <c r="KTN29" s="191"/>
      <c r="KTO29" s="191"/>
      <c r="KTP29" s="191"/>
      <c r="KTR29" s="191"/>
      <c r="KTS29" s="191"/>
      <c r="KTT29" s="191"/>
      <c r="KTV29" s="191"/>
      <c r="KTW29" s="191"/>
      <c r="KTX29" s="191"/>
      <c r="KTZ29" s="191"/>
      <c r="KUA29" s="191"/>
      <c r="KUB29" s="191"/>
      <c r="KUD29" s="191"/>
      <c r="KUE29" s="191"/>
      <c r="KUF29" s="191"/>
      <c r="KUH29" s="191"/>
      <c r="KUI29" s="191"/>
      <c r="KUJ29" s="191"/>
      <c r="KUL29" s="191"/>
      <c r="KUM29" s="191"/>
      <c r="KUN29" s="191"/>
      <c r="KUP29" s="191"/>
      <c r="KUQ29" s="191"/>
      <c r="KUR29" s="191"/>
      <c r="KUT29" s="191"/>
      <c r="KUU29" s="191"/>
      <c r="KUV29" s="191"/>
      <c r="KUX29" s="191"/>
      <c r="KUY29" s="191"/>
      <c r="KUZ29" s="191"/>
      <c r="KVB29" s="191"/>
      <c r="KVC29" s="191"/>
      <c r="KVD29" s="191"/>
      <c r="KVF29" s="191"/>
      <c r="KVG29" s="191"/>
      <c r="KVH29" s="191"/>
      <c r="KVJ29" s="191"/>
      <c r="KVK29" s="191"/>
      <c r="KVL29" s="191"/>
      <c r="KVN29" s="191"/>
      <c r="KVO29" s="191"/>
      <c r="KVP29" s="191"/>
      <c r="KVR29" s="191"/>
      <c r="KVS29" s="191"/>
      <c r="KVT29" s="191"/>
      <c r="KVV29" s="191"/>
      <c r="KVW29" s="191"/>
      <c r="KVX29" s="191"/>
      <c r="KVZ29" s="191"/>
      <c r="KWA29" s="191"/>
      <c r="KWB29" s="191"/>
      <c r="KWD29" s="191"/>
      <c r="KWE29" s="191"/>
      <c r="KWF29" s="191"/>
      <c r="KWH29" s="191"/>
      <c r="KWI29" s="191"/>
      <c r="KWJ29" s="191"/>
      <c r="KWL29" s="191"/>
      <c r="KWM29" s="191"/>
      <c r="KWN29" s="191"/>
      <c r="KWP29" s="191"/>
      <c r="KWQ29" s="191"/>
      <c r="KWR29" s="191"/>
      <c r="KWT29" s="191"/>
      <c r="KWU29" s="191"/>
      <c r="KWV29" s="191"/>
      <c r="KWX29" s="191"/>
      <c r="KWY29" s="191"/>
      <c r="KWZ29" s="191"/>
      <c r="KXB29" s="191"/>
      <c r="KXC29" s="191"/>
      <c r="KXD29" s="191"/>
      <c r="KXF29" s="191"/>
      <c r="KXG29" s="191"/>
      <c r="KXH29" s="191"/>
      <c r="KXJ29" s="191"/>
      <c r="KXK29" s="191"/>
      <c r="KXL29" s="191"/>
      <c r="KXN29" s="191"/>
      <c r="KXO29" s="191"/>
      <c r="KXP29" s="191"/>
      <c r="KXR29" s="191"/>
      <c r="KXS29" s="191"/>
      <c r="KXT29" s="191"/>
      <c r="KXV29" s="191"/>
      <c r="KXW29" s="191"/>
      <c r="KXX29" s="191"/>
      <c r="KXZ29" s="191"/>
      <c r="KYA29" s="191"/>
      <c r="KYB29" s="191"/>
      <c r="KYD29" s="191"/>
      <c r="KYE29" s="191"/>
      <c r="KYF29" s="191"/>
      <c r="KYH29" s="191"/>
      <c r="KYI29" s="191"/>
      <c r="KYJ29" s="191"/>
      <c r="KYL29" s="191"/>
      <c r="KYM29" s="191"/>
      <c r="KYN29" s="191"/>
      <c r="KYP29" s="191"/>
      <c r="KYQ29" s="191"/>
      <c r="KYR29" s="191"/>
      <c r="KYT29" s="191"/>
      <c r="KYU29" s="191"/>
      <c r="KYV29" s="191"/>
      <c r="KYX29" s="191"/>
      <c r="KYY29" s="191"/>
      <c r="KYZ29" s="191"/>
      <c r="KZB29" s="191"/>
      <c r="KZC29" s="191"/>
      <c r="KZD29" s="191"/>
      <c r="KZF29" s="191"/>
      <c r="KZG29" s="191"/>
      <c r="KZH29" s="191"/>
      <c r="KZJ29" s="191"/>
      <c r="KZK29" s="191"/>
      <c r="KZL29" s="191"/>
      <c r="KZN29" s="191"/>
      <c r="KZO29" s="191"/>
      <c r="KZP29" s="191"/>
      <c r="KZR29" s="191"/>
      <c r="KZS29" s="191"/>
      <c r="KZT29" s="191"/>
      <c r="KZV29" s="191"/>
      <c r="KZW29" s="191"/>
      <c r="KZX29" s="191"/>
      <c r="KZZ29" s="191"/>
      <c r="LAA29" s="191"/>
      <c r="LAB29" s="191"/>
      <c r="LAD29" s="191"/>
      <c r="LAE29" s="191"/>
      <c r="LAF29" s="191"/>
      <c r="LAH29" s="191"/>
      <c r="LAI29" s="191"/>
      <c r="LAJ29" s="191"/>
      <c r="LAL29" s="191"/>
      <c r="LAM29" s="191"/>
      <c r="LAN29" s="191"/>
      <c r="LAP29" s="191"/>
      <c r="LAQ29" s="191"/>
      <c r="LAR29" s="191"/>
      <c r="LAT29" s="191"/>
      <c r="LAU29" s="191"/>
      <c r="LAV29" s="191"/>
      <c r="LAX29" s="191"/>
      <c r="LAY29" s="191"/>
      <c r="LAZ29" s="191"/>
      <c r="LBB29" s="191"/>
      <c r="LBC29" s="191"/>
      <c r="LBD29" s="191"/>
      <c r="LBF29" s="191"/>
      <c r="LBG29" s="191"/>
      <c r="LBH29" s="191"/>
      <c r="LBJ29" s="191"/>
      <c r="LBK29" s="191"/>
      <c r="LBL29" s="191"/>
      <c r="LBN29" s="191"/>
      <c r="LBO29" s="191"/>
      <c r="LBP29" s="191"/>
      <c r="LBR29" s="191"/>
      <c r="LBS29" s="191"/>
      <c r="LBT29" s="191"/>
      <c r="LBV29" s="191"/>
      <c r="LBW29" s="191"/>
      <c r="LBX29" s="191"/>
      <c r="LBZ29" s="191"/>
      <c r="LCA29" s="191"/>
      <c r="LCB29" s="191"/>
      <c r="LCD29" s="191"/>
      <c r="LCE29" s="191"/>
      <c r="LCF29" s="191"/>
      <c r="LCH29" s="191"/>
      <c r="LCI29" s="191"/>
      <c r="LCJ29" s="191"/>
      <c r="LCL29" s="191"/>
      <c r="LCM29" s="191"/>
      <c r="LCN29" s="191"/>
      <c r="LCP29" s="191"/>
      <c r="LCQ29" s="191"/>
      <c r="LCR29" s="191"/>
      <c r="LCT29" s="191"/>
      <c r="LCU29" s="191"/>
      <c r="LCV29" s="191"/>
      <c r="LCX29" s="191"/>
      <c r="LCY29" s="191"/>
      <c r="LCZ29" s="191"/>
      <c r="LDB29" s="191"/>
      <c r="LDC29" s="191"/>
      <c r="LDD29" s="191"/>
      <c r="LDF29" s="191"/>
      <c r="LDG29" s="191"/>
      <c r="LDH29" s="191"/>
      <c r="LDJ29" s="191"/>
      <c r="LDK29" s="191"/>
      <c r="LDL29" s="191"/>
      <c r="LDN29" s="191"/>
      <c r="LDO29" s="191"/>
      <c r="LDP29" s="191"/>
      <c r="LDR29" s="191"/>
      <c r="LDS29" s="191"/>
      <c r="LDT29" s="191"/>
      <c r="LDV29" s="191"/>
      <c r="LDW29" s="191"/>
      <c r="LDX29" s="191"/>
      <c r="LDZ29" s="191"/>
      <c r="LEA29" s="191"/>
      <c r="LEB29" s="191"/>
      <c r="LED29" s="191"/>
      <c r="LEE29" s="191"/>
      <c r="LEF29" s="191"/>
      <c r="LEH29" s="191"/>
      <c r="LEI29" s="191"/>
      <c r="LEJ29" s="191"/>
      <c r="LEL29" s="191"/>
      <c r="LEM29" s="191"/>
      <c r="LEN29" s="191"/>
      <c r="LEP29" s="191"/>
      <c r="LEQ29" s="191"/>
      <c r="LER29" s="191"/>
      <c r="LET29" s="191"/>
      <c r="LEU29" s="191"/>
      <c r="LEV29" s="191"/>
      <c r="LEX29" s="191"/>
      <c r="LEY29" s="191"/>
      <c r="LEZ29" s="191"/>
      <c r="LFB29" s="191"/>
      <c r="LFC29" s="191"/>
      <c r="LFD29" s="191"/>
      <c r="LFF29" s="191"/>
      <c r="LFG29" s="191"/>
      <c r="LFH29" s="191"/>
      <c r="LFJ29" s="191"/>
      <c r="LFK29" s="191"/>
      <c r="LFL29" s="191"/>
      <c r="LFN29" s="191"/>
      <c r="LFO29" s="191"/>
      <c r="LFP29" s="191"/>
      <c r="LFR29" s="191"/>
      <c r="LFS29" s="191"/>
      <c r="LFT29" s="191"/>
      <c r="LFV29" s="191"/>
      <c r="LFW29" s="191"/>
      <c r="LFX29" s="191"/>
      <c r="LFZ29" s="191"/>
      <c r="LGA29" s="191"/>
      <c r="LGB29" s="191"/>
      <c r="LGD29" s="191"/>
      <c r="LGE29" s="191"/>
      <c r="LGF29" s="191"/>
      <c r="LGH29" s="191"/>
      <c r="LGI29" s="191"/>
      <c r="LGJ29" s="191"/>
      <c r="LGL29" s="191"/>
      <c r="LGM29" s="191"/>
      <c r="LGN29" s="191"/>
      <c r="LGP29" s="191"/>
      <c r="LGQ29" s="191"/>
      <c r="LGR29" s="191"/>
      <c r="LGT29" s="191"/>
      <c r="LGU29" s="191"/>
      <c r="LGV29" s="191"/>
      <c r="LGX29" s="191"/>
      <c r="LGY29" s="191"/>
      <c r="LGZ29" s="191"/>
      <c r="LHB29" s="191"/>
      <c r="LHC29" s="191"/>
      <c r="LHD29" s="191"/>
      <c r="LHF29" s="191"/>
      <c r="LHG29" s="191"/>
      <c r="LHH29" s="191"/>
      <c r="LHJ29" s="191"/>
      <c r="LHK29" s="191"/>
      <c r="LHL29" s="191"/>
      <c r="LHN29" s="191"/>
      <c r="LHO29" s="191"/>
      <c r="LHP29" s="191"/>
      <c r="LHR29" s="191"/>
      <c r="LHS29" s="191"/>
      <c r="LHT29" s="191"/>
      <c r="LHV29" s="191"/>
      <c r="LHW29" s="191"/>
      <c r="LHX29" s="191"/>
      <c r="LHZ29" s="191"/>
      <c r="LIA29" s="191"/>
      <c r="LIB29" s="191"/>
      <c r="LID29" s="191"/>
      <c r="LIE29" s="191"/>
      <c r="LIF29" s="191"/>
      <c r="LIH29" s="191"/>
      <c r="LII29" s="191"/>
      <c r="LIJ29" s="191"/>
      <c r="LIL29" s="191"/>
      <c r="LIM29" s="191"/>
      <c r="LIN29" s="191"/>
      <c r="LIP29" s="191"/>
      <c r="LIQ29" s="191"/>
      <c r="LIR29" s="191"/>
      <c r="LIT29" s="191"/>
      <c r="LIU29" s="191"/>
      <c r="LIV29" s="191"/>
      <c r="LIX29" s="191"/>
      <c r="LIY29" s="191"/>
      <c r="LIZ29" s="191"/>
      <c r="LJB29" s="191"/>
      <c r="LJC29" s="191"/>
      <c r="LJD29" s="191"/>
      <c r="LJF29" s="191"/>
      <c r="LJG29" s="191"/>
      <c r="LJH29" s="191"/>
      <c r="LJJ29" s="191"/>
      <c r="LJK29" s="191"/>
      <c r="LJL29" s="191"/>
      <c r="LJN29" s="191"/>
      <c r="LJO29" s="191"/>
      <c r="LJP29" s="191"/>
      <c r="LJR29" s="191"/>
      <c r="LJS29" s="191"/>
      <c r="LJT29" s="191"/>
      <c r="LJV29" s="191"/>
      <c r="LJW29" s="191"/>
      <c r="LJX29" s="191"/>
      <c r="LJZ29" s="191"/>
      <c r="LKA29" s="191"/>
      <c r="LKB29" s="191"/>
      <c r="LKD29" s="191"/>
      <c r="LKE29" s="191"/>
      <c r="LKF29" s="191"/>
      <c r="LKH29" s="191"/>
      <c r="LKI29" s="191"/>
      <c r="LKJ29" s="191"/>
      <c r="LKL29" s="191"/>
      <c r="LKM29" s="191"/>
      <c r="LKN29" s="191"/>
      <c r="LKP29" s="191"/>
      <c r="LKQ29" s="191"/>
      <c r="LKR29" s="191"/>
      <c r="LKT29" s="191"/>
      <c r="LKU29" s="191"/>
      <c r="LKV29" s="191"/>
      <c r="LKX29" s="191"/>
      <c r="LKY29" s="191"/>
      <c r="LKZ29" s="191"/>
      <c r="LLB29" s="191"/>
      <c r="LLC29" s="191"/>
      <c r="LLD29" s="191"/>
      <c r="LLF29" s="191"/>
      <c r="LLG29" s="191"/>
      <c r="LLH29" s="191"/>
      <c r="LLJ29" s="191"/>
      <c r="LLK29" s="191"/>
      <c r="LLL29" s="191"/>
      <c r="LLN29" s="191"/>
      <c r="LLO29" s="191"/>
      <c r="LLP29" s="191"/>
      <c r="LLR29" s="191"/>
      <c r="LLS29" s="191"/>
      <c r="LLT29" s="191"/>
      <c r="LLV29" s="191"/>
      <c r="LLW29" s="191"/>
      <c r="LLX29" s="191"/>
      <c r="LLZ29" s="191"/>
      <c r="LMA29" s="191"/>
      <c r="LMB29" s="191"/>
      <c r="LMD29" s="191"/>
      <c r="LME29" s="191"/>
      <c r="LMF29" s="191"/>
      <c r="LMH29" s="191"/>
      <c r="LMI29" s="191"/>
      <c r="LMJ29" s="191"/>
      <c r="LML29" s="191"/>
      <c r="LMM29" s="191"/>
      <c r="LMN29" s="191"/>
      <c r="LMP29" s="191"/>
      <c r="LMQ29" s="191"/>
      <c r="LMR29" s="191"/>
      <c r="LMT29" s="191"/>
      <c r="LMU29" s="191"/>
      <c r="LMV29" s="191"/>
      <c r="LMX29" s="191"/>
      <c r="LMY29" s="191"/>
      <c r="LMZ29" s="191"/>
      <c r="LNB29" s="191"/>
      <c r="LNC29" s="191"/>
      <c r="LND29" s="191"/>
      <c r="LNF29" s="191"/>
      <c r="LNG29" s="191"/>
      <c r="LNH29" s="191"/>
      <c r="LNJ29" s="191"/>
      <c r="LNK29" s="191"/>
      <c r="LNL29" s="191"/>
      <c r="LNN29" s="191"/>
      <c r="LNO29" s="191"/>
      <c r="LNP29" s="191"/>
      <c r="LNR29" s="191"/>
      <c r="LNS29" s="191"/>
      <c r="LNT29" s="191"/>
      <c r="LNV29" s="191"/>
      <c r="LNW29" s="191"/>
      <c r="LNX29" s="191"/>
      <c r="LNZ29" s="191"/>
      <c r="LOA29" s="191"/>
      <c r="LOB29" s="191"/>
      <c r="LOD29" s="191"/>
      <c r="LOE29" s="191"/>
      <c r="LOF29" s="191"/>
      <c r="LOH29" s="191"/>
      <c r="LOI29" s="191"/>
      <c r="LOJ29" s="191"/>
      <c r="LOL29" s="191"/>
      <c r="LOM29" s="191"/>
      <c r="LON29" s="191"/>
      <c r="LOP29" s="191"/>
      <c r="LOQ29" s="191"/>
      <c r="LOR29" s="191"/>
      <c r="LOT29" s="191"/>
      <c r="LOU29" s="191"/>
      <c r="LOV29" s="191"/>
      <c r="LOX29" s="191"/>
      <c r="LOY29" s="191"/>
      <c r="LOZ29" s="191"/>
      <c r="LPB29" s="191"/>
      <c r="LPC29" s="191"/>
      <c r="LPD29" s="191"/>
      <c r="LPF29" s="191"/>
      <c r="LPG29" s="191"/>
      <c r="LPH29" s="191"/>
      <c r="LPJ29" s="191"/>
      <c r="LPK29" s="191"/>
      <c r="LPL29" s="191"/>
      <c r="LPN29" s="191"/>
      <c r="LPO29" s="191"/>
      <c r="LPP29" s="191"/>
      <c r="LPR29" s="191"/>
      <c r="LPS29" s="191"/>
      <c r="LPT29" s="191"/>
      <c r="LPV29" s="191"/>
      <c r="LPW29" s="191"/>
      <c r="LPX29" s="191"/>
      <c r="LPZ29" s="191"/>
      <c r="LQA29" s="191"/>
      <c r="LQB29" s="191"/>
      <c r="LQD29" s="191"/>
      <c r="LQE29" s="191"/>
      <c r="LQF29" s="191"/>
      <c r="LQH29" s="191"/>
      <c r="LQI29" s="191"/>
      <c r="LQJ29" s="191"/>
      <c r="LQL29" s="191"/>
      <c r="LQM29" s="191"/>
      <c r="LQN29" s="191"/>
      <c r="LQP29" s="191"/>
      <c r="LQQ29" s="191"/>
      <c r="LQR29" s="191"/>
      <c r="LQT29" s="191"/>
      <c r="LQU29" s="191"/>
      <c r="LQV29" s="191"/>
      <c r="LQX29" s="191"/>
      <c r="LQY29" s="191"/>
      <c r="LQZ29" s="191"/>
      <c r="LRB29" s="191"/>
      <c r="LRC29" s="191"/>
      <c r="LRD29" s="191"/>
      <c r="LRF29" s="191"/>
      <c r="LRG29" s="191"/>
      <c r="LRH29" s="191"/>
      <c r="LRJ29" s="191"/>
      <c r="LRK29" s="191"/>
      <c r="LRL29" s="191"/>
      <c r="LRN29" s="191"/>
      <c r="LRO29" s="191"/>
      <c r="LRP29" s="191"/>
      <c r="LRR29" s="191"/>
      <c r="LRS29" s="191"/>
      <c r="LRT29" s="191"/>
      <c r="LRV29" s="191"/>
      <c r="LRW29" s="191"/>
      <c r="LRX29" s="191"/>
      <c r="LRZ29" s="191"/>
      <c r="LSA29" s="191"/>
      <c r="LSB29" s="191"/>
      <c r="LSD29" s="191"/>
      <c r="LSE29" s="191"/>
      <c r="LSF29" s="191"/>
      <c r="LSH29" s="191"/>
      <c r="LSI29" s="191"/>
      <c r="LSJ29" s="191"/>
      <c r="LSL29" s="191"/>
      <c r="LSM29" s="191"/>
      <c r="LSN29" s="191"/>
      <c r="LSP29" s="191"/>
      <c r="LSQ29" s="191"/>
      <c r="LSR29" s="191"/>
      <c r="LST29" s="191"/>
      <c r="LSU29" s="191"/>
      <c r="LSV29" s="191"/>
      <c r="LSX29" s="191"/>
      <c r="LSY29" s="191"/>
      <c r="LSZ29" s="191"/>
      <c r="LTB29" s="191"/>
      <c r="LTC29" s="191"/>
      <c r="LTD29" s="191"/>
      <c r="LTF29" s="191"/>
      <c r="LTG29" s="191"/>
      <c r="LTH29" s="191"/>
      <c r="LTJ29" s="191"/>
      <c r="LTK29" s="191"/>
      <c r="LTL29" s="191"/>
      <c r="LTN29" s="191"/>
      <c r="LTO29" s="191"/>
      <c r="LTP29" s="191"/>
      <c r="LTR29" s="191"/>
      <c r="LTS29" s="191"/>
      <c r="LTT29" s="191"/>
      <c r="LTV29" s="191"/>
      <c r="LTW29" s="191"/>
      <c r="LTX29" s="191"/>
      <c r="LTZ29" s="191"/>
      <c r="LUA29" s="191"/>
      <c r="LUB29" s="191"/>
      <c r="LUD29" s="191"/>
      <c r="LUE29" s="191"/>
      <c r="LUF29" s="191"/>
      <c r="LUH29" s="191"/>
      <c r="LUI29" s="191"/>
      <c r="LUJ29" s="191"/>
      <c r="LUL29" s="191"/>
      <c r="LUM29" s="191"/>
      <c r="LUN29" s="191"/>
      <c r="LUP29" s="191"/>
      <c r="LUQ29" s="191"/>
      <c r="LUR29" s="191"/>
      <c r="LUT29" s="191"/>
      <c r="LUU29" s="191"/>
      <c r="LUV29" s="191"/>
      <c r="LUX29" s="191"/>
      <c r="LUY29" s="191"/>
      <c r="LUZ29" s="191"/>
      <c r="LVB29" s="191"/>
      <c r="LVC29" s="191"/>
      <c r="LVD29" s="191"/>
      <c r="LVF29" s="191"/>
      <c r="LVG29" s="191"/>
      <c r="LVH29" s="191"/>
      <c r="LVJ29" s="191"/>
      <c r="LVK29" s="191"/>
      <c r="LVL29" s="191"/>
      <c r="LVN29" s="191"/>
      <c r="LVO29" s="191"/>
      <c r="LVP29" s="191"/>
      <c r="LVR29" s="191"/>
      <c r="LVS29" s="191"/>
      <c r="LVT29" s="191"/>
      <c r="LVV29" s="191"/>
      <c r="LVW29" s="191"/>
      <c r="LVX29" s="191"/>
      <c r="LVZ29" s="191"/>
      <c r="LWA29" s="191"/>
      <c r="LWB29" s="191"/>
      <c r="LWD29" s="191"/>
      <c r="LWE29" s="191"/>
      <c r="LWF29" s="191"/>
      <c r="LWH29" s="191"/>
      <c r="LWI29" s="191"/>
      <c r="LWJ29" s="191"/>
      <c r="LWL29" s="191"/>
      <c r="LWM29" s="191"/>
      <c r="LWN29" s="191"/>
      <c r="LWP29" s="191"/>
      <c r="LWQ29" s="191"/>
      <c r="LWR29" s="191"/>
      <c r="LWT29" s="191"/>
      <c r="LWU29" s="191"/>
      <c r="LWV29" s="191"/>
      <c r="LWX29" s="191"/>
      <c r="LWY29" s="191"/>
      <c r="LWZ29" s="191"/>
      <c r="LXB29" s="191"/>
      <c r="LXC29" s="191"/>
      <c r="LXD29" s="191"/>
      <c r="LXF29" s="191"/>
      <c r="LXG29" s="191"/>
      <c r="LXH29" s="191"/>
      <c r="LXJ29" s="191"/>
      <c r="LXK29" s="191"/>
      <c r="LXL29" s="191"/>
      <c r="LXN29" s="191"/>
      <c r="LXO29" s="191"/>
      <c r="LXP29" s="191"/>
      <c r="LXR29" s="191"/>
      <c r="LXS29" s="191"/>
      <c r="LXT29" s="191"/>
      <c r="LXV29" s="191"/>
      <c r="LXW29" s="191"/>
      <c r="LXX29" s="191"/>
      <c r="LXZ29" s="191"/>
      <c r="LYA29" s="191"/>
      <c r="LYB29" s="191"/>
      <c r="LYD29" s="191"/>
      <c r="LYE29" s="191"/>
      <c r="LYF29" s="191"/>
      <c r="LYH29" s="191"/>
      <c r="LYI29" s="191"/>
      <c r="LYJ29" s="191"/>
      <c r="LYL29" s="191"/>
      <c r="LYM29" s="191"/>
      <c r="LYN29" s="191"/>
      <c r="LYP29" s="191"/>
      <c r="LYQ29" s="191"/>
      <c r="LYR29" s="191"/>
      <c r="LYT29" s="191"/>
      <c r="LYU29" s="191"/>
      <c r="LYV29" s="191"/>
      <c r="LYX29" s="191"/>
      <c r="LYY29" s="191"/>
      <c r="LYZ29" s="191"/>
      <c r="LZB29" s="191"/>
      <c r="LZC29" s="191"/>
      <c r="LZD29" s="191"/>
      <c r="LZF29" s="191"/>
      <c r="LZG29" s="191"/>
      <c r="LZH29" s="191"/>
      <c r="LZJ29" s="191"/>
      <c r="LZK29" s="191"/>
      <c r="LZL29" s="191"/>
      <c r="LZN29" s="191"/>
      <c r="LZO29" s="191"/>
      <c r="LZP29" s="191"/>
      <c r="LZR29" s="191"/>
      <c r="LZS29" s="191"/>
      <c r="LZT29" s="191"/>
      <c r="LZV29" s="191"/>
      <c r="LZW29" s="191"/>
      <c r="LZX29" s="191"/>
      <c r="LZZ29" s="191"/>
      <c r="MAA29" s="191"/>
      <c r="MAB29" s="191"/>
      <c r="MAD29" s="191"/>
      <c r="MAE29" s="191"/>
      <c r="MAF29" s="191"/>
      <c r="MAH29" s="191"/>
      <c r="MAI29" s="191"/>
      <c r="MAJ29" s="191"/>
      <c r="MAL29" s="191"/>
      <c r="MAM29" s="191"/>
      <c r="MAN29" s="191"/>
      <c r="MAP29" s="191"/>
      <c r="MAQ29" s="191"/>
      <c r="MAR29" s="191"/>
      <c r="MAT29" s="191"/>
      <c r="MAU29" s="191"/>
      <c r="MAV29" s="191"/>
      <c r="MAX29" s="191"/>
      <c r="MAY29" s="191"/>
      <c r="MAZ29" s="191"/>
      <c r="MBB29" s="191"/>
      <c r="MBC29" s="191"/>
      <c r="MBD29" s="191"/>
      <c r="MBF29" s="191"/>
      <c r="MBG29" s="191"/>
      <c r="MBH29" s="191"/>
      <c r="MBJ29" s="191"/>
      <c r="MBK29" s="191"/>
      <c r="MBL29" s="191"/>
      <c r="MBN29" s="191"/>
      <c r="MBO29" s="191"/>
      <c r="MBP29" s="191"/>
      <c r="MBR29" s="191"/>
      <c r="MBS29" s="191"/>
      <c r="MBT29" s="191"/>
      <c r="MBV29" s="191"/>
      <c r="MBW29" s="191"/>
      <c r="MBX29" s="191"/>
      <c r="MBZ29" s="191"/>
      <c r="MCA29" s="191"/>
      <c r="MCB29" s="191"/>
      <c r="MCD29" s="191"/>
      <c r="MCE29" s="191"/>
      <c r="MCF29" s="191"/>
      <c r="MCH29" s="191"/>
      <c r="MCI29" s="191"/>
      <c r="MCJ29" s="191"/>
      <c r="MCL29" s="191"/>
      <c r="MCM29" s="191"/>
      <c r="MCN29" s="191"/>
      <c r="MCP29" s="191"/>
      <c r="MCQ29" s="191"/>
      <c r="MCR29" s="191"/>
      <c r="MCT29" s="191"/>
      <c r="MCU29" s="191"/>
      <c r="MCV29" s="191"/>
      <c r="MCX29" s="191"/>
      <c r="MCY29" s="191"/>
      <c r="MCZ29" s="191"/>
      <c r="MDB29" s="191"/>
      <c r="MDC29" s="191"/>
      <c r="MDD29" s="191"/>
      <c r="MDF29" s="191"/>
      <c r="MDG29" s="191"/>
      <c r="MDH29" s="191"/>
      <c r="MDJ29" s="191"/>
      <c r="MDK29" s="191"/>
      <c r="MDL29" s="191"/>
      <c r="MDN29" s="191"/>
      <c r="MDO29" s="191"/>
      <c r="MDP29" s="191"/>
      <c r="MDR29" s="191"/>
      <c r="MDS29" s="191"/>
      <c r="MDT29" s="191"/>
      <c r="MDV29" s="191"/>
      <c r="MDW29" s="191"/>
      <c r="MDX29" s="191"/>
      <c r="MDZ29" s="191"/>
      <c r="MEA29" s="191"/>
      <c r="MEB29" s="191"/>
      <c r="MED29" s="191"/>
      <c r="MEE29" s="191"/>
      <c r="MEF29" s="191"/>
      <c r="MEH29" s="191"/>
      <c r="MEI29" s="191"/>
      <c r="MEJ29" s="191"/>
      <c r="MEL29" s="191"/>
      <c r="MEM29" s="191"/>
      <c r="MEN29" s="191"/>
      <c r="MEP29" s="191"/>
      <c r="MEQ29" s="191"/>
      <c r="MER29" s="191"/>
      <c r="MET29" s="191"/>
      <c r="MEU29" s="191"/>
      <c r="MEV29" s="191"/>
      <c r="MEX29" s="191"/>
      <c r="MEY29" s="191"/>
      <c r="MEZ29" s="191"/>
      <c r="MFB29" s="191"/>
      <c r="MFC29" s="191"/>
      <c r="MFD29" s="191"/>
      <c r="MFF29" s="191"/>
      <c r="MFG29" s="191"/>
      <c r="MFH29" s="191"/>
      <c r="MFJ29" s="191"/>
      <c r="MFK29" s="191"/>
      <c r="MFL29" s="191"/>
      <c r="MFN29" s="191"/>
      <c r="MFO29" s="191"/>
      <c r="MFP29" s="191"/>
      <c r="MFR29" s="191"/>
      <c r="MFS29" s="191"/>
      <c r="MFT29" s="191"/>
      <c r="MFV29" s="191"/>
      <c r="MFW29" s="191"/>
      <c r="MFX29" s="191"/>
      <c r="MFZ29" s="191"/>
      <c r="MGA29" s="191"/>
      <c r="MGB29" s="191"/>
      <c r="MGD29" s="191"/>
      <c r="MGE29" s="191"/>
      <c r="MGF29" s="191"/>
      <c r="MGH29" s="191"/>
      <c r="MGI29" s="191"/>
      <c r="MGJ29" s="191"/>
      <c r="MGL29" s="191"/>
      <c r="MGM29" s="191"/>
      <c r="MGN29" s="191"/>
      <c r="MGP29" s="191"/>
      <c r="MGQ29" s="191"/>
      <c r="MGR29" s="191"/>
      <c r="MGT29" s="191"/>
      <c r="MGU29" s="191"/>
      <c r="MGV29" s="191"/>
      <c r="MGX29" s="191"/>
      <c r="MGY29" s="191"/>
      <c r="MGZ29" s="191"/>
      <c r="MHB29" s="191"/>
      <c r="MHC29" s="191"/>
      <c r="MHD29" s="191"/>
      <c r="MHF29" s="191"/>
      <c r="MHG29" s="191"/>
      <c r="MHH29" s="191"/>
      <c r="MHJ29" s="191"/>
      <c r="MHK29" s="191"/>
      <c r="MHL29" s="191"/>
      <c r="MHN29" s="191"/>
      <c r="MHO29" s="191"/>
      <c r="MHP29" s="191"/>
      <c r="MHR29" s="191"/>
      <c r="MHS29" s="191"/>
      <c r="MHT29" s="191"/>
      <c r="MHV29" s="191"/>
      <c r="MHW29" s="191"/>
      <c r="MHX29" s="191"/>
      <c r="MHZ29" s="191"/>
      <c r="MIA29" s="191"/>
      <c r="MIB29" s="191"/>
      <c r="MID29" s="191"/>
      <c r="MIE29" s="191"/>
      <c r="MIF29" s="191"/>
      <c r="MIH29" s="191"/>
      <c r="MII29" s="191"/>
      <c r="MIJ29" s="191"/>
      <c r="MIL29" s="191"/>
      <c r="MIM29" s="191"/>
      <c r="MIN29" s="191"/>
      <c r="MIP29" s="191"/>
      <c r="MIQ29" s="191"/>
      <c r="MIR29" s="191"/>
      <c r="MIT29" s="191"/>
      <c r="MIU29" s="191"/>
      <c r="MIV29" s="191"/>
      <c r="MIX29" s="191"/>
      <c r="MIY29" s="191"/>
      <c r="MIZ29" s="191"/>
      <c r="MJB29" s="191"/>
      <c r="MJC29" s="191"/>
      <c r="MJD29" s="191"/>
      <c r="MJF29" s="191"/>
      <c r="MJG29" s="191"/>
      <c r="MJH29" s="191"/>
      <c r="MJJ29" s="191"/>
      <c r="MJK29" s="191"/>
      <c r="MJL29" s="191"/>
      <c r="MJN29" s="191"/>
      <c r="MJO29" s="191"/>
      <c r="MJP29" s="191"/>
      <c r="MJR29" s="191"/>
      <c r="MJS29" s="191"/>
      <c r="MJT29" s="191"/>
      <c r="MJV29" s="191"/>
      <c r="MJW29" s="191"/>
      <c r="MJX29" s="191"/>
      <c r="MJZ29" s="191"/>
      <c r="MKA29" s="191"/>
      <c r="MKB29" s="191"/>
      <c r="MKD29" s="191"/>
      <c r="MKE29" s="191"/>
      <c r="MKF29" s="191"/>
      <c r="MKH29" s="191"/>
      <c r="MKI29" s="191"/>
      <c r="MKJ29" s="191"/>
      <c r="MKL29" s="191"/>
      <c r="MKM29" s="191"/>
      <c r="MKN29" s="191"/>
      <c r="MKP29" s="191"/>
      <c r="MKQ29" s="191"/>
      <c r="MKR29" s="191"/>
      <c r="MKT29" s="191"/>
      <c r="MKU29" s="191"/>
      <c r="MKV29" s="191"/>
      <c r="MKX29" s="191"/>
      <c r="MKY29" s="191"/>
      <c r="MKZ29" s="191"/>
      <c r="MLB29" s="191"/>
      <c r="MLC29" s="191"/>
      <c r="MLD29" s="191"/>
      <c r="MLF29" s="191"/>
      <c r="MLG29" s="191"/>
      <c r="MLH29" s="191"/>
      <c r="MLJ29" s="191"/>
      <c r="MLK29" s="191"/>
      <c r="MLL29" s="191"/>
      <c r="MLN29" s="191"/>
      <c r="MLO29" s="191"/>
      <c r="MLP29" s="191"/>
      <c r="MLR29" s="191"/>
      <c r="MLS29" s="191"/>
      <c r="MLT29" s="191"/>
      <c r="MLV29" s="191"/>
      <c r="MLW29" s="191"/>
      <c r="MLX29" s="191"/>
      <c r="MLZ29" s="191"/>
      <c r="MMA29" s="191"/>
      <c r="MMB29" s="191"/>
      <c r="MMD29" s="191"/>
      <c r="MME29" s="191"/>
      <c r="MMF29" s="191"/>
      <c r="MMH29" s="191"/>
      <c r="MMI29" s="191"/>
      <c r="MMJ29" s="191"/>
      <c r="MML29" s="191"/>
      <c r="MMM29" s="191"/>
      <c r="MMN29" s="191"/>
      <c r="MMP29" s="191"/>
      <c r="MMQ29" s="191"/>
      <c r="MMR29" s="191"/>
      <c r="MMT29" s="191"/>
      <c r="MMU29" s="191"/>
      <c r="MMV29" s="191"/>
      <c r="MMX29" s="191"/>
      <c r="MMY29" s="191"/>
      <c r="MMZ29" s="191"/>
      <c r="MNB29" s="191"/>
      <c r="MNC29" s="191"/>
      <c r="MND29" s="191"/>
      <c r="MNF29" s="191"/>
      <c r="MNG29" s="191"/>
      <c r="MNH29" s="191"/>
      <c r="MNJ29" s="191"/>
      <c r="MNK29" s="191"/>
      <c r="MNL29" s="191"/>
      <c r="MNN29" s="191"/>
      <c r="MNO29" s="191"/>
      <c r="MNP29" s="191"/>
      <c r="MNR29" s="191"/>
      <c r="MNS29" s="191"/>
      <c r="MNT29" s="191"/>
      <c r="MNV29" s="191"/>
      <c r="MNW29" s="191"/>
      <c r="MNX29" s="191"/>
      <c r="MNZ29" s="191"/>
      <c r="MOA29" s="191"/>
      <c r="MOB29" s="191"/>
      <c r="MOD29" s="191"/>
      <c r="MOE29" s="191"/>
      <c r="MOF29" s="191"/>
      <c r="MOH29" s="191"/>
      <c r="MOI29" s="191"/>
      <c r="MOJ29" s="191"/>
      <c r="MOL29" s="191"/>
      <c r="MOM29" s="191"/>
      <c r="MON29" s="191"/>
      <c r="MOP29" s="191"/>
      <c r="MOQ29" s="191"/>
      <c r="MOR29" s="191"/>
      <c r="MOT29" s="191"/>
      <c r="MOU29" s="191"/>
      <c r="MOV29" s="191"/>
      <c r="MOX29" s="191"/>
      <c r="MOY29" s="191"/>
      <c r="MOZ29" s="191"/>
      <c r="MPB29" s="191"/>
      <c r="MPC29" s="191"/>
      <c r="MPD29" s="191"/>
      <c r="MPF29" s="191"/>
      <c r="MPG29" s="191"/>
      <c r="MPH29" s="191"/>
      <c r="MPJ29" s="191"/>
      <c r="MPK29" s="191"/>
      <c r="MPL29" s="191"/>
      <c r="MPN29" s="191"/>
      <c r="MPO29" s="191"/>
      <c r="MPP29" s="191"/>
      <c r="MPR29" s="191"/>
      <c r="MPS29" s="191"/>
      <c r="MPT29" s="191"/>
      <c r="MPV29" s="191"/>
      <c r="MPW29" s="191"/>
      <c r="MPX29" s="191"/>
      <c r="MPZ29" s="191"/>
      <c r="MQA29" s="191"/>
      <c r="MQB29" s="191"/>
      <c r="MQD29" s="191"/>
      <c r="MQE29" s="191"/>
      <c r="MQF29" s="191"/>
      <c r="MQH29" s="191"/>
      <c r="MQI29" s="191"/>
      <c r="MQJ29" s="191"/>
      <c r="MQL29" s="191"/>
      <c r="MQM29" s="191"/>
      <c r="MQN29" s="191"/>
      <c r="MQP29" s="191"/>
      <c r="MQQ29" s="191"/>
      <c r="MQR29" s="191"/>
      <c r="MQT29" s="191"/>
      <c r="MQU29" s="191"/>
      <c r="MQV29" s="191"/>
      <c r="MQX29" s="191"/>
      <c r="MQY29" s="191"/>
      <c r="MQZ29" s="191"/>
      <c r="MRB29" s="191"/>
      <c r="MRC29" s="191"/>
      <c r="MRD29" s="191"/>
      <c r="MRF29" s="191"/>
      <c r="MRG29" s="191"/>
      <c r="MRH29" s="191"/>
      <c r="MRJ29" s="191"/>
      <c r="MRK29" s="191"/>
      <c r="MRL29" s="191"/>
      <c r="MRN29" s="191"/>
      <c r="MRO29" s="191"/>
      <c r="MRP29" s="191"/>
      <c r="MRR29" s="191"/>
      <c r="MRS29" s="191"/>
      <c r="MRT29" s="191"/>
      <c r="MRV29" s="191"/>
      <c r="MRW29" s="191"/>
      <c r="MRX29" s="191"/>
      <c r="MRZ29" s="191"/>
      <c r="MSA29" s="191"/>
      <c r="MSB29" s="191"/>
      <c r="MSD29" s="191"/>
      <c r="MSE29" s="191"/>
      <c r="MSF29" s="191"/>
      <c r="MSH29" s="191"/>
      <c r="MSI29" s="191"/>
      <c r="MSJ29" s="191"/>
      <c r="MSL29" s="191"/>
      <c r="MSM29" s="191"/>
      <c r="MSN29" s="191"/>
      <c r="MSP29" s="191"/>
      <c r="MSQ29" s="191"/>
      <c r="MSR29" s="191"/>
      <c r="MST29" s="191"/>
      <c r="MSU29" s="191"/>
      <c r="MSV29" s="191"/>
      <c r="MSX29" s="191"/>
      <c r="MSY29" s="191"/>
      <c r="MSZ29" s="191"/>
      <c r="MTB29" s="191"/>
      <c r="MTC29" s="191"/>
      <c r="MTD29" s="191"/>
      <c r="MTF29" s="191"/>
      <c r="MTG29" s="191"/>
      <c r="MTH29" s="191"/>
      <c r="MTJ29" s="191"/>
      <c r="MTK29" s="191"/>
      <c r="MTL29" s="191"/>
      <c r="MTN29" s="191"/>
      <c r="MTO29" s="191"/>
      <c r="MTP29" s="191"/>
      <c r="MTR29" s="191"/>
      <c r="MTS29" s="191"/>
      <c r="MTT29" s="191"/>
      <c r="MTV29" s="191"/>
      <c r="MTW29" s="191"/>
      <c r="MTX29" s="191"/>
      <c r="MTZ29" s="191"/>
      <c r="MUA29" s="191"/>
      <c r="MUB29" s="191"/>
      <c r="MUD29" s="191"/>
      <c r="MUE29" s="191"/>
      <c r="MUF29" s="191"/>
      <c r="MUH29" s="191"/>
      <c r="MUI29" s="191"/>
      <c r="MUJ29" s="191"/>
      <c r="MUL29" s="191"/>
      <c r="MUM29" s="191"/>
      <c r="MUN29" s="191"/>
      <c r="MUP29" s="191"/>
      <c r="MUQ29" s="191"/>
      <c r="MUR29" s="191"/>
      <c r="MUT29" s="191"/>
      <c r="MUU29" s="191"/>
      <c r="MUV29" s="191"/>
      <c r="MUX29" s="191"/>
      <c r="MUY29" s="191"/>
      <c r="MUZ29" s="191"/>
      <c r="MVB29" s="191"/>
      <c r="MVC29" s="191"/>
      <c r="MVD29" s="191"/>
      <c r="MVF29" s="191"/>
      <c r="MVG29" s="191"/>
      <c r="MVH29" s="191"/>
      <c r="MVJ29" s="191"/>
      <c r="MVK29" s="191"/>
      <c r="MVL29" s="191"/>
      <c r="MVN29" s="191"/>
      <c r="MVO29" s="191"/>
      <c r="MVP29" s="191"/>
      <c r="MVR29" s="191"/>
      <c r="MVS29" s="191"/>
      <c r="MVT29" s="191"/>
      <c r="MVV29" s="191"/>
      <c r="MVW29" s="191"/>
      <c r="MVX29" s="191"/>
      <c r="MVZ29" s="191"/>
      <c r="MWA29" s="191"/>
      <c r="MWB29" s="191"/>
      <c r="MWD29" s="191"/>
      <c r="MWE29" s="191"/>
      <c r="MWF29" s="191"/>
      <c r="MWH29" s="191"/>
      <c r="MWI29" s="191"/>
      <c r="MWJ29" s="191"/>
      <c r="MWL29" s="191"/>
      <c r="MWM29" s="191"/>
      <c r="MWN29" s="191"/>
      <c r="MWP29" s="191"/>
      <c r="MWQ29" s="191"/>
      <c r="MWR29" s="191"/>
      <c r="MWT29" s="191"/>
      <c r="MWU29" s="191"/>
      <c r="MWV29" s="191"/>
      <c r="MWX29" s="191"/>
      <c r="MWY29" s="191"/>
      <c r="MWZ29" s="191"/>
      <c r="MXB29" s="191"/>
      <c r="MXC29" s="191"/>
      <c r="MXD29" s="191"/>
      <c r="MXF29" s="191"/>
      <c r="MXG29" s="191"/>
      <c r="MXH29" s="191"/>
      <c r="MXJ29" s="191"/>
      <c r="MXK29" s="191"/>
      <c r="MXL29" s="191"/>
      <c r="MXN29" s="191"/>
      <c r="MXO29" s="191"/>
      <c r="MXP29" s="191"/>
      <c r="MXR29" s="191"/>
      <c r="MXS29" s="191"/>
      <c r="MXT29" s="191"/>
      <c r="MXV29" s="191"/>
      <c r="MXW29" s="191"/>
      <c r="MXX29" s="191"/>
      <c r="MXZ29" s="191"/>
      <c r="MYA29" s="191"/>
      <c r="MYB29" s="191"/>
      <c r="MYD29" s="191"/>
      <c r="MYE29" s="191"/>
      <c r="MYF29" s="191"/>
      <c r="MYH29" s="191"/>
      <c r="MYI29" s="191"/>
      <c r="MYJ29" s="191"/>
      <c r="MYL29" s="191"/>
      <c r="MYM29" s="191"/>
      <c r="MYN29" s="191"/>
      <c r="MYP29" s="191"/>
      <c r="MYQ29" s="191"/>
      <c r="MYR29" s="191"/>
      <c r="MYT29" s="191"/>
      <c r="MYU29" s="191"/>
      <c r="MYV29" s="191"/>
      <c r="MYX29" s="191"/>
      <c r="MYY29" s="191"/>
      <c r="MYZ29" s="191"/>
      <c r="MZB29" s="191"/>
      <c r="MZC29" s="191"/>
      <c r="MZD29" s="191"/>
      <c r="MZF29" s="191"/>
      <c r="MZG29" s="191"/>
      <c r="MZH29" s="191"/>
      <c r="MZJ29" s="191"/>
      <c r="MZK29" s="191"/>
      <c r="MZL29" s="191"/>
      <c r="MZN29" s="191"/>
      <c r="MZO29" s="191"/>
      <c r="MZP29" s="191"/>
      <c r="MZR29" s="191"/>
      <c r="MZS29" s="191"/>
      <c r="MZT29" s="191"/>
      <c r="MZV29" s="191"/>
      <c r="MZW29" s="191"/>
      <c r="MZX29" s="191"/>
      <c r="MZZ29" s="191"/>
      <c r="NAA29" s="191"/>
      <c r="NAB29" s="191"/>
      <c r="NAD29" s="191"/>
      <c r="NAE29" s="191"/>
      <c r="NAF29" s="191"/>
      <c r="NAH29" s="191"/>
      <c r="NAI29" s="191"/>
      <c r="NAJ29" s="191"/>
      <c r="NAL29" s="191"/>
      <c r="NAM29" s="191"/>
      <c r="NAN29" s="191"/>
      <c r="NAP29" s="191"/>
      <c r="NAQ29" s="191"/>
      <c r="NAR29" s="191"/>
      <c r="NAT29" s="191"/>
      <c r="NAU29" s="191"/>
      <c r="NAV29" s="191"/>
      <c r="NAX29" s="191"/>
      <c r="NAY29" s="191"/>
      <c r="NAZ29" s="191"/>
      <c r="NBB29" s="191"/>
      <c r="NBC29" s="191"/>
      <c r="NBD29" s="191"/>
      <c r="NBF29" s="191"/>
      <c r="NBG29" s="191"/>
      <c r="NBH29" s="191"/>
      <c r="NBJ29" s="191"/>
      <c r="NBK29" s="191"/>
      <c r="NBL29" s="191"/>
      <c r="NBN29" s="191"/>
      <c r="NBO29" s="191"/>
      <c r="NBP29" s="191"/>
      <c r="NBR29" s="191"/>
      <c r="NBS29" s="191"/>
      <c r="NBT29" s="191"/>
      <c r="NBV29" s="191"/>
      <c r="NBW29" s="191"/>
      <c r="NBX29" s="191"/>
      <c r="NBZ29" s="191"/>
      <c r="NCA29" s="191"/>
      <c r="NCB29" s="191"/>
      <c r="NCD29" s="191"/>
      <c r="NCE29" s="191"/>
      <c r="NCF29" s="191"/>
      <c r="NCH29" s="191"/>
      <c r="NCI29" s="191"/>
      <c r="NCJ29" s="191"/>
      <c r="NCL29" s="191"/>
      <c r="NCM29" s="191"/>
      <c r="NCN29" s="191"/>
      <c r="NCP29" s="191"/>
      <c r="NCQ29" s="191"/>
      <c r="NCR29" s="191"/>
      <c r="NCT29" s="191"/>
      <c r="NCU29" s="191"/>
      <c r="NCV29" s="191"/>
      <c r="NCX29" s="191"/>
      <c r="NCY29" s="191"/>
      <c r="NCZ29" s="191"/>
      <c r="NDB29" s="191"/>
      <c r="NDC29" s="191"/>
      <c r="NDD29" s="191"/>
      <c r="NDF29" s="191"/>
      <c r="NDG29" s="191"/>
      <c r="NDH29" s="191"/>
      <c r="NDJ29" s="191"/>
      <c r="NDK29" s="191"/>
      <c r="NDL29" s="191"/>
      <c r="NDN29" s="191"/>
      <c r="NDO29" s="191"/>
      <c r="NDP29" s="191"/>
      <c r="NDR29" s="191"/>
      <c r="NDS29" s="191"/>
      <c r="NDT29" s="191"/>
      <c r="NDV29" s="191"/>
      <c r="NDW29" s="191"/>
      <c r="NDX29" s="191"/>
      <c r="NDZ29" s="191"/>
      <c r="NEA29" s="191"/>
      <c r="NEB29" s="191"/>
      <c r="NED29" s="191"/>
      <c r="NEE29" s="191"/>
      <c r="NEF29" s="191"/>
      <c r="NEH29" s="191"/>
      <c r="NEI29" s="191"/>
      <c r="NEJ29" s="191"/>
      <c r="NEL29" s="191"/>
      <c r="NEM29" s="191"/>
      <c r="NEN29" s="191"/>
      <c r="NEP29" s="191"/>
      <c r="NEQ29" s="191"/>
      <c r="NER29" s="191"/>
      <c r="NET29" s="191"/>
      <c r="NEU29" s="191"/>
      <c r="NEV29" s="191"/>
      <c r="NEX29" s="191"/>
      <c r="NEY29" s="191"/>
      <c r="NEZ29" s="191"/>
      <c r="NFB29" s="191"/>
      <c r="NFC29" s="191"/>
      <c r="NFD29" s="191"/>
      <c r="NFF29" s="191"/>
      <c r="NFG29" s="191"/>
      <c r="NFH29" s="191"/>
      <c r="NFJ29" s="191"/>
      <c r="NFK29" s="191"/>
      <c r="NFL29" s="191"/>
      <c r="NFN29" s="191"/>
      <c r="NFO29" s="191"/>
      <c r="NFP29" s="191"/>
      <c r="NFR29" s="191"/>
      <c r="NFS29" s="191"/>
      <c r="NFT29" s="191"/>
      <c r="NFV29" s="191"/>
      <c r="NFW29" s="191"/>
      <c r="NFX29" s="191"/>
      <c r="NFZ29" s="191"/>
      <c r="NGA29" s="191"/>
      <c r="NGB29" s="191"/>
      <c r="NGD29" s="191"/>
      <c r="NGE29" s="191"/>
      <c r="NGF29" s="191"/>
      <c r="NGH29" s="191"/>
      <c r="NGI29" s="191"/>
      <c r="NGJ29" s="191"/>
      <c r="NGL29" s="191"/>
      <c r="NGM29" s="191"/>
      <c r="NGN29" s="191"/>
      <c r="NGP29" s="191"/>
      <c r="NGQ29" s="191"/>
      <c r="NGR29" s="191"/>
      <c r="NGT29" s="191"/>
      <c r="NGU29" s="191"/>
      <c r="NGV29" s="191"/>
      <c r="NGX29" s="191"/>
      <c r="NGY29" s="191"/>
      <c r="NGZ29" s="191"/>
      <c r="NHB29" s="191"/>
      <c r="NHC29" s="191"/>
      <c r="NHD29" s="191"/>
      <c r="NHF29" s="191"/>
      <c r="NHG29" s="191"/>
      <c r="NHH29" s="191"/>
      <c r="NHJ29" s="191"/>
      <c r="NHK29" s="191"/>
      <c r="NHL29" s="191"/>
      <c r="NHN29" s="191"/>
      <c r="NHO29" s="191"/>
      <c r="NHP29" s="191"/>
      <c r="NHR29" s="191"/>
      <c r="NHS29" s="191"/>
      <c r="NHT29" s="191"/>
      <c r="NHV29" s="191"/>
      <c r="NHW29" s="191"/>
      <c r="NHX29" s="191"/>
      <c r="NHZ29" s="191"/>
      <c r="NIA29" s="191"/>
      <c r="NIB29" s="191"/>
      <c r="NID29" s="191"/>
      <c r="NIE29" s="191"/>
      <c r="NIF29" s="191"/>
      <c r="NIH29" s="191"/>
      <c r="NII29" s="191"/>
      <c r="NIJ29" s="191"/>
      <c r="NIL29" s="191"/>
      <c r="NIM29" s="191"/>
      <c r="NIN29" s="191"/>
      <c r="NIP29" s="191"/>
      <c r="NIQ29" s="191"/>
      <c r="NIR29" s="191"/>
      <c r="NIT29" s="191"/>
      <c r="NIU29" s="191"/>
      <c r="NIV29" s="191"/>
      <c r="NIX29" s="191"/>
      <c r="NIY29" s="191"/>
      <c r="NIZ29" s="191"/>
      <c r="NJB29" s="191"/>
      <c r="NJC29" s="191"/>
      <c r="NJD29" s="191"/>
      <c r="NJF29" s="191"/>
      <c r="NJG29" s="191"/>
      <c r="NJH29" s="191"/>
      <c r="NJJ29" s="191"/>
      <c r="NJK29" s="191"/>
      <c r="NJL29" s="191"/>
      <c r="NJN29" s="191"/>
      <c r="NJO29" s="191"/>
      <c r="NJP29" s="191"/>
      <c r="NJR29" s="191"/>
      <c r="NJS29" s="191"/>
      <c r="NJT29" s="191"/>
      <c r="NJV29" s="191"/>
      <c r="NJW29" s="191"/>
      <c r="NJX29" s="191"/>
      <c r="NJZ29" s="191"/>
      <c r="NKA29" s="191"/>
      <c r="NKB29" s="191"/>
      <c r="NKD29" s="191"/>
      <c r="NKE29" s="191"/>
      <c r="NKF29" s="191"/>
      <c r="NKH29" s="191"/>
      <c r="NKI29" s="191"/>
      <c r="NKJ29" s="191"/>
      <c r="NKL29" s="191"/>
      <c r="NKM29" s="191"/>
      <c r="NKN29" s="191"/>
      <c r="NKP29" s="191"/>
      <c r="NKQ29" s="191"/>
      <c r="NKR29" s="191"/>
      <c r="NKT29" s="191"/>
      <c r="NKU29" s="191"/>
      <c r="NKV29" s="191"/>
      <c r="NKX29" s="191"/>
      <c r="NKY29" s="191"/>
      <c r="NKZ29" s="191"/>
      <c r="NLB29" s="191"/>
      <c r="NLC29" s="191"/>
      <c r="NLD29" s="191"/>
      <c r="NLF29" s="191"/>
      <c r="NLG29" s="191"/>
      <c r="NLH29" s="191"/>
      <c r="NLJ29" s="191"/>
      <c r="NLK29" s="191"/>
      <c r="NLL29" s="191"/>
      <c r="NLN29" s="191"/>
      <c r="NLO29" s="191"/>
      <c r="NLP29" s="191"/>
      <c r="NLR29" s="191"/>
      <c r="NLS29" s="191"/>
      <c r="NLT29" s="191"/>
      <c r="NLV29" s="191"/>
      <c r="NLW29" s="191"/>
      <c r="NLX29" s="191"/>
      <c r="NLZ29" s="191"/>
      <c r="NMA29" s="191"/>
      <c r="NMB29" s="191"/>
      <c r="NMD29" s="191"/>
      <c r="NME29" s="191"/>
      <c r="NMF29" s="191"/>
      <c r="NMH29" s="191"/>
      <c r="NMI29" s="191"/>
      <c r="NMJ29" s="191"/>
      <c r="NML29" s="191"/>
      <c r="NMM29" s="191"/>
      <c r="NMN29" s="191"/>
      <c r="NMP29" s="191"/>
      <c r="NMQ29" s="191"/>
      <c r="NMR29" s="191"/>
      <c r="NMT29" s="191"/>
      <c r="NMU29" s="191"/>
      <c r="NMV29" s="191"/>
      <c r="NMX29" s="191"/>
      <c r="NMY29" s="191"/>
      <c r="NMZ29" s="191"/>
      <c r="NNB29" s="191"/>
      <c r="NNC29" s="191"/>
      <c r="NND29" s="191"/>
      <c r="NNF29" s="191"/>
      <c r="NNG29" s="191"/>
      <c r="NNH29" s="191"/>
      <c r="NNJ29" s="191"/>
      <c r="NNK29" s="191"/>
      <c r="NNL29" s="191"/>
      <c r="NNN29" s="191"/>
      <c r="NNO29" s="191"/>
      <c r="NNP29" s="191"/>
      <c r="NNR29" s="191"/>
      <c r="NNS29" s="191"/>
      <c r="NNT29" s="191"/>
      <c r="NNV29" s="191"/>
      <c r="NNW29" s="191"/>
      <c r="NNX29" s="191"/>
      <c r="NNZ29" s="191"/>
      <c r="NOA29" s="191"/>
      <c r="NOB29" s="191"/>
      <c r="NOD29" s="191"/>
      <c r="NOE29" s="191"/>
      <c r="NOF29" s="191"/>
      <c r="NOH29" s="191"/>
      <c r="NOI29" s="191"/>
      <c r="NOJ29" s="191"/>
      <c r="NOL29" s="191"/>
      <c r="NOM29" s="191"/>
      <c r="NON29" s="191"/>
      <c r="NOP29" s="191"/>
      <c r="NOQ29" s="191"/>
      <c r="NOR29" s="191"/>
      <c r="NOT29" s="191"/>
      <c r="NOU29" s="191"/>
      <c r="NOV29" s="191"/>
      <c r="NOX29" s="191"/>
      <c r="NOY29" s="191"/>
      <c r="NOZ29" s="191"/>
      <c r="NPB29" s="191"/>
      <c r="NPC29" s="191"/>
      <c r="NPD29" s="191"/>
      <c r="NPF29" s="191"/>
      <c r="NPG29" s="191"/>
      <c r="NPH29" s="191"/>
      <c r="NPJ29" s="191"/>
      <c r="NPK29" s="191"/>
      <c r="NPL29" s="191"/>
      <c r="NPN29" s="191"/>
      <c r="NPO29" s="191"/>
      <c r="NPP29" s="191"/>
      <c r="NPR29" s="191"/>
      <c r="NPS29" s="191"/>
      <c r="NPT29" s="191"/>
      <c r="NPV29" s="191"/>
      <c r="NPW29" s="191"/>
      <c r="NPX29" s="191"/>
      <c r="NPZ29" s="191"/>
      <c r="NQA29" s="191"/>
      <c r="NQB29" s="191"/>
      <c r="NQD29" s="191"/>
      <c r="NQE29" s="191"/>
      <c r="NQF29" s="191"/>
      <c r="NQH29" s="191"/>
      <c r="NQI29" s="191"/>
      <c r="NQJ29" s="191"/>
      <c r="NQL29" s="191"/>
      <c r="NQM29" s="191"/>
      <c r="NQN29" s="191"/>
      <c r="NQP29" s="191"/>
      <c r="NQQ29" s="191"/>
      <c r="NQR29" s="191"/>
      <c r="NQT29" s="191"/>
      <c r="NQU29" s="191"/>
      <c r="NQV29" s="191"/>
      <c r="NQX29" s="191"/>
      <c r="NQY29" s="191"/>
      <c r="NQZ29" s="191"/>
      <c r="NRB29" s="191"/>
      <c r="NRC29" s="191"/>
      <c r="NRD29" s="191"/>
      <c r="NRF29" s="191"/>
      <c r="NRG29" s="191"/>
      <c r="NRH29" s="191"/>
      <c r="NRJ29" s="191"/>
      <c r="NRK29" s="191"/>
      <c r="NRL29" s="191"/>
      <c r="NRN29" s="191"/>
      <c r="NRO29" s="191"/>
      <c r="NRP29" s="191"/>
      <c r="NRR29" s="191"/>
      <c r="NRS29" s="191"/>
      <c r="NRT29" s="191"/>
      <c r="NRV29" s="191"/>
      <c r="NRW29" s="191"/>
      <c r="NRX29" s="191"/>
      <c r="NRZ29" s="191"/>
      <c r="NSA29" s="191"/>
      <c r="NSB29" s="191"/>
      <c r="NSD29" s="191"/>
      <c r="NSE29" s="191"/>
      <c r="NSF29" s="191"/>
      <c r="NSH29" s="191"/>
      <c r="NSI29" s="191"/>
      <c r="NSJ29" s="191"/>
      <c r="NSL29" s="191"/>
      <c r="NSM29" s="191"/>
      <c r="NSN29" s="191"/>
      <c r="NSP29" s="191"/>
      <c r="NSQ29" s="191"/>
      <c r="NSR29" s="191"/>
      <c r="NST29" s="191"/>
      <c r="NSU29" s="191"/>
      <c r="NSV29" s="191"/>
      <c r="NSX29" s="191"/>
      <c r="NSY29" s="191"/>
      <c r="NSZ29" s="191"/>
      <c r="NTB29" s="191"/>
      <c r="NTC29" s="191"/>
      <c r="NTD29" s="191"/>
      <c r="NTF29" s="191"/>
      <c r="NTG29" s="191"/>
      <c r="NTH29" s="191"/>
      <c r="NTJ29" s="191"/>
      <c r="NTK29" s="191"/>
      <c r="NTL29" s="191"/>
      <c r="NTN29" s="191"/>
      <c r="NTO29" s="191"/>
      <c r="NTP29" s="191"/>
      <c r="NTR29" s="191"/>
      <c r="NTS29" s="191"/>
      <c r="NTT29" s="191"/>
      <c r="NTV29" s="191"/>
      <c r="NTW29" s="191"/>
      <c r="NTX29" s="191"/>
      <c r="NTZ29" s="191"/>
      <c r="NUA29" s="191"/>
      <c r="NUB29" s="191"/>
      <c r="NUD29" s="191"/>
      <c r="NUE29" s="191"/>
      <c r="NUF29" s="191"/>
      <c r="NUH29" s="191"/>
      <c r="NUI29" s="191"/>
      <c r="NUJ29" s="191"/>
      <c r="NUL29" s="191"/>
      <c r="NUM29" s="191"/>
      <c r="NUN29" s="191"/>
      <c r="NUP29" s="191"/>
      <c r="NUQ29" s="191"/>
      <c r="NUR29" s="191"/>
      <c r="NUT29" s="191"/>
      <c r="NUU29" s="191"/>
      <c r="NUV29" s="191"/>
      <c r="NUX29" s="191"/>
      <c r="NUY29" s="191"/>
      <c r="NUZ29" s="191"/>
      <c r="NVB29" s="191"/>
      <c r="NVC29" s="191"/>
      <c r="NVD29" s="191"/>
      <c r="NVF29" s="191"/>
      <c r="NVG29" s="191"/>
      <c r="NVH29" s="191"/>
      <c r="NVJ29" s="191"/>
      <c r="NVK29" s="191"/>
      <c r="NVL29" s="191"/>
      <c r="NVN29" s="191"/>
      <c r="NVO29" s="191"/>
      <c r="NVP29" s="191"/>
      <c r="NVR29" s="191"/>
      <c r="NVS29" s="191"/>
      <c r="NVT29" s="191"/>
      <c r="NVV29" s="191"/>
      <c r="NVW29" s="191"/>
      <c r="NVX29" s="191"/>
      <c r="NVZ29" s="191"/>
      <c r="NWA29" s="191"/>
      <c r="NWB29" s="191"/>
      <c r="NWD29" s="191"/>
      <c r="NWE29" s="191"/>
      <c r="NWF29" s="191"/>
      <c r="NWH29" s="191"/>
      <c r="NWI29" s="191"/>
      <c r="NWJ29" s="191"/>
      <c r="NWL29" s="191"/>
      <c r="NWM29" s="191"/>
      <c r="NWN29" s="191"/>
      <c r="NWP29" s="191"/>
      <c r="NWQ29" s="191"/>
      <c r="NWR29" s="191"/>
      <c r="NWT29" s="191"/>
      <c r="NWU29" s="191"/>
      <c r="NWV29" s="191"/>
      <c r="NWX29" s="191"/>
      <c r="NWY29" s="191"/>
      <c r="NWZ29" s="191"/>
      <c r="NXB29" s="191"/>
      <c r="NXC29" s="191"/>
      <c r="NXD29" s="191"/>
      <c r="NXF29" s="191"/>
      <c r="NXG29" s="191"/>
      <c r="NXH29" s="191"/>
      <c r="NXJ29" s="191"/>
      <c r="NXK29" s="191"/>
      <c r="NXL29" s="191"/>
      <c r="NXN29" s="191"/>
      <c r="NXO29" s="191"/>
      <c r="NXP29" s="191"/>
      <c r="NXR29" s="191"/>
      <c r="NXS29" s="191"/>
      <c r="NXT29" s="191"/>
      <c r="NXV29" s="191"/>
      <c r="NXW29" s="191"/>
      <c r="NXX29" s="191"/>
      <c r="NXZ29" s="191"/>
      <c r="NYA29" s="191"/>
      <c r="NYB29" s="191"/>
      <c r="NYD29" s="191"/>
      <c r="NYE29" s="191"/>
      <c r="NYF29" s="191"/>
      <c r="NYH29" s="191"/>
      <c r="NYI29" s="191"/>
      <c r="NYJ29" s="191"/>
      <c r="NYL29" s="191"/>
      <c r="NYM29" s="191"/>
      <c r="NYN29" s="191"/>
      <c r="NYP29" s="191"/>
      <c r="NYQ29" s="191"/>
      <c r="NYR29" s="191"/>
      <c r="NYT29" s="191"/>
      <c r="NYU29" s="191"/>
      <c r="NYV29" s="191"/>
      <c r="NYX29" s="191"/>
      <c r="NYY29" s="191"/>
      <c r="NYZ29" s="191"/>
      <c r="NZB29" s="191"/>
      <c r="NZC29" s="191"/>
      <c r="NZD29" s="191"/>
      <c r="NZF29" s="191"/>
      <c r="NZG29" s="191"/>
      <c r="NZH29" s="191"/>
      <c r="NZJ29" s="191"/>
      <c r="NZK29" s="191"/>
      <c r="NZL29" s="191"/>
      <c r="NZN29" s="191"/>
      <c r="NZO29" s="191"/>
      <c r="NZP29" s="191"/>
      <c r="NZR29" s="191"/>
      <c r="NZS29" s="191"/>
      <c r="NZT29" s="191"/>
      <c r="NZV29" s="191"/>
      <c r="NZW29" s="191"/>
      <c r="NZX29" s="191"/>
      <c r="NZZ29" s="191"/>
      <c r="OAA29" s="191"/>
      <c r="OAB29" s="191"/>
      <c r="OAD29" s="191"/>
      <c r="OAE29" s="191"/>
      <c r="OAF29" s="191"/>
      <c r="OAH29" s="191"/>
      <c r="OAI29" s="191"/>
      <c r="OAJ29" s="191"/>
      <c r="OAL29" s="191"/>
      <c r="OAM29" s="191"/>
      <c r="OAN29" s="191"/>
      <c r="OAP29" s="191"/>
      <c r="OAQ29" s="191"/>
      <c r="OAR29" s="191"/>
      <c r="OAT29" s="191"/>
      <c r="OAU29" s="191"/>
      <c r="OAV29" s="191"/>
      <c r="OAX29" s="191"/>
      <c r="OAY29" s="191"/>
      <c r="OAZ29" s="191"/>
      <c r="OBB29" s="191"/>
      <c r="OBC29" s="191"/>
      <c r="OBD29" s="191"/>
      <c r="OBF29" s="191"/>
      <c r="OBG29" s="191"/>
      <c r="OBH29" s="191"/>
      <c r="OBJ29" s="191"/>
      <c r="OBK29" s="191"/>
      <c r="OBL29" s="191"/>
      <c r="OBN29" s="191"/>
      <c r="OBO29" s="191"/>
      <c r="OBP29" s="191"/>
      <c r="OBR29" s="191"/>
      <c r="OBS29" s="191"/>
      <c r="OBT29" s="191"/>
      <c r="OBV29" s="191"/>
      <c r="OBW29" s="191"/>
      <c r="OBX29" s="191"/>
      <c r="OBZ29" s="191"/>
      <c r="OCA29" s="191"/>
      <c r="OCB29" s="191"/>
      <c r="OCD29" s="191"/>
      <c r="OCE29" s="191"/>
      <c r="OCF29" s="191"/>
      <c r="OCH29" s="191"/>
      <c r="OCI29" s="191"/>
      <c r="OCJ29" s="191"/>
      <c r="OCL29" s="191"/>
      <c r="OCM29" s="191"/>
      <c r="OCN29" s="191"/>
      <c r="OCP29" s="191"/>
      <c r="OCQ29" s="191"/>
      <c r="OCR29" s="191"/>
      <c r="OCT29" s="191"/>
      <c r="OCU29" s="191"/>
      <c r="OCV29" s="191"/>
      <c r="OCX29" s="191"/>
      <c r="OCY29" s="191"/>
      <c r="OCZ29" s="191"/>
      <c r="ODB29" s="191"/>
      <c r="ODC29" s="191"/>
      <c r="ODD29" s="191"/>
      <c r="ODF29" s="191"/>
      <c r="ODG29" s="191"/>
      <c r="ODH29" s="191"/>
      <c r="ODJ29" s="191"/>
      <c r="ODK29" s="191"/>
      <c r="ODL29" s="191"/>
      <c r="ODN29" s="191"/>
      <c r="ODO29" s="191"/>
      <c r="ODP29" s="191"/>
      <c r="ODR29" s="191"/>
      <c r="ODS29" s="191"/>
      <c r="ODT29" s="191"/>
      <c r="ODV29" s="191"/>
      <c r="ODW29" s="191"/>
      <c r="ODX29" s="191"/>
      <c r="ODZ29" s="191"/>
      <c r="OEA29" s="191"/>
      <c r="OEB29" s="191"/>
      <c r="OED29" s="191"/>
      <c r="OEE29" s="191"/>
      <c r="OEF29" s="191"/>
      <c r="OEH29" s="191"/>
      <c r="OEI29" s="191"/>
      <c r="OEJ29" s="191"/>
      <c r="OEL29" s="191"/>
      <c r="OEM29" s="191"/>
      <c r="OEN29" s="191"/>
      <c r="OEP29" s="191"/>
      <c r="OEQ29" s="191"/>
      <c r="OER29" s="191"/>
      <c r="OET29" s="191"/>
      <c r="OEU29" s="191"/>
      <c r="OEV29" s="191"/>
      <c r="OEX29" s="191"/>
      <c r="OEY29" s="191"/>
      <c r="OEZ29" s="191"/>
      <c r="OFB29" s="191"/>
      <c r="OFC29" s="191"/>
      <c r="OFD29" s="191"/>
      <c r="OFF29" s="191"/>
      <c r="OFG29" s="191"/>
      <c r="OFH29" s="191"/>
      <c r="OFJ29" s="191"/>
      <c r="OFK29" s="191"/>
      <c r="OFL29" s="191"/>
      <c r="OFN29" s="191"/>
      <c r="OFO29" s="191"/>
      <c r="OFP29" s="191"/>
      <c r="OFR29" s="191"/>
      <c r="OFS29" s="191"/>
      <c r="OFT29" s="191"/>
      <c r="OFV29" s="191"/>
      <c r="OFW29" s="191"/>
      <c r="OFX29" s="191"/>
      <c r="OFZ29" s="191"/>
      <c r="OGA29" s="191"/>
      <c r="OGB29" s="191"/>
      <c r="OGD29" s="191"/>
      <c r="OGE29" s="191"/>
      <c r="OGF29" s="191"/>
      <c r="OGH29" s="191"/>
      <c r="OGI29" s="191"/>
      <c r="OGJ29" s="191"/>
      <c r="OGL29" s="191"/>
      <c r="OGM29" s="191"/>
      <c r="OGN29" s="191"/>
      <c r="OGP29" s="191"/>
      <c r="OGQ29" s="191"/>
      <c r="OGR29" s="191"/>
      <c r="OGT29" s="191"/>
      <c r="OGU29" s="191"/>
      <c r="OGV29" s="191"/>
      <c r="OGX29" s="191"/>
      <c r="OGY29" s="191"/>
      <c r="OGZ29" s="191"/>
      <c r="OHB29" s="191"/>
      <c r="OHC29" s="191"/>
      <c r="OHD29" s="191"/>
      <c r="OHF29" s="191"/>
      <c r="OHG29" s="191"/>
      <c r="OHH29" s="191"/>
      <c r="OHJ29" s="191"/>
      <c r="OHK29" s="191"/>
      <c r="OHL29" s="191"/>
      <c r="OHN29" s="191"/>
      <c r="OHO29" s="191"/>
      <c r="OHP29" s="191"/>
      <c r="OHR29" s="191"/>
      <c r="OHS29" s="191"/>
      <c r="OHT29" s="191"/>
      <c r="OHV29" s="191"/>
      <c r="OHW29" s="191"/>
      <c r="OHX29" s="191"/>
      <c r="OHZ29" s="191"/>
      <c r="OIA29" s="191"/>
      <c r="OIB29" s="191"/>
      <c r="OID29" s="191"/>
      <c r="OIE29" s="191"/>
      <c r="OIF29" s="191"/>
      <c r="OIH29" s="191"/>
      <c r="OII29" s="191"/>
      <c r="OIJ29" s="191"/>
      <c r="OIL29" s="191"/>
      <c r="OIM29" s="191"/>
      <c r="OIN29" s="191"/>
      <c r="OIP29" s="191"/>
      <c r="OIQ29" s="191"/>
      <c r="OIR29" s="191"/>
      <c r="OIT29" s="191"/>
      <c r="OIU29" s="191"/>
      <c r="OIV29" s="191"/>
      <c r="OIX29" s="191"/>
      <c r="OIY29" s="191"/>
      <c r="OIZ29" s="191"/>
      <c r="OJB29" s="191"/>
      <c r="OJC29" s="191"/>
      <c r="OJD29" s="191"/>
      <c r="OJF29" s="191"/>
      <c r="OJG29" s="191"/>
      <c r="OJH29" s="191"/>
      <c r="OJJ29" s="191"/>
      <c r="OJK29" s="191"/>
      <c r="OJL29" s="191"/>
      <c r="OJN29" s="191"/>
      <c r="OJO29" s="191"/>
      <c r="OJP29" s="191"/>
      <c r="OJR29" s="191"/>
      <c r="OJS29" s="191"/>
      <c r="OJT29" s="191"/>
      <c r="OJV29" s="191"/>
      <c r="OJW29" s="191"/>
      <c r="OJX29" s="191"/>
      <c r="OJZ29" s="191"/>
      <c r="OKA29" s="191"/>
      <c r="OKB29" s="191"/>
      <c r="OKD29" s="191"/>
      <c r="OKE29" s="191"/>
      <c r="OKF29" s="191"/>
      <c r="OKH29" s="191"/>
      <c r="OKI29" s="191"/>
      <c r="OKJ29" s="191"/>
      <c r="OKL29" s="191"/>
      <c r="OKM29" s="191"/>
      <c r="OKN29" s="191"/>
      <c r="OKP29" s="191"/>
      <c r="OKQ29" s="191"/>
      <c r="OKR29" s="191"/>
      <c r="OKT29" s="191"/>
      <c r="OKU29" s="191"/>
      <c r="OKV29" s="191"/>
      <c r="OKX29" s="191"/>
      <c r="OKY29" s="191"/>
      <c r="OKZ29" s="191"/>
      <c r="OLB29" s="191"/>
      <c r="OLC29" s="191"/>
      <c r="OLD29" s="191"/>
      <c r="OLF29" s="191"/>
      <c r="OLG29" s="191"/>
      <c r="OLH29" s="191"/>
      <c r="OLJ29" s="191"/>
      <c r="OLK29" s="191"/>
      <c r="OLL29" s="191"/>
      <c r="OLN29" s="191"/>
      <c r="OLO29" s="191"/>
      <c r="OLP29" s="191"/>
      <c r="OLR29" s="191"/>
      <c r="OLS29" s="191"/>
      <c r="OLT29" s="191"/>
      <c r="OLV29" s="191"/>
      <c r="OLW29" s="191"/>
      <c r="OLX29" s="191"/>
      <c r="OLZ29" s="191"/>
      <c r="OMA29" s="191"/>
      <c r="OMB29" s="191"/>
      <c r="OMD29" s="191"/>
      <c r="OME29" s="191"/>
      <c r="OMF29" s="191"/>
      <c r="OMH29" s="191"/>
      <c r="OMI29" s="191"/>
      <c r="OMJ29" s="191"/>
      <c r="OML29" s="191"/>
      <c r="OMM29" s="191"/>
      <c r="OMN29" s="191"/>
      <c r="OMP29" s="191"/>
      <c r="OMQ29" s="191"/>
      <c r="OMR29" s="191"/>
      <c r="OMT29" s="191"/>
      <c r="OMU29" s="191"/>
      <c r="OMV29" s="191"/>
      <c r="OMX29" s="191"/>
      <c r="OMY29" s="191"/>
      <c r="OMZ29" s="191"/>
      <c r="ONB29" s="191"/>
      <c r="ONC29" s="191"/>
      <c r="OND29" s="191"/>
      <c r="ONF29" s="191"/>
      <c r="ONG29" s="191"/>
      <c r="ONH29" s="191"/>
      <c r="ONJ29" s="191"/>
      <c r="ONK29" s="191"/>
      <c r="ONL29" s="191"/>
      <c r="ONN29" s="191"/>
      <c r="ONO29" s="191"/>
      <c r="ONP29" s="191"/>
      <c r="ONR29" s="191"/>
      <c r="ONS29" s="191"/>
      <c r="ONT29" s="191"/>
      <c r="ONV29" s="191"/>
      <c r="ONW29" s="191"/>
      <c r="ONX29" s="191"/>
      <c r="ONZ29" s="191"/>
      <c r="OOA29" s="191"/>
      <c r="OOB29" s="191"/>
      <c r="OOD29" s="191"/>
      <c r="OOE29" s="191"/>
      <c r="OOF29" s="191"/>
      <c r="OOH29" s="191"/>
      <c r="OOI29" s="191"/>
      <c r="OOJ29" s="191"/>
      <c r="OOL29" s="191"/>
      <c r="OOM29" s="191"/>
      <c r="OON29" s="191"/>
      <c r="OOP29" s="191"/>
      <c r="OOQ29" s="191"/>
      <c r="OOR29" s="191"/>
      <c r="OOT29" s="191"/>
      <c r="OOU29" s="191"/>
      <c r="OOV29" s="191"/>
      <c r="OOX29" s="191"/>
      <c r="OOY29" s="191"/>
      <c r="OOZ29" s="191"/>
      <c r="OPB29" s="191"/>
      <c r="OPC29" s="191"/>
      <c r="OPD29" s="191"/>
      <c r="OPF29" s="191"/>
      <c r="OPG29" s="191"/>
      <c r="OPH29" s="191"/>
      <c r="OPJ29" s="191"/>
      <c r="OPK29" s="191"/>
      <c r="OPL29" s="191"/>
      <c r="OPN29" s="191"/>
      <c r="OPO29" s="191"/>
      <c r="OPP29" s="191"/>
      <c r="OPR29" s="191"/>
      <c r="OPS29" s="191"/>
      <c r="OPT29" s="191"/>
      <c r="OPV29" s="191"/>
      <c r="OPW29" s="191"/>
      <c r="OPX29" s="191"/>
      <c r="OPZ29" s="191"/>
      <c r="OQA29" s="191"/>
      <c r="OQB29" s="191"/>
      <c r="OQD29" s="191"/>
      <c r="OQE29" s="191"/>
      <c r="OQF29" s="191"/>
      <c r="OQH29" s="191"/>
      <c r="OQI29" s="191"/>
      <c r="OQJ29" s="191"/>
      <c r="OQL29" s="191"/>
      <c r="OQM29" s="191"/>
      <c r="OQN29" s="191"/>
      <c r="OQP29" s="191"/>
      <c r="OQQ29" s="191"/>
      <c r="OQR29" s="191"/>
      <c r="OQT29" s="191"/>
      <c r="OQU29" s="191"/>
      <c r="OQV29" s="191"/>
      <c r="OQX29" s="191"/>
      <c r="OQY29" s="191"/>
      <c r="OQZ29" s="191"/>
      <c r="ORB29" s="191"/>
      <c r="ORC29" s="191"/>
      <c r="ORD29" s="191"/>
      <c r="ORF29" s="191"/>
      <c r="ORG29" s="191"/>
      <c r="ORH29" s="191"/>
      <c r="ORJ29" s="191"/>
      <c r="ORK29" s="191"/>
      <c r="ORL29" s="191"/>
      <c r="ORN29" s="191"/>
      <c r="ORO29" s="191"/>
      <c r="ORP29" s="191"/>
      <c r="ORR29" s="191"/>
      <c r="ORS29" s="191"/>
      <c r="ORT29" s="191"/>
      <c r="ORV29" s="191"/>
      <c r="ORW29" s="191"/>
      <c r="ORX29" s="191"/>
      <c r="ORZ29" s="191"/>
      <c r="OSA29" s="191"/>
      <c r="OSB29" s="191"/>
      <c r="OSD29" s="191"/>
      <c r="OSE29" s="191"/>
      <c r="OSF29" s="191"/>
      <c r="OSH29" s="191"/>
      <c r="OSI29" s="191"/>
      <c r="OSJ29" s="191"/>
      <c r="OSL29" s="191"/>
      <c r="OSM29" s="191"/>
      <c r="OSN29" s="191"/>
      <c r="OSP29" s="191"/>
      <c r="OSQ29" s="191"/>
      <c r="OSR29" s="191"/>
      <c r="OST29" s="191"/>
      <c r="OSU29" s="191"/>
      <c r="OSV29" s="191"/>
      <c r="OSX29" s="191"/>
      <c r="OSY29" s="191"/>
      <c r="OSZ29" s="191"/>
      <c r="OTB29" s="191"/>
      <c r="OTC29" s="191"/>
      <c r="OTD29" s="191"/>
      <c r="OTF29" s="191"/>
      <c r="OTG29" s="191"/>
      <c r="OTH29" s="191"/>
      <c r="OTJ29" s="191"/>
      <c r="OTK29" s="191"/>
      <c r="OTL29" s="191"/>
      <c r="OTN29" s="191"/>
      <c r="OTO29" s="191"/>
      <c r="OTP29" s="191"/>
      <c r="OTR29" s="191"/>
      <c r="OTS29" s="191"/>
      <c r="OTT29" s="191"/>
      <c r="OTV29" s="191"/>
      <c r="OTW29" s="191"/>
      <c r="OTX29" s="191"/>
      <c r="OTZ29" s="191"/>
      <c r="OUA29" s="191"/>
      <c r="OUB29" s="191"/>
      <c r="OUD29" s="191"/>
      <c r="OUE29" s="191"/>
      <c r="OUF29" s="191"/>
      <c r="OUH29" s="191"/>
      <c r="OUI29" s="191"/>
      <c r="OUJ29" s="191"/>
      <c r="OUL29" s="191"/>
      <c r="OUM29" s="191"/>
      <c r="OUN29" s="191"/>
      <c r="OUP29" s="191"/>
      <c r="OUQ29" s="191"/>
      <c r="OUR29" s="191"/>
      <c r="OUT29" s="191"/>
      <c r="OUU29" s="191"/>
      <c r="OUV29" s="191"/>
      <c r="OUX29" s="191"/>
      <c r="OUY29" s="191"/>
      <c r="OUZ29" s="191"/>
      <c r="OVB29" s="191"/>
      <c r="OVC29" s="191"/>
      <c r="OVD29" s="191"/>
      <c r="OVF29" s="191"/>
      <c r="OVG29" s="191"/>
      <c r="OVH29" s="191"/>
      <c r="OVJ29" s="191"/>
      <c r="OVK29" s="191"/>
      <c r="OVL29" s="191"/>
      <c r="OVN29" s="191"/>
      <c r="OVO29" s="191"/>
      <c r="OVP29" s="191"/>
      <c r="OVR29" s="191"/>
      <c r="OVS29" s="191"/>
      <c r="OVT29" s="191"/>
      <c r="OVV29" s="191"/>
      <c r="OVW29" s="191"/>
      <c r="OVX29" s="191"/>
      <c r="OVZ29" s="191"/>
      <c r="OWA29" s="191"/>
      <c r="OWB29" s="191"/>
      <c r="OWD29" s="191"/>
      <c r="OWE29" s="191"/>
      <c r="OWF29" s="191"/>
      <c r="OWH29" s="191"/>
      <c r="OWI29" s="191"/>
      <c r="OWJ29" s="191"/>
      <c r="OWL29" s="191"/>
      <c r="OWM29" s="191"/>
      <c r="OWN29" s="191"/>
      <c r="OWP29" s="191"/>
      <c r="OWQ29" s="191"/>
      <c r="OWR29" s="191"/>
      <c r="OWT29" s="191"/>
      <c r="OWU29" s="191"/>
      <c r="OWV29" s="191"/>
      <c r="OWX29" s="191"/>
      <c r="OWY29" s="191"/>
      <c r="OWZ29" s="191"/>
      <c r="OXB29" s="191"/>
      <c r="OXC29" s="191"/>
      <c r="OXD29" s="191"/>
      <c r="OXF29" s="191"/>
      <c r="OXG29" s="191"/>
      <c r="OXH29" s="191"/>
      <c r="OXJ29" s="191"/>
      <c r="OXK29" s="191"/>
      <c r="OXL29" s="191"/>
      <c r="OXN29" s="191"/>
      <c r="OXO29" s="191"/>
      <c r="OXP29" s="191"/>
      <c r="OXR29" s="191"/>
      <c r="OXS29" s="191"/>
      <c r="OXT29" s="191"/>
      <c r="OXV29" s="191"/>
      <c r="OXW29" s="191"/>
      <c r="OXX29" s="191"/>
      <c r="OXZ29" s="191"/>
      <c r="OYA29" s="191"/>
      <c r="OYB29" s="191"/>
      <c r="OYD29" s="191"/>
      <c r="OYE29" s="191"/>
      <c r="OYF29" s="191"/>
      <c r="OYH29" s="191"/>
      <c r="OYI29" s="191"/>
      <c r="OYJ29" s="191"/>
      <c r="OYL29" s="191"/>
      <c r="OYM29" s="191"/>
      <c r="OYN29" s="191"/>
      <c r="OYP29" s="191"/>
      <c r="OYQ29" s="191"/>
      <c r="OYR29" s="191"/>
      <c r="OYT29" s="191"/>
      <c r="OYU29" s="191"/>
      <c r="OYV29" s="191"/>
      <c r="OYX29" s="191"/>
      <c r="OYY29" s="191"/>
      <c r="OYZ29" s="191"/>
      <c r="OZB29" s="191"/>
      <c r="OZC29" s="191"/>
      <c r="OZD29" s="191"/>
      <c r="OZF29" s="191"/>
      <c r="OZG29" s="191"/>
      <c r="OZH29" s="191"/>
      <c r="OZJ29" s="191"/>
      <c r="OZK29" s="191"/>
      <c r="OZL29" s="191"/>
      <c r="OZN29" s="191"/>
      <c r="OZO29" s="191"/>
      <c r="OZP29" s="191"/>
      <c r="OZR29" s="191"/>
      <c r="OZS29" s="191"/>
      <c r="OZT29" s="191"/>
      <c r="OZV29" s="191"/>
      <c r="OZW29" s="191"/>
      <c r="OZX29" s="191"/>
      <c r="OZZ29" s="191"/>
      <c r="PAA29" s="191"/>
      <c r="PAB29" s="191"/>
      <c r="PAD29" s="191"/>
      <c r="PAE29" s="191"/>
      <c r="PAF29" s="191"/>
      <c r="PAH29" s="191"/>
      <c r="PAI29" s="191"/>
      <c r="PAJ29" s="191"/>
      <c r="PAL29" s="191"/>
      <c r="PAM29" s="191"/>
      <c r="PAN29" s="191"/>
      <c r="PAP29" s="191"/>
      <c r="PAQ29" s="191"/>
      <c r="PAR29" s="191"/>
      <c r="PAT29" s="191"/>
      <c r="PAU29" s="191"/>
      <c r="PAV29" s="191"/>
      <c r="PAX29" s="191"/>
      <c r="PAY29" s="191"/>
      <c r="PAZ29" s="191"/>
      <c r="PBB29" s="191"/>
      <c r="PBC29" s="191"/>
      <c r="PBD29" s="191"/>
      <c r="PBF29" s="191"/>
      <c r="PBG29" s="191"/>
      <c r="PBH29" s="191"/>
      <c r="PBJ29" s="191"/>
      <c r="PBK29" s="191"/>
      <c r="PBL29" s="191"/>
      <c r="PBN29" s="191"/>
      <c r="PBO29" s="191"/>
      <c r="PBP29" s="191"/>
      <c r="PBR29" s="191"/>
      <c r="PBS29" s="191"/>
      <c r="PBT29" s="191"/>
      <c r="PBV29" s="191"/>
      <c r="PBW29" s="191"/>
      <c r="PBX29" s="191"/>
      <c r="PBZ29" s="191"/>
      <c r="PCA29" s="191"/>
      <c r="PCB29" s="191"/>
      <c r="PCD29" s="191"/>
      <c r="PCE29" s="191"/>
      <c r="PCF29" s="191"/>
      <c r="PCH29" s="191"/>
      <c r="PCI29" s="191"/>
      <c r="PCJ29" s="191"/>
      <c r="PCL29" s="191"/>
      <c r="PCM29" s="191"/>
      <c r="PCN29" s="191"/>
      <c r="PCP29" s="191"/>
      <c r="PCQ29" s="191"/>
      <c r="PCR29" s="191"/>
      <c r="PCT29" s="191"/>
      <c r="PCU29" s="191"/>
      <c r="PCV29" s="191"/>
      <c r="PCX29" s="191"/>
      <c r="PCY29" s="191"/>
      <c r="PCZ29" s="191"/>
      <c r="PDB29" s="191"/>
      <c r="PDC29" s="191"/>
      <c r="PDD29" s="191"/>
      <c r="PDF29" s="191"/>
      <c r="PDG29" s="191"/>
      <c r="PDH29" s="191"/>
      <c r="PDJ29" s="191"/>
      <c r="PDK29" s="191"/>
      <c r="PDL29" s="191"/>
      <c r="PDN29" s="191"/>
      <c r="PDO29" s="191"/>
      <c r="PDP29" s="191"/>
      <c r="PDR29" s="191"/>
      <c r="PDS29" s="191"/>
      <c r="PDT29" s="191"/>
      <c r="PDV29" s="191"/>
      <c r="PDW29" s="191"/>
      <c r="PDX29" s="191"/>
      <c r="PDZ29" s="191"/>
      <c r="PEA29" s="191"/>
      <c r="PEB29" s="191"/>
      <c r="PED29" s="191"/>
      <c r="PEE29" s="191"/>
      <c r="PEF29" s="191"/>
      <c r="PEH29" s="191"/>
      <c r="PEI29" s="191"/>
      <c r="PEJ29" s="191"/>
      <c r="PEL29" s="191"/>
      <c r="PEM29" s="191"/>
      <c r="PEN29" s="191"/>
      <c r="PEP29" s="191"/>
      <c r="PEQ29" s="191"/>
      <c r="PER29" s="191"/>
      <c r="PET29" s="191"/>
      <c r="PEU29" s="191"/>
      <c r="PEV29" s="191"/>
      <c r="PEX29" s="191"/>
      <c r="PEY29" s="191"/>
      <c r="PEZ29" s="191"/>
      <c r="PFB29" s="191"/>
      <c r="PFC29" s="191"/>
      <c r="PFD29" s="191"/>
      <c r="PFF29" s="191"/>
      <c r="PFG29" s="191"/>
      <c r="PFH29" s="191"/>
      <c r="PFJ29" s="191"/>
      <c r="PFK29" s="191"/>
      <c r="PFL29" s="191"/>
      <c r="PFN29" s="191"/>
      <c r="PFO29" s="191"/>
      <c r="PFP29" s="191"/>
      <c r="PFR29" s="191"/>
      <c r="PFS29" s="191"/>
      <c r="PFT29" s="191"/>
      <c r="PFV29" s="191"/>
      <c r="PFW29" s="191"/>
      <c r="PFX29" s="191"/>
      <c r="PFZ29" s="191"/>
      <c r="PGA29" s="191"/>
      <c r="PGB29" s="191"/>
      <c r="PGD29" s="191"/>
      <c r="PGE29" s="191"/>
      <c r="PGF29" s="191"/>
      <c r="PGH29" s="191"/>
      <c r="PGI29" s="191"/>
      <c r="PGJ29" s="191"/>
      <c r="PGL29" s="191"/>
      <c r="PGM29" s="191"/>
      <c r="PGN29" s="191"/>
      <c r="PGP29" s="191"/>
      <c r="PGQ29" s="191"/>
      <c r="PGR29" s="191"/>
      <c r="PGT29" s="191"/>
      <c r="PGU29" s="191"/>
      <c r="PGV29" s="191"/>
      <c r="PGX29" s="191"/>
      <c r="PGY29" s="191"/>
      <c r="PGZ29" s="191"/>
      <c r="PHB29" s="191"/>
      <c r="PHC29" s="191"/>
      <c r="PHD29" s="191"/>
      <c r="PHF29" s="191"/>
      <c r="PHG29" s="191"/>
      <c r="PHH29" s="191"/>
      <c r="PHJ29" s="191"/>
      <c r="PHK29" s="191"/>
      <c r="PHL29" s="191"/>
      <c r="PHN29" s="191"/>
      <c r="PHO29" s="191"/>
      <c r="PHP29" s="191"/>
      <c r="PHR29" s="191"/>
      <c r="PHS29" s="191"/>
      <c r="PHT29" s="191"/>
      <c r="PHV29" s="191"/>
      <c r="PHW29" s="191"/>
      <c r="PHX29" s="191"/>
      <c r="PHZ29" s="191"/>
      <c r="PIA29" s="191"/>
      <c r="PIB29" s="191"/>
      <c r="PID29" s="191"/>
      <c r="PIE29" s="191"/>
      <c r="PIF29" s="191"/>
      <c r="PIH29" s="191"/>
      <c r="PII29" s="191"/>
      <c r="PIJ29" s="191"/>
      <c r="PIL29" s="191"/>
      <c r="PIM29" s="191"/>
      <c r="PIN29" s="191"/>
      <c r="PIP29" s="191"/>
      <c r="PIQ29" s="191"/>
      <c r="PIR29" s="191"/>
      <c r="PIT29" s="191"/>
      <c r="PIU29" s="191"/>
      <c r="PIV29" s="191"/>
      <c r="PIX29" s="191"/>
      <c r="PIY29" s="191"/>
      <c r="PIZ29" s="191"/>
      <c r="PJB29" s="191"/>
      <c r="PJC29" s="191"/>
      <c r="PJD29" s="191"/>
      <c r="PJF29" s="191"/>
      <c r="PJG29" s="191"/>
      <c r="PJH29" s="191"/>
      <c r="PJJ29" s="191"/>
      <c r="PJK29" s="191"/>
      <c r="PJL29" s="191"/>
      <c r="PJN29" s="191"/>
      <c r="PJO29" s="191"/>
      <c r="PJP29" s="191"/>
      <c r="PJR29" s="191"/>
      <c r="PJS29" s="191"/>
      <c r="PJT29" s="191"/>
      <c r="PJV29" s="191"/>
      <c r="PJW29" s="191"/>
      <c r="PJX29" s="191"/>
      <c r="PJZ29" s="191"/>
      <c r="PKA29" s="191"/>
      <c r="PKB29" s="191"/>
      <c r="PKD29" s="191"/>
      <c r="PKE29" s="191"/>
      <c r="PKF29" s="191"/>
      <c r="PKH29" s="191"/>
      <c r="PKI29" s="191"/>
      <c r="PKJ29" s="191"/>
      <c r="PKL29" s="191"/>
      <c r="PKM29" s="191"/>
      <c r="PKN29" s="191"/>
      <c r="PKP29" s="191"/>
      <c r="PKQ29" s="191"/>
      <c r="PKR29" s="191"/>
      <c r="PKT29" s="191"/>
      <c r="PKU29" s="191"/>
      <c r="PKV29" s="191"/>
      <c r="PKX29" s="191"/>
      <c r="PKY29" s="191"/>
      <c r="PKZ29" s="191"/>
      <c r="PLB29" s="191"/>
      <c r="PLC29" s="191"/>
      <c r="PLD29" s="191"/>
      <c r="PLF29" s="191"/>
      <c r="PLG29" s="191"/>
      <c r="PLH29" s="191"/>
      <c r="PLJ29" s="191"/>
      <c r="PLK29" s="191"/>
      <c r="PLL29" s="191"/>
      <c r="PLN29" s="191"/>
      <c r="PLO29" s="191"/>
      <c r="PLP29" s="191"/>
      <c r="PLR29" s="191"/>
      <c r="PLS29" s="191"/>
      <c r="PLT29" s="191"/>
      <c r="PLV29" s="191"/>
      <c r="PLW29" s="191"/>
      <c r="PLX29" s="191"/>
      <c r="PLZ29" s="191"/>
      <c r="PMA29" s="191"/>
      <c r="PMB29" s="191"/>
      <c r="PMD29" s="191"/>
      <c r="PME29" s="191"/>
      <c r="PMF29" s="191"/>
      <c r="PMH29" s="191"/>
      <c r="PMI29" s="191"/>
      <c r="PMJ29" s="191"/>
      <c r="PML29" s="191"/>
      <c r="PMM29" s="191"/>
      <c r="PMN29" s="191"/>
      <c r="PMP29" s="191"/>
      <c r="PMQ29" s="191"/>
      <c r="PMR29" s="191"/>
      <c r="PMT29" s="191"/>
      <c r="PMU29" s="191"/>
      <c r="PMV29" s="191"/>
      <c r="PMX29" s="191"/>
      <c r="PMY29" s="191"/>
      <c r="PMZ29" s="191"/>
      <c r="PNB29" s="191"/>
      <c r="PNC29" s="191"/>
      <c r="PND29" s="191"/>
      <c r="PNF29" s="191"/>
      <c r="PNG29" s="191"/>
      <c r="PNH29" s="191"/>
      <c r="PNJ29" s="191"/>
      <c r="PNK29" s="191"/>
      <c r="PNL29" s="191"/>
      <c r="PNN29" s="191"/>
      <c r="PNO29" s="191"/>
      <c r="PNP29" s="191"/>
      <c r="PNR29" s="191"/>
      <c r="PNS29" s="191"/>
      <c r="PNT29" s="191"/>
      <c r="PNV29" s="191"/>
      <c r="PNW29" s="191"/>
      <c r="PNX29" s="191"/>
      <c r="PNZ29" s="191"/>
      <c r="POA29" s="191"/>
      <c r="POB29" s="191"/>
      <c r="POD29" s="191"/>
      <c r="POE29" s="191"/>
      <c r="POF29" s="191"/>
      <c r="POH29" s="191"/>
      <c r="POI29" s="191"/>
      <c r="POJ29" s="191"/>
      <c r="POL29" s="191"/>
      <c r="POM29" s="191"/>
      <c r="PON29" s="191"/>
      <c r="POP29" s="191"/>
      <c r="POQ29" s="191"/>
      <c r="POR29" s="191"/>
      <c r="POT29" s="191"/>
      <c r="POU29" s="191"/>
      <c r="POV29" s="191"/>
      <c r="POX29" s="191"/>
      <c r="POY29" s="191"/>
      <c r="POZ29" s="191"/>
      <c r="PPB29" s="191"/>
      <c r="PPC29" s="191"/>
      <c r="PPD29" s="191"/>
      <c r="PPF29" s="191"/>
      <c r="PPG29" s="191"/>
      <c r="PPH29" s="191"/>
      <c r="PPJ29" s="191"/>
      <c r="PPK29" s="191"/>
      <c r="PPL29" s="191"/>
      <c r="PPN29" s="191"/>
      <c r="PPO29" s="191"/>
      <c r="PPP29" s="191"/>
      <c r="PPR29" s="191"/>
      <c r="PPS29" s="191"/>
      <c r="PPT29" s="191"/>
      <c r="PPV29" s="191"/>
      <c r="PPW29" s="191"/>
      <c r="PPX29" s="191"/>
      <c r="PPZ29" s="191"/>
      <c r="PQA29" s="191"/>
      <c r="PQB29" s="191"/>
      <c r="PQD29" s="191"/>
      <c r="PQE29" s="191"/>
      <c r="PQF29" s="191"/>
      <c r="PQH29" s="191"/>
      <c r="PQI29" s="191"/>
      <c r="PQJ29" s="191"/>
      <c r="PQL29" s="191"/>
      <c r="PQM29" s="191"/>
      <c r="PQN29" s="191"/>
      <c r="PQP29" s="191"/>
      <c r="PQQ29" s="191"/>
      <c r="PQR29" s="191"/>
      <c r="PQT29" s="191"/>
      <c r="PQU29" s="191"/>
      <c r="PQV29" s="191"/>
      <c r="PQX29" s="191"/>
      <c r="PQY29" s="191"/>
      <c r="PQZ29" s="191"/>
      <c r="PRB29" s="191"/>
      <c r="PRC29" s="191"/>
      <c r="PRD29" s="191"/>
      <c r="PRF29" s="191"/>
      <c r="PRG29" s="191"/>
      <c r="PRH29" s="191"/>
      <c r="PRJ29" s="191"/>
      <c r="PRK29" s="191"/>
      <c r="PRL29" s="191"/>
      <c r="PRN29" s="191"/>
      <c r="PRO29" s="191"/>
      <c r="PRP29" s="191"/>
      <c r="PRR29" s="191"/>
      <c r="PRS29" s="191"/>
      <c r="PRT29" s="191"/>
      <c r="PRV29" s="191"/>
      <c r="PRW29" s="191"/>
      <c r="PRX29" s="191"/>
      <c r="PRZ29" s="191"/>
      <c r="PSA29" s="191"/>
      <c r="PSB29" s="191"/>
      <c r="PSD29" s="191"/>
      <c r="PSE29" s="191"/>
      <c r="PSF29" s="191"/>
      <c r="PSH29" s="191"/>
      <c r="PSI29" s="191"/>
      <c r="PSJ29" s="191"/>
      <c r="PSL29" s="191"/>
      <c r="PSM29" s="191"/>
      <c r="PSN29" s="191"/>
      <c r="PSP29" s="191"/>
      <c r="PSQ29" s="191"/>
      <c r="PSR29" s="191"/>
      <c r="PST29" s="191"/>
      <c r="PSU29" s="191"/>
      <c r="PSV29" s="191"/>
      <c r="PSX29" s="191"/>
      <c r="PSY29" s="191"/>
      <c r="PSZ29" s="191"/>
      <c r="PTB29" s="191"/>
      <c r="PTC29" s="191"/>
      <c r="PTD29" s="191"/>
      <c r="PTF29" s="191"/>
      <c r="PTG29" s="191"/>
      <c r="PTH29" s="191"/>
      <c r="PTJ29" s="191"/>
      <c r="PTK29" s="191"/>
      <c r="PTL29" s="191"/>
      <c r="PTN29" s="191"/>
      <c r="PTO29" s="191"/>
      <c r="PTP29" s="191"/>
      <c r="PTR29" s="191"/>
      <c r="PTS29" s="191"/>
      <c r="PTT29" s="191"/>
      <c r="PTV29" s="191"/>
      <c r="PTW29" s="191"/>
      <c r="PTX29" s="191"/>
      <c r="PTZ29" s="191"/>
      <c r="PUA29" s="191"/>
      <c r="PUB29" s="191"/>
      <c r="PUD29" s="191"/>
      <c r="PUE29" s="191"/>
      <c r="PUF29" s="191"/>
      <c r="PUH29" s="191"/>
      <c r="PUI29" s="191"/>
      <c r="PUJ29" s="191"/>
      <c r="PUL29" s="191"/>
      <c r="PUM29" s="191"/>
      <c r="PUN29" s="191"/>
      <c r="PUP29" s="191"/>
      <c r="PUQ29" s="191"/>
      <c r="PUR29" s="191"/>
      <c r="PUT29" s="191"/>
      <c r="PUU29" s="191"/>
      <c r="PUV29" s="191"/>
      <c r="PUX29" s="191"/>
      <c r="PUY29" s="191"/>
      <c r="PUZ29" s="191"/>
      <c r="PVB29" s="191"/>
      <c r="PVC29" s="191"/>
      <c r="PVD29" s="191"/>
      <c r="PVF29" s="191"/>
      <c r="PVG29" s="191"/>
      <c r="PVH29" s="191"/>
      <c r="PVJ29" s="191"/>
      <c r="PVK29" s="191"/>
      <c r="PVL29" s="191"/>
      <c r="PVN29" s="191"/>
      <c r="PVO29" s="191"/>
      <c r="PVP29" s="191"/>
      <c r="PVR29" s="191"/>
      <c r="PVS29" s="191"/>
      <c r="PVT29" s="191"/>
      <c r="PVV29" s="191"/>
      <c r="PVW29" s="191"/>
      <c r="PVX29" s="191"/>
      <c r="PVZ29" s="191"/>
      <c r="PWA29" s="191"/>
      <c r="PWB29" s="191"/>
      <c r="PWD29" s="191"/>
      <c r="PWE29" s="191"/>
      <c r="PWF29" s="191"/>
      <c r="PWH29" s="191"/>
      <c r="PWI29" s="191"/>
      <c r="PWJ29" s="191"/>
      <c r="PWL29" s="191"/>
      <c r="PWM29" s="191"/>
      <c r="PWN29" s="191"/>
      <c r="PWP29" s="191"/>
      <c r="PWQ29" s="191"/>
      <c r="PWR29" s="191"/>
      <c r="PWT29" s="191"/>
      <c r="PWU29" s="191"/>
      <c r="PWV29" s="191"/>
      <c r="PWX29" s="191"/>
      <c r="PWY29" s="191"/>
      <c r="PWZ29" s="191"/>
      <c r="PXB29" s="191"/>
      <c r="PXC29" s="191"/>
      <c r="PXD29" s="191"/>
      <c r="PXF29" s="191"/>
      <c r="PXG29" s="191"/>
      <c r="PXH29" s="191"/>
      <c r="PXJ29" s="191"/>
      <c r="PXK29" s="191"/>
      <c r="PXL29" s="191"/>
      <c r="PXN29" s="191"/>
      <c r="PXO29" s="191"/>
      <c r="PXP29" s="191"/>
      <c r="PXR29" s="191"/>
      <c r="PXS29" s="191"/>
      <c r="PXT29" s="191"/>
      <c r="PXV29" s="191"/>
      <c r="PXW29" s="191"/>
      <c r="PXX29" s="191"/>
      <c r="PXZ29" s="191"/>
      <c r="PYA29" s="191"/>
      <c r="PYB29" s="191"/>
      <c r="PYD29" s="191"/>
      <c r="PYE29" s="191"/>
      <c r="PYF29" s="191"/>
      <c r="PYH29" s="191"/>
      <c r="PYI29" s="191"/>
      <c r="PYJ29" s="191"/>
      <c r="PYL29" s="191"/>
      <c r="PYM29" s="191"/>
      <c r="PYN29" s="191"/>
      <c r="PYP29" s="191"/>
      <c r="PYQ29" s="191"/>
      <c r="PYR29" s="191"/>
      <c r="PYT29" s="191"/>
      <c r="PYU29" s="191"/>
      <c r="PYV29" s="191"/>
      <c r="PYX29" s="191"/>
      <c r="PYY29" s="191"/>
      <c r="PYZ29" s="191"/>
      <c r="PZB29" s="191"/>
      <c r="PZC29" s="191"/>
      <c r="PZD29" s="191"/>
      <c r="PZF29" s="191"/>
      <c r="PZG29" s="191"/>
      <c r="PZH29" s="191"/>
      <c r="PZJ29" s="191"/>
      <c r="PZK29" s="191"/>
      <c r="PZL29" s="191"/>
      <c r="PZN29" s="191"/>
      <c r="PZO29" s="191"/>
      <c r="PZP29" s="191"/>
      <c r="PZR29" s="191"/>
      <c r="PZS29" s="191"/>
      <c r="PZT29" s="191"/>
      <c r="PZV29" s="191"/>
      <c r="PZW29" s="191"/>
      <c r="PZX29" s="191"/>
      <c r="PZZ29" s="191"/>
      <c r="QAA29" s="191"/>
      <c r="QAB29" s="191"/>
      <c r="QAD29" s="191"/>
      <c r="QAE29" s="191"/>
      <c r="QAF29" s="191"/>
      <c r="QAH29" s="191"/>
      <c r="QAI29" s="191"/>
      <c r="QAJ29" s="191"/>
      <c r="QAL29" s="191"/>
      <c r="QAM29" s="191"/>
      <c r="QAN29" s="191"/>
      <c r="QAP29" s="191"/>
      <c r="QAQ29" s="191"/>
      <c r="QAR29" s="191"/>
      <c r="QAT29" s="191"/>
      <c r="QAU29" s="191"/>
      <c r="QAV29" s="191"/>
      <c r="QAX29" s="191"/>
      <c r="QAY29" s="191"/>
      <c r="QAZ29" s="191"/>
      <c r="QBB29" s="191"/>
      <c r="QBC29" s="191"/>
      <c r="QBD29" s="191"/>
      <c r="QBF29" s="191"/>
      <c r="QBG29" s="191"/>
      <c r="QBH29" s="191"/>
      <c r="QBJ29" s="191"/>
      <c r="QBK29" s="191"/>
      <c r="QBL29" s="191"/>
      <c r="QBN29" s="191"/>
      <c r="QBO29" s="191"/>
      <c r="QBP29" s="191"/>
      <c r="QBR29" s="191"/>
      <c r="QBS29" s="191"/>
      <c r="QBT29" s="191"/>
      <c r="QBV29" s="191"/>
      <c r="QBW29" s="191"/>
      <c r="QBX29" s="191"/>
      <c r="QBZ29" s="191"/>
      <c r="QCA29" s="191"/>
      <c r="QCB29" s="191"/>
      <c r="QCD29" s="191"/>
      <c r="QCE29" s="191"/>
      <c r="QCF29" s="191"/>
      <c r="QCH29" s="191"/>
      <c r="QCI29" s="191"/>
      <c r="QCJ29" s="191"/>
      <c r="QCL29" s="191"/>
      <c r="QCM29" s="191"/>
      <c r="QCN29" s="191"/>
      <c r="QCP29" s="191"/>
      <c r="QCQ29" s="191"/>
      <c r="QCR29" s="191"/>
      <c r="QCT29" s="191"/>
      <c r="QCU29" s="191"/>
      <c r="QCV29" s="191"/>
      <c r="QCX29" s="191"/>
      <c r="QCY29" s="191"/>
      <c r="QCZ29" s="191"/>
      <c r="QDB29" s="191"/>
      <c r="QDC29" s="191"/>
      <c r="QDD29" s="191"/>
      <c r="QDF29" s="191"/>
      <c r="QDG29" s="191"/>
      <c r="QDH29" s="191"/>
      <c r="QDJ29" s="191"/>
      <c r="QDK29" s="191"/>
      <c r="QDL29" s="191"/>
      <c r="QDN29" s="191"/>
      <c r="QDO29" s="191"/>
      <c r="QDP29" s="191"/>
      <c r="QDR29" s="191"/>
      <c r="QDS29" s="191"/>
      <c r="QDT29" s="191"/>
      <c r="QDV29" s="191"/>
      <c r="QDW29" s="191"/>
      <c r="QDX29" s="191"/>
      <c r="QDZ29" s="191"/>
      <c r="QEA29" s="191"/>
      <c r="QEB29" s="191"/>
      <c r="QED29" s="191"/>
      <c r="QEE29" s="191"/>
      <c r="QEF29" s="191"/>
      <c r="QEH29" s="191"/>
      <c r="QEI29" s="191"/>
      <c r="QEJ29" s="191"/>
      <c r="QEL29" s="191"/>
      <c r="QEM29" s="191"/>
      <c r="QEN29" s="191"/>
      <c r="QEP29" s="191"/>
      <c r="QEQ29" s="191"/>
      <c r="QER29" s="191"/>
      <c r="QET29" s="191"/>
      <c r="QEU29" s="191"/>
      <c r="QEV29" s="191"/>
      <c r="QEX29" s="191"/>
      <c r="QEY29" s="191"/>
      <c r="QEZ29" s="191"/>
      <c r="QFB29" s="191"/>
      <c r="QFC29" s="191"/>
      <c r="QFD29" s="191"/>
      <c r="QFF29" s="191"/>
      <c r="QFG29" s="191"/>
      <c r="QFH29" s="191"/>
      <c r="QFJ29" s="191"/>
      <c r="QFK29" s="191"/>
      <c r="QFL29" s="191"/>
      <c r="QFN29" s="191"/>
      <c r="QFO29" s="191"/>
      <c r="QFP29" s="191"/>
      <c r="QFR29" s="191"/>
      <c r="QFS29" s="191"/>
      <c r="QFT29" s="191"/>
      <c r="QFV29" s="191"/>
      <c r="QFW29" s="191"/>
      <c r="QFX29" s="191"/>
      <c r="QFZ29" s="191"/>
      <c r="QGA29" s="191"/>
      <c r="QGB29" s="191"/>
      <c r="QGD29" s="191"/>
      <c r="QGE29" s="191"/>
      <c r="QGF29" s="191"/>
      <c r="QGH29" s="191"/>
      <c r="QGI29" s="191"/>
      <c r="QGJ29" s="191"/>
      <c r="QGL29" s="191"/>
      <c r="QGM29" s="191"/>
      <c r="QGN29" s="191"/>
      <c r="QGP29" s="191"/>
      <c r="QGQ29" s="191"/>
      <c r="QGR29" s="191"/>
      <c r="QGT29" s="191"/>
      <c r="QGU29" s="191"/>
      <c r="QGV29" s="191"/>
      <c r="QGX29" s="191"/>
      <c r="QGY29" s="191"/>
      <c r="QGZ29" s="191"/>
      <c r="QHB29" s="191"/>
      <c r="QHC29" s="191"/>
      <c r="QHD29" s="191"/>
      <c r="QHF29" s="191"/>
      <c r="QHG29" s="191"/>
      <c r="QHH29" s="191"/>
      <c r="QHJ29" s="191"/>
      <c r="QHK29" s="191"/>
      <c r="QHL29" s="191"/>
      <c r="QHN29" s="191"/>
      <c r="QHO29" s="191"/>
      <c r="QHP29" s="191"/>
      <c r="QHR29" s="191"/>
      <c r="QHS29" s="191"/>
      <c r="QHT29" s="191"/>
      <c r="QHV29" s="191"/>
      <c r="QHW29" s="191"/>
      <c r="QHX29" s="191"/>
      <c r="QHZ29" s="191"/>
      <c r="QIA29" s="191"/>
      <c r="QIB29" s="191"/>
      <c r="QID29" s="191"/>
      <c r="QIE29" s="191"/>
      <c r="QIF29" s="191"/>
      <c r="QIH29" s="191"/>
      <c r="QII29" s="191"/>
      <c r="QIJ29" s="191"/>
      <c r="QIL29" s="191"/>
      <c r="QIM29" s="191"/>
      <c r="QIN29" s="191"/>
      <c r="QIP29" s="191"/>
      <c r="QIQ29" s="191"/>
      <c r="QIR29" s="191"/>
      <c r="QIT29" s="191"/>
      <c r="QIU29" s="191"/>
      <c r="QIV29" s="191"/>
      <c r="QIX29" s="191"/>
      <c r="QIY29" s="191"/>
      <c r="QIZ29" s="191"/>
      <c r="QJB29" s="191"/>
      <c r="QJC29" s="191"/>
      <c r="QJD29" s="191"/>
      <c r="QJF29" s="191"/>
      <c r="QJG29" s="191"/>
      <c r="QJH29" s="191"/>
      <c r="QJJ29" s="191"/>
      <c r="QJK29" s="191"/>
      <c r="QJL29" s="191"/>
      <c r="QJN29" s="191"/>
      <c r="QJO29" s="191"/>
      <c r="QJP29" s="191"/>
      <c r="QJR29" s="191"/>
      <c r="QJS29" s="191"/>
      <c r="QJT29" s="191"/>
      <c r="QJV29" s="191"/>
      <c r="QJW29" s="191"/>
      <c r="QJX29" s="191"/>
      <c r="QJZ29" s="191"/>
      <c r="QKA29" s="191"/>
      <c r="QKB29" s="191"/>
      <c r="QKD29" s="191"/>
      <c r="QKE29" s="191"/>
      <c r="QKF29" s="191"/>
      <c r="QKH29" s="191"/>
      <c r="QKI29" s="191"/>
      <c r="QKJ29" s="191"/>
      <c r="QKL29" s="191"/>
      <c r="QKM29" s="191"/>
      <c r="QKN29" s="191"/>
      <c r="QKP29" s="191"/>
      <c r="QKQ29" s="191"/>
      <c r="QKR29" s="191"/>
      <c r="QKT29" s="191"/>
      <c r="QKU29" s="191"/>
      <c r="QKV29" s="191"/>
      <c r="QKX29" s="191"/>
      <c r="QKY29" s="191"/>
      <c r="QKZ29" s="191"/>
      <c r="QLB29" s="191"/>
      <c r="QLC29" s="191"/>
      <c r="QLD29" s="191"/>
      <c r="QLF29" s="191"/>
      <c r="QLG29" s="191"/>
      <c r="QLH29" s="191"/>
      <c r="QLJ29" s="191"/>
      <c r="QLK29" s="191"/>
      <c r="QLL29" s="191"/>
      <c r="QLN29" s="191"/>
      <c r="QLO29" s="191"/>
      <c r="QLP29" s="191"/>
      <c r="QLR29" s="191"/>
      <c r="QLS29" s="191"/>
      <c r="QLT29" s="191"/>
      <c r="QLV29" s="191"/>
      <c r="QLW29" s="191"/>
      <c r="QLX29" s="191"/>
      <c r="QLZ29" s="191"/>
      <c r="QMA29" s="191"/>
      <c r="QMB29" s="191"/>
      <c r="QMD29" s="191"/>
      <c r="QME29" s="191"/>
      <c r="QMF29" s="191"/>
      <c r="QMH29" s="191"/>
      <c r="QMI29" s="191"/>
      <c r="QMJ29" s="191"/>
      <c r="QML29" s="191"/>
      <c r="QMM29" s="191"/>
      <c r="QMN29" s="191"/>
      <c r="QMP29" s="191"/>
      <c r="QMQ29" s="191"/>
      <c r="QMR29" s="191"/>
      <c r="QMT29" s="191"/>
      <c r="QMU29" s="191"/>
      <c r="QMV29" s="191"/>
      <c r="QMX29" s="191"/>
      <c r="QMY29" s="191"/>
      <c r="QMZ29" s="191"/>
      <c r="QNB29" s="191"/>
      <c r="QNC29" s="191"/>
      <c r="QND29" s="191"/>
      <c r="QNF29" s="191"/>
      <c r="QNG29" s="191"/>
      <c r="QNH29" s="191"/>
      <c r="QNJ29" s="191"/>
      <c r="QNK29" s="191"/>
      <c r="QNL29" s="191"/>
      <c r="QNN29" s="191"/>
      <c r="QNO29" s="191"/>
      <c r="QNP29" s="191"/>
      <c r="QNR29" s="191"/>
      <c r="QNS29" s="191"/>
      <c r="QNT29" s="191"/>
      <c r="QNV29" s="191"/>
      <c r="QNW29" s="191"/>
      <c r="QNX29" s="191"/>
      <c r="QNZ29" s="191"/>
      <c r="QOA29" s="191"/>
      <c r="QOB29" s="191"/>
      <c r="QOD29" s="191"/>
      <c r="QOE29" s="191"/>
      <c r="QOF29" s="191"/>
      <c r="QOH29" s="191"/>
      <c r="QOI29" s="191"/>
      <c r="QOJ29" s="191"/>
      <c r="QOL29" s="191"/>
      <c r="QOM29" s="191"/>
      <c r="QON29" s="191"/>
      <c r="QOP29" s="191"/>
      <c r="QOQ29" s="191"/>
      <c r="QOR29" s="191"/>
      <c r="QOT29" s="191"/>
      <c r="QOU29" s="191"/>
      <c r="QOV29" s="191"/>
      <c r="QOX29" s="191"/>
      <c r="QOY29" s="191"/>
      <c r="QOZ29" s="191"/>
      <c r="QPB29" s="191"/>
      <c r="QPC29" s="191"/>
      <c r="QPD29" s="191"/>
      <c r="QPF29" s="191"/>
      <c r="QPG29" s="191"/>
      <c r="QPH29" s="191"/>
      <c r="QPJ29" s="191"/>
      <c r="QPK29" s="191"/>
      <c r="QPL29" s="191"/>
      <c r="QPN29" s="191"/>
      <c r="QPO29" s="191"/>
      <c r="QPP29" s="191"/>
      <c r="QPR29" s="191"/>
      <c r="QPS29" s="191"/>
      <c r="QPT29" s="191"/>
      <c r="QPV29" s="191"/>
      <c r="QPW29" s="191"/>
      <c r="QPX29" s="191"/>
      <c r="QPZ29" s="191"/>
      <c r="QQA29" s="191"/>
      <c r="QQB29" s="191"/>
      <c r="QQD29" s="191"/>
      <c r="QQE29" s="191"/>
      <c r="QQF29" s="191"/>
      <c r="QQH29" s="191"/>
      <c r="QQI29" s="191"/>
      <c r="QQJ29" s="191"/>
      <c r="QQL29" s="191"/>
      <c r="QQM29" s="191"/>
      <c r="QQN29" s="191"/>
      <c r="QQP29" s="191"/>
      <c r="QQQ29" s="191"/>
      <c r="QQR29" s="191"/>
      <c r="QQT29" s="191"/>
      <c r="QQU29" s="191"/>
      <c r="QQV29" s="191"/>
      <c r="QQX29" s="191"/>
      <c r="QQY29" s="191"/>
      <c r="QQZ29" s="191"/>
      <c r="QRB29" s="191"/>
      <c r="QRC29" s="191"/>
      <c r="QRD29" s="191"/>
      <c r="QRF29" s="191"/>
      <c r="QRG29" s="191"/>
      <c r="QRH29" s="191"/>
      <c r="QRJ29" s="191"/>
      <c r="QRK29" s="191"/>
      <c r="QRL29" s="191"/>
      <c r="QRN29" s="191"/>
      <c r="QRO29" s="191"/>
      <c r="QRP29" s="191"/>
      <c r="QRR29" s="191"/>
      <c r="QRS29" s="191"/>
      <c r="QRT29" s="191"/>
      <c r="QRV29" s="191"/>
      <c r="QRW29" s="191"/>
      <c r="QRX29" s="191"/>
      <c r="QRZ29" s="191"/>
      <c r="QSA29" s="191"/>
      <c r="QSB29" s="191"/>
      <c r="QSD29" s="191"/>
      <c r="QSE29" s="191"/>
      <c r="QSF29" s="191"/>
      <c r="QSH29" s="191"/>
      <c r="QSI29" s="191"/>
      <c r="QSJ29" s="191"/>
      <c r="QSL29" s="191"/>
      <c r="QSM29" s="191"/>
      <c r="QSN29" s="191"/>
      <c r="QSP29" s="191"/>
      <c r="QSQ29" s="191"/>
      <c r="QSR29" s="191"/>
      <c r="QST29" s="191"/>
      <c r="QSU29" s="191"/>
      <c r="QSV29" s="191"/>
      <c r="QSX29" s="191"/>
      <c r="QSY29" s="191"/>
      <c r="QSZ29" s="191"/>
      <c r="QTB29" s="191"/>
      <c r="QTC29" s="191"/>
      <c r="QTD29" s="191"/>
      <c r="QTF29" s="191"/>
      <c r="QTG29" s="191"/>
      <c r="QTH29" s="191"/>
      <c r="QTJ29" s="191"/>
      <c r="QTK29" s="191"/>
      <c r="QTL29" s="191"/>
      <c r="QTN29" s="191"/>
      <c r="QTO29" s="191"/>
      <c r="QTP29" s="191"/>
      <c r="QTR29" s="191"/>
      <c r="QTS29" s="191"/>
      <c r="QTT29" s="191"/>
      <c r="QTV29" s="191"/>
      <c r="QTW29" s="191"/>
      <c r="QTX29" s="191"/>
      <c r="QTZ29" s="191"/>
      <c r="QUA29" s="191"/>
      <c r="QUB29" s="191"/>
      <c r="QUD29" s="191"/>
      <c r="QUE29" s="191"/>
      <c r="QUF29" s="191"/>
      <c r="QUH29" s="191"/>
      <c r="QUI29" s="191"/>
      <c r="QUJ29" s="191"/>
      <c r="QUL29" s="191"/>
      <c r="QUM29" s="191"/>
      <c r="QUN29" s="191"/>
      <c r="QUP29" s="191"/>
      <c r="QUQ29" s="191"/>
      <c r="QUR29" s="191"/>
      <c r="QUT29" s="191"/>
      <c r="QUU29" s="191"/>
      <c r="QUV29" s="191"/>
      <c r="QUX29" s="191"/>
      <c r="QUY29" s="191"/>
      <c r="QUZ29" s="191"/>
      <c r="QVB29" s="191"/>
      <c r="QVC29" s="191"/>
      <c r="QVD29" s="191"/>
      <c r="QVF29" s="191"/>
      <c r="QVG29" s="191"/>
      <c r="QVH29" s="191"/>
      <c r="QVJ29" s="191"/>
      <c r="QVK29" s="191"/>
      <c r="QVL29" s="191"/>
      <c r="QVN29" s="191"/>
      <c r="QVO29" s="191"/>
      <c r="QVP29" s="191"/>
      <c r="QVR29" s="191"/>
      <c r="QVS29" s="191"/>
      <c r="QVT29" s="191"/>
      <c r="QVV29" s="191"/>
      <c r="QVW29" s="191"/>
      <c r="QVX29" s="191"/>
      <c r="QVZ29" s="191"/>
      <c r="QWA29" s="191"/>
      <c r="QWB29" s="191"/>
      <c r="QWD29" s="191"/>
      <c r="QWE29" s="191"/>
      <c r="QWF29" s="191"/>
      <c r="QWH29" s="191"/>
      <c r="QWI29" s="191"/>
      <c r="QWJ29" s="191"/>
      <c r="QWL29" s="191"/>
      <c r="QWM29" s="191"/>
      <c r="QWN29" s="191"/>
      <c r="QWP29" s="191"/>
      <c r="QWQ29" s="191"/>
      <c r="QWR29" s="191"/>
      <c r="QWT29" s="191"/>
      <c r="QWU29" s="191"/>
      <c r="QWV29" s="191"/>
      <c r="QWX29" s="191"/>
      <c r="QWY29" s="191"/>
      <c r="QWZ29" s="191"/>
      <c r="QXB29" s="191"/>
      <c r="QXC29" s="191"/>
      <c r="QXD29" s="191"/>
      <c r="QXF29" s="191"/>
      <c r="QXG29" s="191"/>
      <c r="QXH29" s="191"/>
      <c r="QXJ29" s="191"/>
      <c r="QXK29" s="191"/>
      <c r="QXL29" s="191"/>
      <c r="QXN29" s="191"/>
      <c r="QXO29" s="191"/>
      <c r="QXP29" s="191"/>
      <c r="QXR29" s="191"/>
      <c r="QXS29" s="191"/>
      <c r="QXT29" s="191"/>
      <c r="QXV29" s="191"/>
      <c r="QXW29" s="191"/>
      <c r="QXX29" s="191"/>
      <c r="QXZ29" s="191"/>
      <c r="QYA29" s="191"/>
      <c r="QYB29" s="191"/>
      <c r="QYD29" s="191"/>
      <c r="QYE29" s="191"/>
      <c r="QYF29" s="191"/>
      <c r="QYH29" s="191"/>
      <c r="QYI29" s="191"/>
      <c r="QYJ29" s="191"/>
      <c r="QYL29" s="191"/>
      <c r="QYM29" s="191"/>
      <c r="QYN29" s="191"/>
      <c r="QYP29" s="191"/>
      <c r="QYQ29" s="191"/>
      <c r="QYR29" s="191"/>
      <c r="QYT29" s="191"/>
      <c r="QYU29" s="191"/>
      <c r="QYV29" s="191"/>
      <c r="QYX29" s="191"/>
      <c r="QYY29" s="191"/>
      <c r="QYZ29" s="191"/>
      <c r="QZB29" s="191"/>
      <c r="QZC29" s="191"/>
      <c r="QZD29" s="191"/>
      <c r="QZF29" s="191"/>
      <c r="QZG29" s="191"/>
      <c r="QZH29" s="191"/>
      <c r="QZJ29" s="191"/>
      <c r="QZK29" s="191"/>
      <c r="QZL29" s="191"/>
      <c r="QZN29" s="191"/>
      <c r="QZO29" s="191"/>
      <c r="QZP29" s="191"/>
      <c r="QZR29" s="191"/>
      <c r="QZS29" s="191"/>
      <c r="QZT29" s="191"/>
      <c r="QZV29" s="191"/>
      <c r="QZW29" s="191"/>
      <c r="QZX29" s="191"/>
      <c r="QZZ29" s="191"/>
      <c r="RAA29" s="191"/>
      <c r="RAB29" s="191"/>
      <c r="RAD29" s="191"/>
      <c r="RAE29" s="191"/>
      <c r="RAF29" s="191"/>
      <c r="RAH29" s="191"/>
      <c r="RAI29" s="191"/>
      <c r="RAJ29" s="191"/>
      <c r="RAL29" s="191"/>
      <c r="RAM29" s="191"/>
      <c r="RAN29" s="191"/>
      <c r="RAP29" s="191"/>
      <c r="RAQ29" s="191"/>
      <c r="RAR29" s="191"/>
      <c r="RAT29" s="191"/>
      <c r="RAU29" s="191"/>
      <c r="RAV29" s="191"/>
      <c r="RAX29" s="191"/>
      <c r="RAY29" s="191"/>
      <c r="RAZ29" s="191"/>
      <c r="RBB29" s="191"/>
      <c r="RBC29" s="191"/>
      <c r="RBD29" s="191"/>
      <c r="RBF29" s="191"/>
      <c r="RBG29" s="191"/>
      <c r="RBH29" s="191"/>
      <c r="RBJ29" s="191"/>
      <c r="RBK29" s="191"/>
      <c r="RBL29" s="191"/>
      <c r="RBN29" s="191"/>
      <c r="RBO29" s="191"/>
      <c r="RBP29" s="191"/>
      <c r="RBR29" s="191"/>
      <c r="RBS29" s="191"/>
      <c r="RBT29" s="191"/>
      <c r="RBV29" s="191"/>
      <c r="RBW29" s="191"/>
      <c r="RBX29" s="191"/>
      <c r="RBZ29" s="191"/>
      <c r="RCA29" s="191"/>
      <c r="RCB29" s="191"/>
      <c r="RCD29" s="191"/>
      <c r="RCE29" s="191"/>
      <c r="RCF29" s="191"/>
      <c r="RCH29" s="191"/>
      <c r="RCI29" s="191"/>
      <c r="RCJ29" s="191"/>
      <c r="RCL29" s="191"/>
      <c r="RCM29" s="191"/>
      <c r="RCN29" s="191"/>
      <c r="RCP29" s="191"/>
      <c r="RCQ29" s="191"/>
      <c r="RCR29" s="191"/>
      <c r="RCT29" s="191"/>
      <c r="RCU29" s="191"/>
      <c r="RCV29" s="191"/>
      <c r="RCX29" s="191"/>
      <c r="RCY29" s="191"/>
      <c r="RCZ29" s="191"/>
      <c r="RDB29" s="191"/>
      <c r="RDC29" s="191"/>
      <c r="RDD29" s="191"/>
      <c r="RDF29" s="191"/>
      <c r="RDG29" s="191"/>
      <c r="RDH29" s="191"/>
      <c r="RDJ29" s="191"/>
      <c r="RDK29" s="191"/>
      <c r="RDL29" s="191"/>
      <c r="RDN29" s="191"/>
      <c r="RDO29" s="191"/>
      <c r="RDP29" s="191"/>
      <c r="RDR29" s="191"/>
      <c r="RDS29" s="191"/>
      <c r="RDT29" s="191"/>
      <c r="RDV29" s="191"/>
      <c r="RDW29" s="191"/>
      <c r="RDX29" s="191"/>
      <c r="RDZ29" s="191"/>
      <c r="REA29" s="191"/>
      <c r="REB29" s="191"/>
      <c r="RED29" s="191"/>
      <c r="REE29" s="191"/>
      <c r="REF29" s="191"/>
      <c r="REH29" s="191"/>
      <c r="REI29" s="191"/>
      <c r="REJ29" s="191"/>
      <c r="REL29" s="191"/>
      <c r="REM29" s="191"/>
      <c r="REN29" s="191"/>
      <c r="REP29" s="191"/>
      <c r="REQ29" s="191"/>
      <c r="RER29" s="191"/>
      <c r="RET29" s="191"/>
      <c r="REU29" s="191"/>
      <c r="REV29" s="191"/>
      <c r="REX29" s="191"/>
      <c r="REY29" s="191"/>
      <c r="REZ29" s="191"/>
      <c r="RFB29" s="191"/>
      <c r="RFC29" s="191"/>
      <c r="RFD29" s="191"/>
      <c r="RFF29" s="191"/>
      <c r="RFG29" s="191"/>
      <c r="RFH29" s="191"/>
      <c r="RFJ29" s="191"/>
      <c r="RFK29" s="191"/>
      <c r="RFL29" s="191"/>
      <c r="RFN29" s="191"/>
      <c r="RFO29" s="191"/>
      <c r="RFP29" s="191"/>
      <c r="RFR29" s="191"/>
      <c r="RFS29" s="191"/>
      <c r="RFT29" s="191"/>
      <c r="RFV29" s="191"/>
      <c r="RFW29" s="191"/>
      <c r="RFX29" s="191"/>
      <c r="RFZ29" s="191"/>
      <c r="RGA29" s="191"/>
      <c r="RGB29" s="191"/>
      <c r="RGD29" s="191"/>
      <c r="RGE29" s="191"/>
      <c r="RGF29" s="191"/>
      <c r="RGH29" s="191"/>
      <c r="RGI29" s="191"/>
      <c r="RGJ29" s="191"/>
      <c r="RGL29" s="191"/>
      <c r="RGM29" s="191"/>
      <c r="RGN29" s="191"/>
      <c r="RGP29" s="191"/>
      <c r="RGQ29" s="191"/>
      <c r="RGR29" s="191"/>
      <c r="RGT29" s="191"/>
      <c r="RGU29" s="191"/>
      <c r="RGV29" s="191"/>
      <c r="RGX29" s="191"/>
      <c r="RGY29" s="191"/>
      <c r="RGZ29" s="191"/>
      <c r="RHB29" s="191"/>
      <c r="RHC29" s="191"/>
      <c r="RHD29" s="191"/>
      <c r="RHF29" s="191"/>
      <c r="RHG29" s="191"/>
      <c r="RHH29" s="191"/>
      <c r="RHJ29" s="191"/>
      <c r="RHK29" s="191"/>
      <c r="RHL29" s="191"/>
      <c r="RHN29" s="191"/>
      <c r="RHO29" s="191"/>
      <c r="RHP29" s="191"/>
      <c r="RHR29" s="191"/>
      <c r="RHS29" s="191"/>
      <c r="RHT29" s="191"/>
      <c r="RHV29" s="191"/>
      <c r="RHW29" s="191"/>
      <c r="RHX29" s="191"/>
      <c r="RHZ29" s="191"/>
      <c r="RIA29" s="191"/>
      <c r="RIB29" s="191"/>
      <c r="RID29" s="191"/>
      <c r="RIE29" s="191"/>
      <c r="RIF29" s="191"/>
      <c r="RIH29" s="191"/>
      <c r="RII29" s="191"/>
      <c r="RIJ29" s="191"/>
      <c r="RIL29" s="191"/>
      <c r="RIM29" s="191"/>
      <c r="RIN29" s="191"/>
      <c r="RIP29" s="191"/>
      <c r="RIQ29" s="191"/>
      <c r="RIR29" s="191"/>
      <c r="RIT29" s="191"/>
      <c r="RIU29" s="191"/>
      <c r="RIV29" s="191"/>
      <c r="RIX29" s="191"/>
      <c r="RIY29" s="191"/>
      <c r="RIZ29" s="191"/>
      <c r="RJB29" s="191"/>
      <c r="RJC29" s="191"/>
      <c r="RJD29" s="191"/>
      <c r="RJF29" s="191"/>
      <c r="RJG29" s="191"/>
      <c r="RJH29" s="191"/>
      <c r="RJJ29" s="191"/>
      <c r="RJK29" s="191"/>
      <c r="RJL29" s="191"/>
      <c r="RJN29" s="191"/>
      <c r="RJO29" s="191"/>
      <c r="RJP29" s="191"/>
      <c r="RJR29" s="191"/>
      <c r="RJS29" s="191"/>
      <c r="RJT29" s="191"/>
      <c r="RJV29" s="191"/>
      <c r="RJW29" s="191"/>
      <c r="RJX29" s="191"/>
      <c r="RJZ29" s="191"/>
      <c r="RKA29" s="191"/>
      <c r="RKB29" s="191"/>
      <c r="RKD29" s="191"/>
      <c r="RKE29" s="191"/>
      <c r="RKF29" s="191"/>
      <c r="RKH29" s="191"/>
      <c r="RKI29" s="191"/>
      <c r="RKJ29" s="191"/>
      <c r="RKL29" s="191"/>
      <c r="RKM29" s="191"/>
      <c r="RKN29" s="191"/>
      <c r="RKP29" s="191"/>
      <c r="RKQ29" s="191"/>
      <c r="RKR29" s="191"/>
      <c r="RKT29" s="191"/>
      <c r="RKU29" s="191"/>
      <c r="RKV29" s="191"/>
      <c r="RKX29" s="191"/>
      <c r="RKY29" s="191"/>
      <c r="RKZ29" s="191"/>
      <c r="RLB29" s="191"/>
      <c r="RLC29" s="191"/>
      <c r="RLD29" s="191"/>
      <c r="RLF29" s="191"/>
      <c r="RLG29" s="191"/>
      <c r="RLH29" s="191"/>
      <c r="RLJ29" s="191"/>
      <c r="RLK29" s="191"/>
      <c r="RLL29" s="191"/>
      <c r="RLN29" s="191"/>
      <c r="RLO29" s="191"/>
      <c r="RLP29" s="191"/>
      <c r="RLR29" s="191"/>
      <c r="RLS29" s="191"/>
      <c r="RLT29" s="191"/>
      <c r="RLV29" s="191"/>
      <c r="RLW29" s="191"/>
      <c r="RLX29" s="191"/>
      <c r="RLZ29" s="191"/>
      <c r="RMA29" s="191"/>
      <c r="RMB29" s="191"/>
      <c r="RMD29" s="191"/>
      <c r="RME29" s="191"/>
      <c r="RMF29" s="191"/>
      <c r="RMH29" s="191"/>
      <c r="RMI29" s="191"/>
      <c r="RMJ29" s="191"/>
      <c r="RML29" s="191"/>
      <c r="RMM29" s="191"/>
      <c r="RMN29" s="191"/>
      <c r="RMP29" s="191"/>
      <c r="RMQ29" s="191"/>
      <c r="RMR29" s="191"/>
      <c r="RMT29" s="191"/>
      <c r="RMU29" s="191"/>
      <c r="RMV29" s="191"/>
      <c r="RMX29" s="191"/>
      <c r="RMY29" s="191"/>
      <c r="RMZ29" s="191"/>
      <c r="RNB29" s="191"/>
      <c r="RNC29" s="191"/>
      <c r="RND29" s="191"/>
      <c r="RNF29" s="191"/>
      <c r="RNG29" s="191"/>
      <c r="RNH29" s="191"/>
      <c r="RNJ29" s="191"/>
      <c r="RNK29" s="191"/>
      <c r="RNL29" s="191"/>
      <c r="RNN29" s="191"/>
      <c r="RNO29" s="191"/>
      <c r="RNP29" s="191"/>
      <c r="RNR29" s="191"/>
      <c r="RNS29" s="191"/>
      <c r="RNT29" s="191"/>
      <c r="RNV29" s="191"/>
      <c r="RNW29" s="191"/>
      <c r="RNX29" s="191"/>
      <c r="RNZ29" s="191"/>
      <c r="ROA29" s="191"/>
      <c r="ROB29" s="191"/>
      <c r="ROD29" s="191"/>
      <c r="ROE29" s="191"/>
      <c r="ROF29" s="191"/>
      <c r="ROH29" s="191"/>
      <c r="ROI29" s="191"/>
      <c r="ROJ29" s="191"/>
      <c r="ROL29" s="191"/>
      <c r="ROM29" s="191"/>
      <c r="RON29" s="191"/>
      <c r="ROP29" s="191"/>
      <c r="ROQ29" s="191"/>
      <c r="ROR29" s="191"/>
      <c r="ROT29" s="191"/>
      <c r="ROU29" s="191"/>
      <c r="ROV29" s="191"/>
      <c r="ROX29" s="191"/>
      <c r="ROY29" s="191"/>
      <c r="ROZ29" s="191"/>
      <c r="RPB29" s="191"/>
      <c r="RPC29" s="191"/>
      <c r="RPD29" s="191"/>
      <c r="RPF29" s="191"/>
      <c r="RPG29" s="191"/>
      <c r="RPH29" s="191"/>
      <c r="RPJ29" s="191"/>
      <c r="RPK29" s="191"/>
      <c r="RPL29" s="191"/>
      <c r="RPN29" s="191"/>
      <c r="RPO29" s="191"/>
      <c r="RPP29" s="191"/>
      <c r="RPR29" s="191"/>
      <c r="RPS29" s="191"/>
      <c r="RPT29" s="191"/>
      <c r="RPV29" s="191"/>
      <c r="RPW29" s="191"/>
      <c r="RPX29" s="191"/>
      <c r="RPZ29" s="191"/>
      <c r="RQA29" s="191"/>
      <c r="RQB29" s="191"/>
      <c r="RQD29" s="191"/>
      <c r="RQE29" s="191"/>
      <c r="RQF29" s="191"/>
      <c r="RQH29" s="191"/>
      <c r="RQI29" s="191"/>
      <c r="RQJ29" s="191"/>
      <c r="RQL29" s="191"/>
      <c r="RQM29" s="191"/>
      <c r="RQN29" s="191"/>
      <c r="RQP29" s="191"/>
      <c r="RQQ29" s="191"/>
      <c r="RQR29" s="191"/>
      <c r="RQT29" s="191"/>
      <c r="RQU29" s="191"/>
      <c r="RQV29" s="191"/>
      <c r="RQX29" s="191"/>
      <c r="RQY29" s="191"/>
      <c r="RQZ29" s="191"/>
      <c r="RRB29" s="191"/>
      <c r="RRC29" s="191"/>
      <c r="RRD29" s="191"/>
      <c r="RRF29" s="191"/>
      <c r="RRG29" s="191"/>
      <c r="RRH29" s="191"/>
      <c r="RRJ29" s="191"/>
      <c r="RRK29" s="191"/>
      <c r="RRL29" s="191"/>
      <c r="RRN29" s="191"/>
      <c r="RRO29" s="191"/>
      <c r="RRP29" s="191"/>
      <c r="RRR29" s="191"/>
      <c r="RRS29" s="191"/>
      <c r="RRT29" s="191"/>
      <c r="RRV29" s="191"/>
      <c r="RRW29" s="191"/>
      <c r="RRX29" s="191"/>
      <c r="RRZ29" s="191"/>
      <c r="RSA29" s="191"/>
      <c r="RSB29" s="191"/>
      <c r="RSD29" s="191"/>
      <c r="RSE29" s="191"/>
      <c r="RSF29" s="191"/>
      <c r="RSH29" s="191"/>
      <c r="RSI29" s="191"/>
      <c r="RSJ29" s="191"/>
      <c r="RSL29" s="191"/>
      <c r="RSM29" s="191"/>
      <c r="RSN29" s="191"/>
      <c r="RSP29" s="191"/>
      <c r="RSQ29" s="191"/>
      <c r="RSR29" s="191"/>
      <c r="RST29" s="191"/>
      <c r="RSU29" s="191"/>
      <c r="RSV29" s="191"/>
      <c r="RSX29" s="191"/>
      <c r="RSY29" s="191"/>
      <c r="RSZ29" s="191"/>
      <c r="RTB29" s="191"/>
      <c r="RTC29" s="191"/>
      <c r="RTD29" s="191"/>
      <c r="RTF29" s="191"/>
      <c r="RTG29" s="191"/>
      <c r="RTH29" s="191"/>
      <c r="RTJ29" s="191"/>
      <c r="RTK29" s="191"/>
      <c r="RTL29" s="191"/>
      <c r="RTN29" s="191"/>
      <c r="RTO29" s="191"/>
      <c r="RTP29" s="191"/>
      <c r="RTR29" s="191"/>
      <c r="RTS29" s="191"/>
      <c r="RTT29" s="191"/>
      <c r="RTV29" s="191"/>
      <c r="RTW29" s="191"/>
      <c r="RTX29" s="191"/>
      <c r="RTZ29" s="191"/>
      <c r="RUA29" s="191"/>
      <c r="RUB29" s="191"/>
      <c r="RUD29" s="191"/>
      <c r="RUE29" s="191"/>
      <c r="RUF29" s="191"/>
      <c r="RUH29" s="191"/>
      <c r="RUI29" s="191"/>
      <c r="RUJ29" s="191"/>
      <c r="RUL29" s="191"/>
      <c r="RUM29" s="191"/>
      <c r="RUN29" s="191"/>
      <c r="RUP29" s="191"/>
      <c r="RUQ29" s="191"/>
      <c r="RUR29" s="191"/>
      <c r="RUT29" s="191"/>
      <c r="RUU29" s="191"/>
      <c r="RUV29" s="191"/>
      <c r="RUX29" s="191"/>
      <c r="RUY29" s="191"/>
      <c r="RUZ29" s="191"/>
      <c r="RVB29" s="191"/>
      <c r="RVC29" s="191"/>
      <c r="RVD29" s="191"/>
      <c r="RVF29" s="191"/>
      <c r="RVG29" s="191"/>
      <c r="RVH29" s="191"/>
      <c r="RVJ29" s="191"/>
      <c r="RVK29" s="191"/>
      <c r="RVL29" s="191"/>
      <c r="RVN29" s="191"/>
      <c r="RVO29" s="191"/>
      <c r="RVP29" s="191"/>
      <c r="RVR29" s="191"/>
      <c r="RVS29" s="191"/>
      <c r="RVT29" s="191"/>
      <c r="RVV29" s="191"/>
      <c r="RVW29" s="191"/>
      <c r="RVX29" s="191"/>
      <c r="RVZ29" s="191"/>
      <c r="RWA29" s="191"/>
      <c r="RWB29" s="191"/>
      <c r="RWD29" s="191"/>
      <c r="RWE29" s="191"/>
      <c r="RWF29" s="191"/>
      <c r="RWH29" s="191"/>
      <c r="RWI29" s="191"/>
      <c r="RWJ29" s="191"/>
      <c r="RWL29" s="191"/>
      <c r="RWM29" s="191"/>
      <c r="RWN29" s="191"/>
      <c r="RWP29" s="191"/>
      <c r="RWQ29" s="191"/>
      <c r="RWR29" s="191"/>
      <c r="RWT29" s="191"/>
      <c r="RWU29" s="191"/>
      <c r="RWV29" s="191"/>
      <c r="RWX29" s="191"/>
      <c r="RWY29" s="191"/>
      <c r="RWZ29" s="191"/>
      <c r="RXB29" s="191"/>
      <c r="RXC29" s="191"/>
      <c r="RXD29" s="191"/>
      <c r="RXF29" s="191"/>
      <c r="RXG29" s="191"/>
      <c r="RXH29" s="191"/>
      <c r="RXJ29" s="191"/>
      <c r="RXK29" s="191"/>
      <c r="RXL29" s="191"/>
      <c r="RXN29" s="191"/>
      <c r="RXO29" s="191"/>
      <c r="RXP29" s="191"/>
      <c r="RXR29" s="191"/>
      <c r="RXS29" s="191"/>
      <c r="RXT29" s="191"/>
      <c r="RXV29" s="191"/>
      <c r="RXW29" s="191"/>
      <c r="RXX29" s="191"/>
      <c r="RXZ29" s="191"/>
      <c r="RYA29" s="191"/>
      <c r="RYB29" s="191"/>
      <c r="RYD29" s="191"/>
      <c r="RYE29" s="191"/>
      <c r="RYF29" s="191"/>
      <c r="RYH29" s="191"/>
      <c r="RYI29" s="191"/>
      <c r="RYJ29" s="191"/>
      <c r="RYL29" s="191"/>
      <c r="RYM29" s="191"/>
      <c r="RYN29" s="191"/>
      <c r="RYP29" s="191"/>
      <c r="RYQ29" s="191"/>
      <c r="RYR29" s="191"/>
      <c r="RYT29" s="191"/>
      <c r="RYU29" s="191"/>
      <c r="RYV29" s="191"/>
      <c r="RYX29" s="191"/>
      <c r="RYY29" s="191"/>
      <c r="RYZ29" s="191"/>
      <c r="RZB29" s="191"/>
      <c r="RZC29" s="191"/>
      <c r="RZD29" s="191"/>
      <c r="RZF29" s="191"/>
      <c r="RZG29" s="191"/>
      <c r="RZH29" s="191"/>
      <c r="RZJ29" s="191"/>
      <c r="RZK29" s="191"/>
      <c r="RZL29" s="191"/>
      <c r="RZN29" s="191"/>
      <c r="RZO29" s="191"/>
      <c r="RZP29" s="191"/>
      <c r="RZR29" s="191"/>
      <c r="RZS29" s="191"/>
      <c r="RZT29" s="191"/>
      <c r="RZV29" s="191"/>
      <c r="RZW29" s="191"/>
      <c r="RZX29" s="191"/>
      <c r="RZZ29" s="191"/>
      <c r="SAA29" s="191"/>
      <c r="SAB29" s="191"/>
      <c r="SAD29" s="191"/>
      <c r="SAE29" s="191"/>
      <c r="SAF29" s="191"/>
      <c r="SAH29" s="191"/>
      <c r="SAI29" s="191"/>
      <c r="SAJ29" s="191"/>
      <c r="SAL29" s="191"/>
      <c r="SAM29" s="191"/>
      <c r="SAN29" s="191"/>
      <c r="SAP29" s="191"/>
      <c r="SAQ29" s="191"/>
      <c r="SAR29" s="191"/>
      <c r="SAT29" s="191"/>
      <c r="SAU29" s="191"/>
      <c r="SAV29" s="191"/>
      <c r="SAX29" s="191"/>
      <c r="SAY29" s="191"/>
      <c r="SAZ29" s="191"/>
      <c r="SBB29" s="191"/>
      <c r="SBC29" s="191"/>
      <c r="SBD29" s="191"/>
      <c r="SBF29" s="191"/>
      <c r="SBG29" s="191"/>
      <c r="SBH29" s="191"/>
      <c r="SBJ29" s="191"/>
      <c r="SBK29" s="191"/>
      <c r="SBL29" s="191"/>
      <c r="SBN29" s="191"/>
      <c r="SBO29" s="191"/>
      <c r="SBP29" s="191"/>
      <c r="SBR29" s="191"/>
      <c r="SBS29" s="191"/>
      <c r="SBT29" s="191"/>
      <c r="SBV29" s="191"/>
      <c r="SBW29" s="191"/>
      <c r="SBX29" s="191"/>
      <c r="SBZ29" s="191"/>
      <c r="SCA29" s="191"/>
      <c r="SCB29" s="191"/>
      <c r="SCD29" s="191"/>
      <c r="SCE29" s="191"/>
      <c r="SCF29" s="191"/>
      <c r="SCH29" s="191"/>
      <c r="SCI29" s="191"/>
      <c r="SCJ29" s="191"/>
      <c r="SCL29" s="191"/>
      <c r="SCM29" s="191"/>
      <c r="SCN29" s="191"/>
      <c r="SCP29" s="191"/>
      <c r="SCQ29" s="191"/>
      <c r="SCR29" s="191"/>
      <c r="SCT29" s="191"/>
      <c r="SCU29" s="191"/>
      <c r="SCV29" s="191"/>
      <c r="SCX29" s="191"/>
      <c r="SCY29" s="191"/>
      <c r="SCZ29" s="191"/>
      <c r="SDB29" s="191"/>
      <c r="SDC29" s="191"/>
      <c r="SDD29" s="191"/>
      <c r="SDF29" s="191"/>
      <c r="SDG29" s="191"/>
      <c r="SDH29" s="191"/>
      <c r="SDJ29" s="191"/>
      <c r="SDK29" s="191"/>
      <c r="SDL29" s="191"/>
      <c r="SDN29" s="191"/>
      <c r="SDO29" s="191"/>
      <c r="SDP29" s="191"/>
      <c r="SDR29" s="191"/>
      <c r="SDS29" s="191"/>
      <c r="SDT29" s="191"/>
      <c r="SDV29" s="191"/>
      <c r="SDW29" s="191"/>
      <c r="SDX29" s="191"/>
      <c r="SDZ29" s="191"/>
      <c r="SEA29" s="191"/>
      <c r="SEB29" s="191"/>
      <c r="SED29" s="191"/>
      <c r="SEE29" s="191"/>
      <c r="SEF29" s="191"/>
      <c r="SEH29" s="191"/>
      <c r="SEI29" s="191"/>
      <c r="SEJ29" s="191"/>
      <c r="SEL29" s="191"/>
      <c r="SEM29" s="191"/>
      <c r="SEN29" s="191"/>
      <c r="SEP29" s="191"/>
      <c r="SEQ29" s="191"/>
      <c r="SER29" s="191"/>
      <c r="SET29" s="191"/>
      <c r="SEU29" s="191"/>
      <c r="SEV29" s="191"/>
      <c r="SEX29" s="191"/>
      <c r="SEY29" s="191"/>
      <c r="SEZ29" s="191"/>
      <c r="SFB29" s="191"/>
      <c r="SFC29" s="191"/>
      <c r="SFD29" s="191"/>
      <c r="SFF29" s="191"/>
      <c r="SFG29" s="191"/>
      <c r="SFH29" s="191"/>
      <c r="SFJ29" s="191"/>
      <c r="SFK29" s="191"/>
      <c r="SFL29" s="191"/>
      <c r="SFN29" s="191"/>
      <c r="SFO29" s="191"/>
      <c r="SFP29" s="191"/>
      <c r="SFR29" s="191"/>
      <c r="SFS29" s="191"/>
      <c r="SFT29" s="191"/>
      <c r="SFV29" s="191"/>
      <c r="SFW29" s="191"/>
      <c r="SFX29" s="191"/>
      <c r="SFZ29" s="191"/>
      <c r="SGA29" s="191"/>
      <c r="SGB29" s="191"/>
      <c r="SGD29" s="191"/>
      <c r="SGE29" s="191"/>
      <c r="SGF29" s="191"/>
      <c r="SGH29" s="191"/>
      <c r="SGI29" s="191"/>
      <c r="SGJ29" s="191"/>
      <c r="SGL29" s="191"/>
      <c r="SGM29" s="191"/>
      <c r="SGN29" s="191"/>
      <c r="SGP29" s="191"/>
      <c r="SGQ29" s="191"/>
      <c r="SGR29" s="191"/>
      <c r="SGT29" s="191"/>
      <c r="SGU29" s="191"/>
      <c r="SGV29" s="191"/>
      <c r="SGX29" s="191"/>
      <c r="SGY29" s="191"/>
      <c r="SGZ29" s="191"/>
      <c r="SHB29" s="191"/>
      <c r="SHC29" s="191"/>
      <c r="SHD29" s="191"/>
      <c r="SHF29" s="191"/>
      <c r="SHG29" s="191"/>
      <c r="SHH29" s="191"/>
      <c r="SHJ29" s="191"/>
      <c r="SHK29" s="191"/>
      <c r="SHL29" s="191"/>
      <c r="SHN29" s="191"/>
      <c r="SHO29" s="191"/>
      <c r="SHP29" s="191"/>
      <c r="SHR29" s="191"/>
      <c r="SHS29" s="191"/>
      <c r="SHT29" s="191"/>
      <c r="SHV29" s="191"/>
      <c r="SHW29" s="191"/>
      <c r="SHX29" s="191"/>
      <c r="SHZ29" s="191"/>
      <c r="SIA29" s="191"/>
      <c r="SIB29" s="191"/>
      <c r="SID29" s="191"/>
      <c r="SIE29" s="191"/>
      <c r="SIF29" s="191"/>
      <c r="SIH29" s="191"/>
      <c r="SII29" s="191"/>
      <c r="SIJ29" s="191"/>
      <c r="SIL29" s="191"/>
      <c r="SIM29" s="191"/>
      <c r="SIN29" s="191"/>
      <c r="SIP29" s="191"/>
      <c r="SIQ29" s="191"/>
      <c r="SIR29" s="191"/>
      <c r="SIT29" s="191"/>
      <c r="SIU29" s="191"/>
      <c r="SIV29" s="191"/>
      <c r="SIX29" s="191"/>
      <c r="SIY29" s="191"/>
      <c r="SIZ29" s="191"/>
      <c r="SJB29" s="191"/>
      <c r="SJC29" s="191"/>
      <c r="SJD29" s="191"/>
      <c r="SJF29" s="191"/>
      <c r="SJG29" s="191"/>
      <c r="SJH29" s="191"/>
      <c r="SJJ29" s="191"/>
      <c r="SJK29" s="191"/>
      <c r="SJL29" s="191"/>
      <c r="SJN29" s="191"/>
      <c r="SJO29" s="191"/>
      <c r="SJP29" s="191"/>
      <c r="SJR29" s="191"/>
      <c r="SJS29" s="191"/>
      <c r="SJT29" s="191"/>
      <c r="SJV29" s="191"/>
      <c r="SJW29" s="191"/>
      <c r="SJX29" s="191"/>
      <c r="SJZ29" s="191"/>
      <c r="SKA29" s="191"/>
      <c r="SKB29" s="191"/>
      <c r="SKD29" s="191"/>
      <c r="SKE29" s="191"/>
      <c r="SKF29" s="191"/>
      <c r="SKH29" s="191"/>
      <c r="SKI29" s="191"/>
      <c r="SKJ29" s="191"/>
      <c r="SKL29" s="191"/>
      <c r="SKM29" s="191"/>
      <c r="SKN29" s="191"/>
      <c r="SKP29" s="191"/>
      <c r="SKQ29" s="191"/>
      <c r="SKR29" s="191"/>
      <c r="SKT29" s="191"/>
      <c r="SKU29" s="191"/>
      <c r="SKV29" s="191"/>
      <c r="SKX29" s="191"/>
      <c r="SKY29" s="191"/>
      <c r="SKZ29" s="191"/>
      <c r="SLB29" s="191"/>
      <c r="SLC29" s="191"/>
      <c r="SLD29" s="191"/>
      <c r="SLF29" s="191"/>
      <c r="SLG29" s="191"/>
      <c r="SLH29" s="191"/>
      <c r="SLJ29" s="191"/>
      <c r="SLK29" s="191"/>
      <c r="SLL29" s="191"/>
      <c r="SLN29" s="191"/>
      <c r="SLO29" s="191"/>
      <c r="SLP29" s="191"/>
      <c r="SLR29" s="191"/>
      <c r="SLS29" s="191"/>
      <c r="SLT29" s="191"/>
      <c r="SLV29" s="191"/>
      <c r="SLW29" s="191"/>
      <c r="SLX29" s="191"/>
      <c r="SLZ29" s="191"/>
      <c r="SMA29" s="191"/>
      <c r="SMB29" s="191"/>
      <c r="SMD29" s="191"/>
      <c r="SME29" s="191"/>
      <c r="SMF29" s="191"/>
      <c r="SMH29" s="191"/>
      <c r="SMI29" s="191"/>
      <c r="SMJ29" s="191"/>
      <c r="SML29" s="191"/>
      <c r="SMM29" s="191"/>
      <c r="SMN29" s="191"/>
      <c r="SMP29" s="191"/>
      <c r="SMQ29" s="191"/>
      <c r="SMR29" s="191"/>
      <c r="SMT29" s="191"/>
      <c r="SMU29" s="191"/>
      <c r="SMV29" s="191"/>
      <c r="SMX29" s="191"/>
      <c r="SMY29" s="191"/>
      <c r="SMZ29" s="191"/>
      <c r="SNB29" s="191"/>
      <c r="SNC29" s="191"/>
      <c r="SND29" s="191"/>
      <c r="SNF29" s="191"/>
      <c r="SNG29" s="191"/>
      <c r="SNH29" s="191"/>
      <c r="SNJ29" s="191"/>
      <c r="SNK29" s="191"/>
      <c r="SNL29" s="191"/>
      <c r="SNN29" s="191"/>
      <c r="SNO29" s="191"/>
      <c r="SNP29" s="191"/>
      <c r="SNR29" s="191"/>
      <c r="SNS29" s="191"/>
      <c r="SNT29" s="191"/>
      <c r="SNV29" s="191"/>
      <c r="SNW29" s="191"/>
      <c r="SNX29" s="191"/>
      <c r="SNZ29" s="191"/>
      <c r="SOA29" s="191"/>
      <c r="SOB29" s="191"/>
      <c r="SOD29" s="191"/>
      <c r="SOE29" s="191"/>
      <c r="SOF29" s="191"/>
      <c r="SOH29" s="191"/>
      <c r="SOI29" s="191"/>
      <c r="SOJ29" s="191"/>
      <c r="SOL29" s="191"/>
      <c r="SOM29" s="191"/>
      <c r="SON29" s="191"/>
      <c r="SOP29" s="191"/>
      <c r="SOQ29" s="191"/>
      <c r="SOR29" s="191"/>
      <c r="SOT29" s="191"/>
      <c r="SOU29" s="191"/>
      <c r="SOV29" s="191"/>
      <c r="SOX29" s="191"/>
      <c r="SOY29" s="191"/>
      <c r="SOZ29" s="191"/>
      <c r="SPB29" s="191"/>
      <c r="SPC29" s="191"/>
      <c r="SPD29" s="191"/>
      <c r="SPF29" s="191"/>
      <c r="SPG29" s="191"/>
      <c r="SPH29" s="191"/>
      <c r="SPJ29" s="191"/>
      <c r="SPK29" s="191"/>
      <c r="SPL29" s="191"/>
      <c r="SPN29" s="191"/>
      <c r="SPO29" s="191"/>
      <c r="SPP29" s="191"/>
      <c r="SPR29" s="191"/>
      <c r="SPS29" s="191"/>
      <c r="SPT29" s="191"/>
      <c r="SPV29" s="191"/>
      <c r="SPW29" s="191"/>
      <c r="SPX29" s="191"/>
      <c r="SPZ29" s="191"/>
      <c r="SQA29" s="191"/>
      <c r="SQB29" s="191"/>
      <c r="SQD29" s="191"/>
      <c r="SQE29" s="191"/>
      <c r="SQF29" s="191"/>
      <c r="SQH29" s="191"/>
      <c r="SQI29" s="191"/>
      <c r="SQJ29" s="191"/>
      <c r="SQL29" s="191"/>
      <c r="SQM29" s="191"/>
      <c r="SQN29" s="191"/>
      <c r="SQP29" s="191"/>
      <c r="SQQ29" s="191"/>
      <c r="SQR29" s="191"/>
      <c r="SQT29" s="191"/>
      <c r="SQU29" s="191"/>
      <c r="SQV29" s="191"/>
      <c r="SQX29" s="191"/>
      <c r="SQY29" s="191"/>
      <c r="SQZ29" s="191"/>
      <c r="SRB29" s="191"/>
      <c r="SRC29" s="191"/>
      <c r="SRD29" s="191"/>
      <c r="SRF29" s="191"/>
      <c r="SRG29" s="191"/>
      <c r="SRH29" s="191"/>
      <c r="SRJ29" s="191"/>
      <c r="SRK29" s="191"/>
      <c r="SRL29" s="191"/>
      <c r="SRN29" s="191"/>
      <c r="SRO29" s="191"/>
      <c r="SRP29" s="191"/>
      <c r="SRR29" s="191"/>
      <c r="SRS29" s="191"/>
      <c r="SRT29" s="191"/>
      <c r="SRV29" s="191"/>
      <c r="SRW29" s="191"/>
      <c r="SRX29" s="191"/>
      <c r="SRZ29" s="191"/>
      <c r="SSA29" s="191"/>
      <c r="SSB29" s="191"/>
      <c r="SSD29" s="191"/>
      <c r="SSE29" s="191"/>
      <c r="SSF29" s="191"/>
      <c r="SSH29" s="191"/>
      <c r="SSI29" s="191"/>
      <c r="SSJ29" s="191"/>
      <c r="SSL29" s="191"/>
      <c r="SSM29" s="191"/>
      <c r="SSN29" s="191"/>
      <c r="SSP29" s="191"/>
      <c r="SSQ29" s="191"/>
      <c r="SSR29" s="191"/>
      <c r="SST29" s="191"/>
      <c r="SSU29" s="191"/>
      <c r="SSV29" s="191"/>
      <c r="SSX29" s="191"/>
      <c r="SSY29" s="191"/>
      <c r="SSZ29" s="191"/>
      <c r="STB29" s="191"/>
      <c r="STC29" s="191"/>
      <c r="STD29" s="191"/>
      <c r="STF29" s="191"/>
      <c r="STG29" s="191"/>
      <c r="STH29" s="191"/>
      <c r="STJ29" s="191"/>
      <c r="STK29" s="191"/>
      <c r="STL29" s="191"/>
      <c r="STN29" s="191"/>
      <c r="STO29" s="191"/>
      <c r="STP29" s="191"/>
      <c r="STR29" s="191"/>
      <c r="STS29" s="191"/>
      <c r="STT29" s="191"/>
      <c r="STV29" s="191"/>
      <c r="STW29" s="191"/>
      <c r="STX29" s="191"/>
      <c r="STZ29" s="191"/>
      <c r="SUA29" s="191"/>
      <c r="SUB29" s="191"/>
      <c r="SUD29" s="191"/>
      <c r="SUE29" s="191"/>
      <c r="SUF29" s="191"/>
      <c r="SUH29" s="191"/>
      <c r="SUI29" s="191"/>
      <c r="SUJ29" s="191"/>
      <c r="SUL29" s="191"/>
      <c r="SUM29" s="191"/>
      <c r="SUN29" s="191"/>
      <c r="SUP29" s="191"/>
      <c r="SUQ29" s="191"/>
      <c r="SUR29" s="191"/>
      <c r="SUT29" s="191"/>
      <c r="SUU29" s="191"/>
      <c r="SUV29" s="191"/>
      <c r="SUX29" s="191"/>
      <c r="SUY29" s="191"/>
      <c r="SUZ29" s="191"/>
      <c r="SVB29" s="191"/>
      <c r="SVC29" s="191"/>
      <c r="SVD29" s="191"/>
      <c r="SVF29" s="191"/>
      <c r="SVG29" s="191"/>
      <c r="SVH29" s="191"/>
      <c r="SVJ29" s="191"/>
      <c r="SVK29" s="191"/>
      <c r="SVL29" s="191"/>
      <c r="SVN29" s="191"/>
      <c r="SVO29" s="191"/>
      <c r="SVP29" s="191"/>
      <c r="SVR29" s="191"/>
      <c r="SVS29" s="191"/>
      <c r="SVT29" s="191"/>
      <c r="SVV29" s="191"/>
      <c r="SVW29" s="191"/>
      <c r="SVX29" s="191"/>
      <c r="SVZ29" s="191"/>
      <c r="SWA29" s="191"/>
      <c r="SWB29" s="191"/>
      <c r="SWD29" s="191"/>
      <c r="SWE29" s="191"/>
      <c r="SWF29" s="191"/>
      <c r="SWH29" s="191"/>
      <c r="SWI29" s="191"/>
      <c r="SWJ29" s="191"/>
      <c r="SWL29" s="191"/>
      <c r="SWM29" s="191"/>
      <c r="SWN29" s="191"/>
      <c r="SWP29" s="191"/>
      <c r="SWQ29" s="191"/>
      <c r="SWR29" s="191"/>
      <c r="SWT29" s="191"/>
      <c r="SWU29" s="191"/>
      <c r="SWV29" s="191"/>
      <c r="SWX29" s="191"/>
      <c r="SWY29" s="191"/>
      <c r="SWZ29" s="191"/>
      <c r="SXB29" s="191"/>
      <c r="SXC29" s="191"/>
      <c r="SXD29" s="191"/>
      <c r="SXF29" s="191"/>
      <c r="SXG29" s="191"/>
      <c r="SXH29" s="191"/>
      <c r="SXJ29" s="191"/>
      <c r="SXK29" s="191"/>
      <c r="SXL29" s="191"/>
      <c r="SXN29" s="191"/>
      <c r="SXO29" s="191"/>
      <c r="SXP29" s="191"/>
      <c r="SXR29" s="191"/>
      <c r="SXS29" s="191"/>
      <c r="SXT29" s="191"/>
      <c r="SXV29" s="191"/>
      <c r="SXW29" s="191"/>
      <c r="SXX29" s="191"/>
      <c r="SXZ29" s="191"/>
      <c r="SYA29" s="191"/>
      <c r="SYB29" s="191"/>
      <c r="SYD29" s="191"/>
      <c r="SYE29" s="191"/>
      <c r="SYF29" s="191"/>
      <c r="SYH29" s="191"/>
      <c r="SYI29" s="191"/>
      <c r="SYJ29" s="191"/>
      <c r="SYL29" s="191"/>
      <c r="SYM29" s="191"/>
      <c r="SYN29" s="191"/>
      <c r="SYP29" s="191"/>
      <c r="SYQ29" s="191"/>
      <c r="SYR29" s="191"/>
      <c r="SYT29" s="191"/>
      <c r="SYU29" s="191"/>
      <c r="SYV29" s="191"/>
      <c r="SYX29" s="191"/>
      <c r="SYY29" s="191"/>
      <c r="SYZ29" s="191"/>
      <c r="SZB29" s="191"/>
      <c r="SZC29" s="191"/>
      <c r="SZD29" s="191"/>
      <c r="SZF29" s="191"/>
      <c r="SZG29" s="191"/>
      <c r="SZH29" s="191"/>
      <c r="SZJ29" s="191"/>
      <c r="SZK29" s="191"/>
      <c r="SZL29" s="191"/>
      <c r="SZN29" s="191"/>
      <c r="SZO29" s="191"/>
      <c r="SZP29" s="191"/>
      <c r="SZR29" s="191"/>
      <c r="SZS29" s="191"/>
      <c r="SZT29" s="191"/>
      <c r="SZV29" s="191"/>
      <c r="SZW29" s="191"/>
      <c r="SZX29" s="191"/>
      <c r="SZZ29" s="191"/>
      <c r="TAA29" s="191"/>
      <c r="TAB29" s="191"/>
      <c r="TAD29" s="191"/>
      <c r="TAE29" s="191"/>
      <c r="TAF29" s="191"/>
      <c r="TAH29" s="191"/>
      <c r="TAI29" s="191"/>
      <c r="TAJ29" s="191"/>
      <c r="TAL29" s="191"/>
      <c r="TAM29" s="191"/>
      <c r="TAN29" s="191"/>
      <c r="TAP29" s="191"/>
      <c r="TAQ29" s="191"/>
      <c r="TAR29" s="191"/>
      <c r="TAT29" s="191"/>
      <c r="TAU29" s="191"/>
      <c r="TAV29" s="191"/>
      <c r="TAX29" s="191"/>
      <c r="TAY29" s="191"/>
      <c r="TAZ29" s="191"/>
      <c r="TBB29" s="191"/>
      <c r="TBC29" s="191"/>
      <c r="TBD29" s="191"/>
      <c r="TBF29" s="191"/>
      <c r="TBG29" s="191"/>
      <c r="TBH29" s="191"/>
      <c r="TBJ29" s="191"/>
      <c r="TBK29" s="191"/>
      <c r="TBL29" s="191"/>
      <c r="TBN29" s="191"/>
      <c r="TBO29" s="191"/>
      <c r="TBP29" s="191"/>
      <c r="TBR29" s="191"/>
      <c r="TBS29" s="191"/>
      <c r="TBT29" s="191"/>
      <c r="TBV29" s="191"/>
      <c r="TBW29" s="191"/>
      <c r="TBX29" s="191"/>
      <c r="TBZ29" s="191"/>
      <c r="TCA29" s="191"/>
      <c r="TCB29" s="191"/>
      <c r="TCD29" s="191"/>
      <c r="TCE29" s="191"/>
      <c r="TCF29" s="191"/>
      <c r="TCH29" s="191"/>
      <c r="TCI29" s="191"/>
      <c r="TCJ29" s="191"/>
      <c r="TCL29" s="191"/>
      <c r="TCM29" s="191"/>
      <c r="TCN29" s="191"/>
      <c r="TCP29" s="191"/>
      <c r="TCQ29" s="191"/>
      <c r="TCR29" s="191"/>
      <c r="TCT29" s="191"/>
      <c r="TCU29" s="191"/>
      <c r="TCV29" s="191"/>
      <c r="TCX29" s="191"/>
      <c r="TCY29" s="191"/>
      <c r="TCZ29" s="191"/>
      <c r="TDB29" s="191"/>
      <c r="TDC29" s="191"/>
      <c r="TDD29" s="191"/>
      <c r="TDF29" s="191"/>
      <c r="TDG29" s="191"/>
      <c r="TDH29" s="191"/>
      <c r="TDJ29" s="191"/>
      <c r="TDK29" s="191"/>
      <c r="TDL29" s="191"/>
      <c r="TDN29" s="191"/>
      <c r="TDO29" s="191"/>
      <c r="TDP29" s="191"/>
      <c r="TDR29" s="191"/>
      <c r="TDS29" s="191"/>
      <c r="TDT29" s="191"/>
      <c r="TDV29" s="191"/>
      <c r="TDW29" s="191"/>
      <c r="TDX29" s="191"/>
      <c r="TDZ29" s="191"/>
      <c r="TEA29" s="191"/>
      <c r="TEB29" s="191"/>
      <c r="TED29" s="191"/>
      <c r="TEE29" s="191"/>
      <c r="TEF29" s="191"/>
      <c r="TEH29" s="191"/>
      <c r="TEI29" s="191"/>
      <c r="TEJ29" s="191"/>
      <c r="TEL29" s="191"/>
      <c r="TEM29" s="191"/>
      <c r="TEN29" s="191"/>
      <c r="TEP29" s="191"/>
      <c r="TEQ29" s="191"/>
      <c r="TER29" s="191"/>
      <c r="TET29" s="191"/>
      <c r="TEU29" s="191"/>
      <c r="TEV29" s="191"/>
      <c r="TEX29" s="191"/>
      <c r="TEY29" s="191"/>
      <c r="TEZ29" s="191"/>
      <c r="TFB29" s="191"/>
      <c r="TFC29" s="191"/>
      <c r="TFD29" s="191"/>
      <c r="TFF29" s="191"/>
      <c r="TFG29" s="191"/>
      <c r="TFH29" s="191"/>
      <c r="TFJ29" s="191"/>
      <c r="TFK29" s="191"/>
      <c r="TFL29" s="191"/>
      <c r="TFN29" s="191"/>
      <c r="TFO29" s="191"/>
      <c r="TFP29" s="191"/>
      <c r="TFR29" s="191"/>
      <c r="TFS29" s="191"/>
      <c r="TFT29" s="191"/>
      <c r="TFV29" s="191"/>
      <c r="TFW29" s="191"/>
      <c r="TFX29" s="191"/>
      <c r="TFZ29" s="191"/>
      <c r="TGA29" s="191"/>
      <c r="TGB29" s="191"/>
      <c r="TGD29" s="191"/>
      <c r="TGE29" s="191"/>
      <c r="TGF29" s="191"/>
      <c r="TGH29" s="191"/>
      <c r="TGI29" s="191"/>
      <c r="TGJ29" s="191"/>
      <c r="TGL29" s="191"/>
      <c r="TGM29" s="191"/>
      <c r="TGN29" s="191"/>
      <c r="TGP29" s="191"/>
      <c r="TGQ29" s="191"/>
      <c r="TGR29" s="191"/>
      <c r="TGT29" s="191"/>
      <c r="TGU29" s="191"/>
      <c r="TGV29" s="191"/>
      <c r="TGX29" s="191"/>
      <c r="TGY29" s="191"/>
      <c r="TGZ29" s="191"/>
      <c r="THB29" s="191"/>
      <c r="THC29" s="191"/>
      <c r="THD29" s="191"/>
      <c r="THF29" s="191"/>
      <c r="THG29" s="191"/>
      <c r="THH29" s="191"/>
      <c r="THJ29" s="191"/>
      <c r="THK29" s="191"/>
      <c r="THL29" s="191"/>
      <c r="THN29" s="191"/>
      <c r="THO29" s="191"/>
      <c r="THP29" s="191"/>
      <c r="THR29" s="191"/>
      <c r="THS29" s="191"/>
      <c r="THT29" s="191"/>
      <c r="THV29" s="191"/>
      <c r="THW29" s="191"/>
      <c r="THX29" s="191"/>
      <c r="THZ29" s="191"/>
      <c r="TIA29" s="191"/>
      <c r="TIB29" s="191"/>
      <c r="TID29" s="191"/>
      <c r="TIE29" s="191"/>
      <c r="TIF29" s="191"/>
      <c r="TIH29" s="191"/>
      <c r="TII29" s="191"/>
      <c r="TIJ29" s="191"/>
      <c r="TIL29" s="191"/>
      <c r="TIM29" s="191"/>
      <c r="TIN29" s="191"/>
      <c r="TIP29" s="191"/>
      <c r="TIQ29" s="191"/>
      <c r="TIR29" s="191"/>
      <c r="TIT29" s="191"/>
      <c r="TIU29" s="191"/>
      <c r="TIV29" s="191"/>
      <c r="TIX29" s="191"/>
      <c r="TIY29" s="191"/>
      <c r="TIZ29" s="191"/>
      <c r="TJB29" s="191"/>
      <c r="TJC29" s="191"/>
      <c r="TJD29" s="191"/>
      <c r="TJF29" s="191"/>
      <c r="TJG29" s="191"/>
      <c r="TJH29" s="191"/>
      <c r="TJJ29" s="191"/>
      <c r="TJK29" s="191"/>
      <c r="TJL29" s="191"/>
      <c r="TJN29" s="191"/>
      <c r="TJO29" s="191"/>
      <c r="TJP29" s="191"/>
      <c r="TJR29" s="191"/>
      <c r="TJS29" s="191"/>
      <c r="TJT29" s="191"/>
      <c r="TJV29" s="191"/>
      <c r="TJW29" s="191"/>
      <c r="TJX29" s="191"/>
      <c r="TJZ29" s="191"/>
      <c r="TKA29" s="191"/>
      <c r="TKB29" s="191"/>
      <c r="TKD29" s="191"/>
      <c r="TKE29" s="191"/>
      <c r="TKF29" s="191"/>
      <c r="TKH29" s="191"/>
      <c r="TKI29" s="191"/>
      <c r="TKJ29" s="191"/>
      <c r="TKL29" s="191"/>
      <c r="TKM29" s="191"/>
      <c r="TKN29" s="191"/>
      <c r="TKP29" s="191"/>
      <c r="TKQ29" s="191"/>
      <c r="TKR29" s="191"/>
      <c r="TKT29" s="191"/>
      <c r="TKU29" s="191"/>
      <c r="TKV29" s="191"/>
      <c r="TKX29" s="191"/>
      <c r="TKY29" s="191"/>
      <c r="TKZ29" s="191"/>
      <c r="TLB29" s="191"/>
      <c r="TLC29" s="191"/>
      <c r="TLD29" s="191"/>
      <c r="TLF29" s="191"/>
      <c r="TLG29" s="191"/>
      <c r="TLH29" s="191"/>
      <c r="TLJ29" s="191"/>
      <c r="TLK29" s="191"/>
      <c r="TLL29" s="191"/>
      <c r="TLN29" s="191"/>
      <c r="TLO29" s="191"/>
      <c r="TLP29" s="191"/>
      <c r="TLR29" s="191"/>
      <c r="TLS29" s="191"/>
      <c r="TLT29" s="191"/>
      <c r="TLV29" s="191"/>
      <c r="TLW29" s="191"/>
      <c r="TLX29" s="191"/>
      <c r="TLZ29" s="191"/>
      <c r="TMA29" s="191"/>
      <c r="TMB29" s="191"/>
      <c r="TMD29" s="191"/>
      <c r="TME29" s="191"/>
      <c r="TMF29" s="191"/>
      <c r="TMH29" s="191"/>
      <c r="TMI29" s="191"/>
      <c r="TMJ29" s="191"/>
      <c r="TML29" s="191"/>
      <c r="TMM29" s="191"/>
      <c r="TMN29" s="191"/>
      <c r="TMP29" s="191"/>
      <c r="TMQ29" s="191"/>
      <c r="TMR29" s="191"/>
      <c r="TMT29" s="191"/>
      <c r="TMU29" s="191"/>
      <c r="TMV29" s="191"/>
      <c r="TMX29" s="191"/>
      <c r="TMY29" s="191"/>
      <c r="TMZ29" s="191"/>
      <c r="TNB29" s="191"/>
      <c r="TNC29" s="191"/>
      <c r="TND29" s="191"/>
      <c r="TNF29" s="191"/>
      <c r="TNG29" s="191"/>
      <c r="TNH29" s="191"/>
      <c r="TNJ29" s="191"/>
      <c r="TNK29" s="191"/>
      <c r="TNL29" s="191"/>
      <c r="TNN29" s="191"/>
      <c r="TNO29" s="191"/>
      <c r="TNP29" s="191"/>
      <c r="TNR29" s="191"/>
      <c r="TNS29" s="191"/>
      <c r="TNT29" s="191"/>
      <c r="TNV29" s="191"/>
      <c r="TNW29" s="191"/>
      <c r="TNX29" s="191"/>
      <c r="TNZ29" s="191"/>
      <c r="TOA29" s="191"/>
      <c r="TOB29" s="191"/>
      <c r="TOD29" s="191"/>
      <c r="TOE29" s="191"/>
      <c r="TOF29" s="191"/>
      <c r="TOH29" s="191"/>
      <c r="TOI29" s="191"/>
      <c r="TOJ29" s="191"/>
      <c r="TOL29" s="191"/>
      <c r="TOM29" s="191"/>
      <c r="TON29" s="191"/>
      <c r="TOP29" s="191"/>
      <c r="TOQ29" s="191"/>
      <c r="TOR29" s="191"/>
      <c r="TOT29" s="191"/>
      <c r="TOU29" s="191"/>
      <c r="TOV29" s="191"/>
      <c r="TOX29" s="191"/>
      <c r="TOY29" s="191"/>
      <c r="TOZ29" s="191"/>
      <c r="TPB29" s="191"/>
      <c r="TPC29" s="191"/>
      <c r="TPD29" s="191"/>
      <c r="TPF29" s="191"/>
      <c r="TPG29" s="191"/>
      <c r="TPH29" s="191"/>
      <c r="TPJ29" s="191"/>
      <c r="TPK29" s="191"/>
      <c r="TPL29" s="191"/>
      <c r="TPN29" s="191"/>
      <c r="TPO29" s="191"/>
      <c r="TPP29" s="191"/>
      <c r="TPR29" s="191"/>
      <c r="TPS29" s="191"/>
      <c r="TPT29" s="191"/>
      <c r="TPV29" s="191"/>
      <c r="TPW29" s="191"/>
      <c r="TPX29" s="191"/>
      <c r="TPZ29" s="191"/>
      <c r="TQA29" s="191"/>
      <c r="TQB29" s="191"/>
      <c r="TQD29" s="191"/>
      <c r="TQE29" s="191"/>
      <c r="TQF29" s="191"/>
      <c r="TQH29" s="191"/>
      <c r="TQI29" s="191"/>
      <c r="TQJ29" s="191"/>
      <c r="TQL29" s="191"/>
      <c r="TQM29" s="191"/>
      <c r="TQN29" s="191"/>
      <c r="TQP29" s="191"/>
      <c r="TQQ29" s="191"/>
      <c r="TQR29" s="191"/>
      <c r="TQT29" s="191"/>
      <c r="TQU29" s="191"/>
      <c r="TQV29" s="191"/>
      <c r="TQX29" s="191"/>
      <c r="TQY29" s="191"/>
      <c r="TQZ29" s="191"/>
      <c r="TRB29" s="191"/>
      <c r="TRC29" s="191"/>
      <c r="TRD29" s="191"/>
      <c r="TRF29" s="191"/>
      <c r="TRG29" s="191"/>
      <c r="TRH29" s="191"/>
      <c r="TRJ29" s="191"/>
      <c r="TRK29" s="191"/>
      <c r="TRL29" s="191"/>
      <c r="TRN29" s="191"/>
      <c r="TRO29" s="191"/>
      <c r="TRP29" s="191"/>
      <c r="TRR29" s="191"/>
      <c r="TRS29" s="191"/>
      <c r="TRT29" s="191"/>
      <c r="TRV29" s="191"/>
      <c r="TRW29" s="191"/>
      <c r="TRX29" s="191"/>
      <c r="TRZ29" s="191"/>
      <c r="TSA29" s="191"/>
      <c r="TSB29" s="191"/>
      <c r="TSD29" s="191"/>
      <c r="TSE29" s="191"/>
      <c r="TSF29" s="191"/>
      <c r="TSH29" s="191"/>
      <c r="TSI29" s="191"/>
      <c r="TSJ29" s="191"/>
      <c r="TSL29" s="191"/>
      <c r="TSM29" s="191"/>
      <c r="TSN29" s="191"/>
      <c r="TSP29" s="191"/>
      <c r="TSQ29" s="191"/>
      <c r="TSR29" s="191"/>
      <c r="TST29" s="191"/>
      <c r="TSU29" s="191"/>
      <c r="TSV29" s="191"/>
      <c r="TSX29" s="191"/>
      <c r="TSY29" s="191"/>
      <c r="TSZ29" s="191"/>
      <c r="TTB29" s="191"/>
      <c r="TTC29" s="191"/>
      <c r="TTD29" s="191"/>
      <c r="TTF29" s="191"/>
      <c r="TTG29" s="191"/>
      <c r="TTH29" s="191"/>
      <c r="TTJ29" s="191"/>
      <c r="TTK29" s="191"/>
      <c r="TTL29" s="191"/>
      <c r="TTN29" s="191"/>
      <c r="TTO29" s="191"/>
      <c r="TTP29" s="191"/>
      <c r="TTR29" s="191"/>
      <c r="TTS29" s="191"/>
      <c r="TTT29" s="191"/>
      <c r="TTV29" s="191"/>
      <c r="TTW29" s="191"/>
      <c r="TTX29" s="191"/>
      <c r="TTZ29" s="191"/>
      <c r="TUA29" s="191"/>
      <c r="TUB29" s="191"/>
      <c r="TUD29" s="191"/>
      <c r="TUE29" s="191"/>
      <c r="TUF29" s="191"/>
      <c r="TUH29" s="191"/>
      <c r="TUI29" s="191"/>
      <c r="TUJ29" s="191"/>
      <c r="TUL29" s="191"/>
      <c r="TUM29" s="191"/>
      <c r="TUN29" s="191"/>
      <c r="TUP29" s="191"/>
      <c r="TUQ29" s="191"/>
      <c r="TUR29" s="191"/>
      <c r="TUT29" s="191"/>
      <c r="TUU29" s="191"/>
      <c r="TUV29" s="191"/>
      <c r="TUX29" s="191"/>
      <c r="TUY29" s="191"/>
      <c r="TUZ29" s="191"/>
      <c r="TVB29" s="191"/>
      <c r="TVC29" s="191"/>
      <c r="TVD29" s="191"/>
      <c r="TVF29" s="191"/>
      <c r="TVG29" s="191"/>
      <c r="TVH29" s="191"/>
      <c r="TVJ29" s="191"/>
      <c r="TVK29" s="191"/>
      <c r="TVL29" s="191"/>
      <c r="TVN29" s="191"/>
      <c r="TVO29" s="191"/>
      <c r="TVP29" s="191"/>
      <c r="TVR29" s="191"/>
      <c r="TVS29" s="191"/>
      <c r="TVT29" s="191"/>
      <c r="TVV29" s="191"/>
      <c r="TVW29" s="191"/>
      <c r="TVX29" s="191"/>
      <c r="TVZ29" s="191"/>
      <c r="TWA29" s="191"/>
      <c r="TWB29" s="191"/>
      <c r="TWD29" s="191"/>
      <c r="TWE29" s="191"/>
      <c r="TWF29" s="191"/>
      <c r="TWH29" s="191"/>
      <c r="TWI29" s="191"/>
      <c r="TWJ29" s="191"/>
      <c r="TWL29" s="191"/>
      <c r="TWM29" s="191"/>
      <c r="TWN29" s="191"/>
      <c r="TWP29" s="191"/>
      <c r="TWQ29" s="191"/>
      <c r="TWR29" s="191"/>
      <c r="TWT29" s="191"/>
      <c r="TWU29" s="191"/>
      <c r="TWV29" s="191"/>
      <c r="TWX29" s="191"/>
      <c r="TWY29" s="191"/>
      <c r="TWZ29" s="191"/>
      <c r="TXB29" s="191"/>
      <c r="TXC29" s="191"/>
      <c r="TXD29" s="191"/>
      <c r="TXF29" s="191"/>
      <c r="TXG29" s="191"/>
      <c r="TXH29" s="191"/>
      <c r="TXJ29" s="191"/>
      <c r="TXK29" s="191"/>
      <c r="TXL29" s="191"/>
      <c r="TXN29" s="191"/>
      <c r="TXO29" s="191"/>
      <c r="TXP29" s="191"/>
      <c r="TXR29" s="191"/>
      <c r="TXS29" s="191"/>
      <c r="TXT29" s="191"/>
      <c r="TXV29" s="191"/>
      <c r="TXW29" s="191"/>
      <c r="TXX29" s="191"/>
      <c r="TXZ29" s="191"/>
      <c r="TYA29" s="191"/>
      <c r="TYB29" s="191"/>
      <c r="TYD29" s="191"/>
      <c r="TYE29" s="191"/>
      <c r="TYF29" s="191"/>
      <c r="TYH29" s="191"/>
      <c r="TYI29" s="191"/>
      <c r="TYJ29" s="191"/>
      <c r="TYL29" s="191"/>
      <c r="TYM29" s="191"/>
      <c r="TYN29" s="191"/>
      <c r="TYP29" s="191"/>
      <c r="TYQ29" s="191"/>
      <c r="TYR29" s="191"/>
      <c r="TYT29" s="191"/>
      <c r="TYU29" s="191"/>
      <c r="TYV29" s="191"/>
      <c r="TYX29" s="191"/>
      <c r="TYY29" s="191"/>
      <c r="TYZ29" s="191"/>
      <c r="TZB29" s="191"/>
      <c r="TZC29" s="191"/>
      <c r="TZD29" s="191"/>
      <c r="TZF29" s="191"/>
      <c r="TZG29" s="191"/>
      <c r="TZH29" s="191"/>
      <c r="TZJ29" s="191"/>
      <c r="TZK29" s="191"/>
      <c r="TZL29" s="191"/>
      <c r="TZN29" s="191"/>
      <c r="TZO29" s="191"/>
      <c r="TZP29" s="191"/>
      <c r="TZR29" s="191"/>
      <c r="TZS29" s="191"/>
      <c r="TZT29" s="191"/>
      <c r="TZV29" s="191"/>
      <c r="TZW29" s="191"/>
      <c r="TZX29" s="191"/>
      <c r="TZZ29" s="191"/>
      <c r="UAA29" s="191"/>
      <c r="UAB29" s="191"/>
      <c r="UAD29" s="191"/>
      <c r="UAE29" s="191"/>
      <c r="UAF29" s="191"/>
      <c r="UAH29" s="191"/>
      <c r="UAI29" s="191"/>
      <c r="UAJ29" s="191"/>
      <c r="UAL29" s="191"/>
      <c r="UAM29" s="191"/>
      <c r="UAN29" s="191"/>
      <c r="UAP29" s="191"/>
      <c r="UAQ29" s="191"/>
      <c r="UAR29" s="191"/>
      <c r="UAT29" s="191"/>
      <c r="UAU29" s="191"/>
      <c r="UAV29" s="191"/>
      <c r="UAX29" s="191"/>
      <c r="UAY29" s="191"/>
      <c r="UAZ29" s="191"/>
      <c r="UBB29" s="191"/>
      <c r="UBC29" s="191"/>
      <c r="UBD29" s="191"/>
      <c r="UBF29" s="191"/>
      <c r="UBG29" s="191"/>
      <c r="UBH29" s="191"/>
      <c r="UBJ29" s="191"/>
      <c r="UBK29" s="191"/>
      <c r="UBL29" s="191"/>
      <c r="UBN29" s="191"/>
      <c r="UBO29" s="191"/>
      <c r="UBP29" s="191"/>
      <c r="UBR29" s="191"/>
      <c r="UBS29" s="191"/>
      <c r="UBT29" s="191"/>
      <c r="UBV29" s="191"/>
      <c r="UBW29" s="191"/>
      <c r="UBX29" s="191"/>
      <c r="UBZ29" s="191"/>
      <c r="UCA29" s="191"/>
      <c r="UCB29" s="191"/>
      <c r="UCD29" s="191"/>
      <c r="UCE29" s="191"/>
      <c r="UCF29" s="191"/>
      <c r="UCH29" s="191"/>
      <c r="UCI29" s="191"/>
      <c r="UCJ29" s="191"/>
      <c r="UCL29" s="191"/>
      <c r="UCM29" s="191"/>
      <c r="UCN29" s="191"/>
      <c r="UCP29" s="191"/>
      <c r="UCQ29" s="191"/>
      <c r="UCR29" s="191"/>
      <c r="UCT29" s="191"/>
      <c r="UCU29" s="191"/>
      <c r="UCV29" s="191"/>
      <c r="UCX29" s="191"/>
      <c r="UCY29" s="191"/>
      <c r="UCZ29" s="191"/>
      <c r="UDB29" s="191"/>
      <c r="UDC29" s="191"/>
      <c r="UDD29" s="191"/>
      <c r="UDF29" s="191"/>
      <c r="UDG29" s="191"/>
      <c r="UDH29" s="191"/>
      <c r="UDJ29" s="191"/>
      <c r="UDK29" s="191"/>
      <c r="UDL29" s="191"/>
      <c r="UDN29" s="191"/>
      <c r="UDO29" s="191"/>
      <c r="UDP29" s="191"/>
      <c r="UDR29" s="191"/>
      <c r="UDS29" s="191"/>
      <c r="UDT29" s="191"/>
      <c r="UDV29" s="191"/>
      <c r="UDW29" s="191"/>
      <c r="UDX29" s="191"/>
      <c r="UDZ29" s="191"/>
      <c r="UEA29" s="191"/>
      <c r="UEB29" s="191"/>
      <c r="UED29" s="191"/>
      <c r="UEE29" s="191"/>
      <c r="UEF29" s="191"/>
      <c r="UEH29" s="191"/>
      <c r="UEI29" s="191"/>
      <c r="UEJ29" s="191"/>
      <c r="UEL29" s="191"/>
      <c r="UEM29" s="191"/>
      <c r="UEN29" s="191"/>
      <c r="UEP29" s="191"/>
      <c r="UEQ29" s="191"/>
      <c r="UER29" s="191"/>
      <c r="UET29" s="191"/>
      <c r="UEU29" s="191"/>
      <c r="UEV29" s="191"/>
      <c r="UEX29" s="191"/>
      <c r="UEY29" s="191"/>
      <c r="UEZ29" s="191"/>
      <c r="UFB29" s="191"/>
      <c r="UFC29" s="191"/>
      <c r="UFD29" s="191"/>
      <c r="UFF29" s="191"/>
      <c r="UFG29" s="191"/>
      <c r="UFH29" s="191"/>
      <c r="UFJ29" s="191"/>
      <c r="UFK29" s="191"/>
      <c r="UFL29" s="191"/>
      <c r="UFN29" s="191"/>
      <c r="UFO29" s="191"/>
      <c r="UFP29" s="191"/>
      <c r="UFR29" s="191"/>
      <c r="UFS29" s="191"/>
      <c r="UFT29" s="191"/>
      <c r="UFV29" s="191"/>
      <c r="UFW29" s="191"/>
      <c r="UFX29" s="191"/>
      <c r="UFZ29" s="191"/>
      <c r="UGA29" s="191"/>
      <c r="UGB29" s="191"/>
      <c r="UGD29" s="191"/>
      <c r="UGE29" s="191"/>
      <c r="UGF29" s="191"/>
      <c r="UGH29" s="191"/>
      <c r="UGI29" s="191"/>
      <c r="UGJ29" s="191"/>
      <c r="UGL29" s="191"/>
      <c r="UGM29" s="191"/>
      <c r="UGN29" s="191"/>
      <c r="UGP29" s="191"/>
      <c r="UGQ29" s="191"/>
      <c r="UGR29" s="191"/>
      <c r="UGT29" s="191"/>
      <c r="UGU29" s="191"/>
      <c r="UGV29" s="191"/>
      <c r="UGX29" s="191"/>
      <c r="UGY29" s="191"/>
      <c r="UGZ29" s="191"/>
      <c r="UHB29" s="191"/>
      <c r="UHC29" s="191"/>
      <c r="UHD29" s="191"/>
      <c r="UHF29" s="191"/>
      <c r="UHG29" s="191"/>
      <c r="UHH29" s="191"/>
      <c r="UHJ29" s="191"/>
      <c r="UHK29" s="191"/>
      <c r="UHL29" s="191"/>
      <c r="UHN29" s="191"/>
      <c r="UHO29" s="191"/>
      <c r="UHP29" s="191"/>
      <c r="UHR29" s="191"/>
      <c r="UHS29" s="191"/>
      <c r="UHT29" s="191"/>
      <c r="UHV29" s="191"/>
      <c r="UHW29" s="191"/>
      <c r="UHX29" s="191"/>
      <c r="UHZ29" s="191"/>
      <c r="UIA29" s="191"/>
      <c r="UIB29" s="191"/>
      <c r="UID29" s="191"/>
      <c r="UIE29" s="191"/>
      <c r="UIF29" s="191"/>
      <c r="UIH29" s="191"/>
      <c r="UII29" s="191"/>
      <c r="UIJ29" s="191"/>
      <c r="UIL29" s="191"/>
      <c r="UIM29" s="191"/>
      <c r="UIN29" s="191"/>
      <c r="UIP29" s="191"/>
      <c r="UIQ29" s="191"/>
      <c r="UIR29" s="191"/>
      <c r="UIT29" s="191"/>
      <c r="UIU29" s="191"/>
      <c r="UIV29" s="191"/>
      <c r="UIX29" s="191"/>
      <c r="UIY29" s="191"/>
      <c r="UIZ29" s="191"/>
      <c r="UJB29" s="191"/>
      <c r="UJC29" s="191"/>
      <c r="UJD29" s="191"/>
      <c r="UJF29" s="191"/>
      <c r="UJG29" s="191"/>
      <c r="UJH29" s="191"/>
      <c r="UJJ29" s="191"/>
      <c r="UJK29" s="191"/>
      <c r="UJL29" s="191"/>
      <c r="UJN29" s="191"/>
      <c r="UJO29" s="191"/>
      <c r="UJP29" s="191"/>
      <c r="UJR29" s="191"/>
      <c r="UJS29" s="191"/>
      <c r="UJT29" s="191"/>
      <c r="UJV29" s="191"/>
      <c r="UJW29" s="191"/>
      <c r="UJX29" s="191"/>
      <c r="UJZ29" s="191"/>
      <c r="UKA29" s="191"/>
      <c r="UKB29" s="191"/>
      <c r="UKD29" s="191"/>
      <c r="UKE29" s="191"/>
      <c r="UKF29" s="191"/>
      <c r="UKH29" s="191"/>
      <c r="UKI29" s="191"/>
      <c r="UKJ29" s="191"/>
      <c r="UKL29" s="191"/>
      <c r="UKM29" s="191"/>
      <c r="UKN29" s="191"/>
      <c r="UKP29" s="191"/>
      <c r="UKQ29" s="191"/>
      <c r="UKR29" s="191"/>
      <c r="UKT29" s="191"/>
      <c r="UKU29" s="191"/>
      <c r="UKV29" s="191"/>
      <c r="UKX29" s="191"/>
      <c r="UKY29" s="191"/>
      <c r="UKZ29" s="191"/>
      <c r="ULB29" s="191"/>
      <c r="ULC29" s="191"/>
      <c r="ULD29" s="191"/>
      <c r="ULF29" s="191"/>
      <c r="ULG29" s="191"/>
      <c r="ULH29" s="191"/>
      <c r="ULJ29" s="191"/>
      <c r="ULK29" s="191"/>
      <c r="ULL29" s="191"/>
      <c r="ULN29" s="191"/>
      <c r="ULO29" s="191"/>
      <c r="ULP29" s="191"/>
      <c r="ULR29" s="191"/>
      <c r="ULS29" s="191"/>
      <c r="ULT29" s="191"/>
      <c r="ULV29" s="191"/>
      <c r="ULW29" s="191"/>
      <c r="ULX29" s="191"/>
      <c r="ULZ29" s="191"/>
      <c r="UMA29" s="191"/>
      <c r="UMB29" s="191"/>
      <c r="UMD29" s="191"/>
      <c r="UME29" s="191"/>
      <c r="UMF29" s="191"/>
      <c r="UMH29" s="191"/>
      <c r="UMI29" s="191"/>
      <c r="UMJ29" s="191"/>
      <c r="UML29" s="191"/>
      <c r="UMM29" s="191"/>
      <c r="UMN29" s="191"/>
      <c r="UMP29" s="191"/>
      <c r="UMQ29" s="191"/>
      <c r="UMR29" s="191"/>
      <c r="UMT29" s="191"/>
      <c r="UMU29" s="191"/>
      <c r="UMV29" s="191"/>
      <c r="UMX29" s="191"/>
      <c r="UMY29" s="191"/>
      <c r="UMZ29" s="191"/>
      <c r="UNB29" s="191"/>
      <c r="UNC29" s="191"/>
      <c r="UND29" s="191"/>
      <c r="UNF29" s="191"/>
      <c r="UNG29" s="191"/>
      <c r="UNH29" s="191"/>
      <c r="UNJ29" s="191"/>
      <c r="UNK29" s="191"/>
      <c r="UNL29" s="191"/>
      <c r="UNN29" s="191"/>
      <c r="UNO29" s="191"/>
      <c r="UNP29" s="191"/>
      <c r="UNR29" s="191"/>
      <c r="UNS29" s="191"/>
      <c r="UNT29" s="191"/>
      <c r="UNV29" s="191"/>
      <c r="UNW29" s="191"/>
      <c r="UNX29" s="191"/>
      <c r="UNZ29" s="191"/>
      <c r="UOA29" s="191"/>
      <c r="UOB29" s="191"/>
      <c r="UOD29" s="191"/>
      <c r="UOE29" s="191"/>
      <c r="UOF29" s="191"/>
      <c r="UOH29" s="191"/>
      <c r="UOI29" s="191"/>
      <c r="UOJ29" s="191"/>
      <c r="UOL29" s="191"/>
      <c r="UOM29" s="191"/>
      <c r="UON29" s="191"/>
      <c r="UOP29" s="191"/>
      <c r="UOQ29" s="191"/>
      <c r="UOR29" s="191"/>
      <c r="UOT29" s="191"/>
      <c r="UOU29" s="191"/>
      <c r="UOV29" s="191"/>
      <c r="UOX29" s="191"/>
      <c r="UOY29" s="191"/>
      <c r="UOZ29" s="191"/>
      <c r="UPB29" s="191"/>
      <c r="UPC29" s="191"/>
      <c r="UPD29" s="191"/>
      <c r="UPF29" s="191"/>
      <c r="UPG29" s="191"/>
      <c r="UPH29" s="191"/>
      <c r="UPJ29" s="191"/>
      <c r="UPK29" s="191"/>
      <c r="UPL29" s="191"/>
      <c r="UPN29" s="191"/>
      <c r="UPO29" s="191"/>
      <c r="UPP29" s="191"/>
      <c r="UPR29" s="191"/>
      <c r="UPS29" s="191"/>
      <c r="UPT29" s="191"/>
      <c r="UPV29" s="191"/>
      <c r="UPW29" s="191"/>
      <c r="UPX29" s="191"/>
      <c r="UPZ29" s="191"/>
      <c r="UQA29" s="191"/>
      <c r="UQB29" s="191"/>
      <c r="UQD29" s="191"/>
      <c r="UQE29" s="191"/>
      <c r="UQF29" s="191"/>
      <c r="UQH29" s="191"/>
      <c r="UQI29" s="191"/>
      <c r="UQJ29" s="191"/>
      <c r="UQL29" s="191"/>
      <c r="UQM29" s="191"/>
      <c r="UQN29" s="191"/>
      <c r="UQP29" s="191"/>
      <c r="UQQ29" s="191"/>
      <c r="UQR29" s="191"/>
      <c r="UQT29" s="191"/>
      <c r="UQU29" s="191"/>
      <c r="UQV29" s="191"/>
      <c r="UQX29" s="191"/>
      <c r="UQY29" s="191"/>
      <c r="UQZ29" s="191"/>
      <c r="URB29" s="191"/>
      <c r="URC29" s="191"/>
      <c r="URD29" s="191"/>
      <c r="URF29" s="191"/>
      <c r="URG29" s="191"/>
      <c r="URH29" s="191"/>
      <c r="URJ29" s="191"/>
      <c r="URK29" s="191"/>
      <c r="URL29" s="191"/>
      <c r="URN29" s="191"/>
      <c r="URO29" s="191"/>
      <c r="URP29" s="191"/>
      <c r="URR29" s="191"/>
      <c r="URS29" s="191"/>
      <c r="URT29" s="191"/>
      <c r="URV29" s="191"/>
      <c r="URW29" s="191"/>
      <c r="URX29" s="191"/>
      <c r="URZ29" s="191"/>
      <c r="USA29" s="191"/>
      <c r="USB29" s="191"/>
      <c r="USD29" s="191"/>
      <c r="USE29" s="191"/>
      <c r="USF29" s="191"/>
      <c r="USH29" s="191"/>
      <c r="USI29" s="191"/>
      <c r="USJ29" s="191"/>
      <c r="USL29" s="191"/>
      <c r="USM29" s="191"/>
      <c r="USN29" s="191"/>
      <c r="USP29" s="191"/>
      <c r="USQ29" s="191"/>
      <c r="USR29" s="191"/>
      <c r="UST29" s="191"/>
      <c r="USU29" s="191"/>
      <c r="USV29" s="191"/>
      <c r="USX29" s="191"/>
      <c r="USY29" s="191"/>
      <c r="USZ29" s="191"/>
      <c r="UTB29" s="191"/>
      <c r="UTC29" s="191"/>
      <c r="UTD29" s="191"/>
      <c r="UTF29" s="191"/>
      <c r="UTG29" s="191"/>
      <c r="UTH29" s="191"/>
      <c r="UTJ29" s="191"/>
      <c r="UTK29" s="191"/>
      <c r="UTL29" s="191"/>
      <c r="UTN29" s="191"/>
      <c r="UTO29" s="191"/>
      <c r="UTP29" s="191"/>
      <c r="UTR29" s="191"/>
      <c r="UTS29" s="191"/>
      <c r="UTT29" s="191"/>
      <c r="UTV29" s="191"/>
      <c r="UTW29" s="191"/>
      <c r="UTX29" s="191"/>
      <c r="UTZ29" s="191"/>
      <c r="UUA29" s="191"/>
      <c r="UUB29" s="191"/>
      <c r="UUD29" s="191"/>
      <c r="UUE29" s="191"/>
      <c r="UUF29" s="191"/>
      <c r="UUH29" s="191"/>
      <c r="UUI29" s="191"/>
      <c r="UUJ29" s="191"/>
      <c r="UUL29" s="191"/>
      <c r="UUM29" s="191"/>
      <c r="UUN29" s="191"/>
      <c r="UUP29" s="191"/>
      <c r="UUQ29" s="191"/>
      <c r="UUR29" s="191"/>
      <c r="UUT29" s="191"/>
      <c r="UUU29" s="191"/>
      <c r="UUV29" s="191"/>
      <c r="UUX29" s="191"/>
      <c r="UUY29" s="191"/>
      <c r="UUZ29" s="191"/>
      <c r="UVB29" s="191"/>
      <c r="UVC29" s="191"/>
      <c r="UVD29" s="191"/>
      <c r="UVF29" s="191"/>
      <c r="UVG29" s="191"/>
      <c r="UVH29" s="191"/>
      <c r="UVJ29" s="191"/>
      <c r="UVK29" s="191"/>
      <c r="UVL29" s="191"/>
      <c r="UVN29" s="191"/>
      <c r="UVO29" s="191"/>
      <c r="UVP29" s="191"/>
      <c r="UVR29" s="191"/>
      <c r="UVS29" s="191"/>
      <c r="UVT29" s="191"/>
      <c r="UVV29" s="191"/>
      <c r="UVW29" s="191"/>
      <c r="UVX29" s="191"/>
      <c r="UVZ29" s="191"/>
      <c r="UWA29" s="191"/>
      <c r="UWB29" s="191"/>
      <c r="UWD29" s="191"/>
      <c r="UWE29" s="191"/>
      <c r="UWF29" s="191"/>
      <c r="UWH29" s="191"/>
      <c r="UWI29" s="191"/>
      <c r="UWJ29" s="191"/>
      <c r="UWL29" s="191"/>
      <c r="UWM29" s="191"/>
      <c r="UWN29" s="191"/>
      <c r="UWP29" s="191"/>
      <c r="UWQ29" s="191"/>
      <c r="UWR29" s="191"/>
      <c r="UWT29" s="191"/>
      <c r="UWU29" s="191"/>
      <c r="UWV29" s="191"/>
      <c r="UWX29" s="191"/>
      <c r="UWY29" s="191"/>
      <c r="UWZ29" s="191"/>
      <c r="UXB29" s="191"/>
      <c r="UXC29" s="191"/>
      <c r="UXD29" s="191"/>
      <c r="UXF29" s="191"/>
      <c r="UXG29" s="191"/>
      <c r="UXH29" s="191"/>
      <c r="UXJ29" s="191"/>
      <c r="UXK29" s="191"/>
      <c r="UXL29" s="191"/>
      <c r="UXN29" s="191"/>
      <c r="UXO29" s="191"/>
      <c r="UXP29" s="191"/>
      <c r="UXR29" s="191"/>
      <c r="UXS29" s="191"/>
      <c r="UXT29" s="191"/>
      <c r="UXV29" s="191"/>
      <c r="UXW29" s="191"/>
      <c r="UXX29" s="191"/>
      <c r="UXZ29" s="191"/>
      <c r="UYA29" s="191"/>
      <c r="UYB29" s="191"/>
      <c r="UYD29" s="191"/>
      <c r="UYE29" s="191"/>
      <c r="UYF29" s="191"/>
      <c r="UYH29" s="191"/>
      <c r="UYI29" s="191"/>
      <c r="UYJ29" s="191"/>
      <c r="UYL29" s="191"/>
      <c r="UYM29" s="191"/>
      <c r="UYN29" s="191"/>
      <c r="UYP29" s="191"/>
      <c r="UYQ29" s="191"/>
      <c r="UYR29" s="191"/>
      <c r="UYT29" s="191"/>
      <c r="UYU29" s="191"/>
      <c r="UYV29" s="191"/>
      <c r="UYX29" s="191"/>
      <c r="UYY29" s="191"/>
      <c r="UYZ29" s="191"/>
      <c r="UZB29" s="191"/>
      <c r="UZC29" s="191"/>
      <c r="UZD29" s="191"/>
      <c r="UZF29" s="191"/>
      <c r="UZG29" s="191"/>
      <c r="UZH29" s="191"/>
      <c r="UZJ29" s="191"/>
      <c r="UZK29" s="191"/>
      <c r="UZL29" s="191"/>
      <c r="UZN29" s="191"/>
      <c r="UZO29" s="191"/>
      <c r="UZP29" s="191"/>
      <c r="UZR29" s="191"/>
      <c r="UZS29" s="191"/>
      <c r="UZT29" s="191"/>
      <c r="UZV29" s="191"/>
      <c r="UZW29" s="191"/>
      <c r="UZX29" s="191"/>
      <c r="UZZ29" s="191"/>
      <c r="VAA29" s="191"/>
      <c r="VAB29" s="191"/>
      <c r="VAD29" s="191"/>
      <c r="VAE29" s="191"/>
      <c r="VAF29" s="191"/>
      <c r="VAH29" s="191"/>
      <c r="VAI29" s="191"/>
      <c r="VAJ29" s="191"/>
      <c r="VAL29" s="191"/>
      <c r="VAM29" s="191"/>
      <c r="VAN29" s="191"/>
      <c r="VAP29" s="191"/>
      <c r="VAQ29" s="191"/>
      <c r="VAR29" s="191"/>
      <c r="VAT29" s="191"/>
      <c r="VAU29" s="191"/>
      <c r="VAV29" s="191"/>
      <c r="VAX29" s="191"/>
      <c r="VAY29" s="191"/>
      <c r="VAZ29" s="191"/>
      <c r="VBB29" s="191"/>
      <c r="VBC29" s="191"/>
      <c r="VBD29" s="191"/>
      <c r="VBF29" s="191"/>
      <c r="VBG29" s="191"/>
      <c r="VBH29" s="191"/>
      <c r="VBJ29" s="191"/>
      <c r="VBK29" s="191"/>
      <c r="VBL29" s="191"/>
      <c r="VBN29" s="191"/>
      <c r="VBO29" s="191"/>
      <c r="VBP29" s="191"/>
      <c r="VBR29" s="191"/>
      <c r="VBS29" s="191"/>
      <c r="VBT29" s="191"/>
      <c r="VBV29" s="191"/>
      <c r="VBW29" s="191"/>
      <c r="VBX29" s="191"/>
      <c r="VBZ29" s="191"/>
      <c r="VCA29" s="191"/>
      <c r="VCB29" s="191"/>
      <c r="VCD29" s="191"/>
      <c r="VCE29" s="191"/>
      <c r="VCF29" s="191"/>
      <c r="VCH29" s="191"/>
      <c r="VCI29" s="191"/>
      <c r="VCJ29" s="191"/>
      <c r="VCL29" s="191"/>
      <c r="VCM29" s="191"/>
      <c r="VCN29" s="191"/>
      <c r="VCP29" s="191"/>
      <c r="VCQ29" s="191"/>
      <c r="VCR29" s="191"/>
      <c r="VCT29" s="191"/>
      <c r="VCU29" s="191"/>
      <c r="VCV29" s="191"/>
      <c r="VCX29" s="191"/>
      <c r="VCY29" s="191"/>
      <c r="VCZ29" s="191"/>
      <c r="VDB29" s="191"/>
      <c r="VDC29" s="191"/>
      <c r="VDD29" s="191"/>
      <c r="VDF29" s="191"/>
      <c r="VDG29" s="191"/>
      <c r="VDH29" s="191"/>
      <c r="VDJ29" s="191"/>
      <c r="VDK29" s="191"/>
      <c r="VDL29" s="191"/>
      <c r="VDN29" s="191"/>
      <c r="VDO29" s="191"/>
      <c r="VDP29" s="191"/>
      <c r="VDR29" s="191"/>
      <c r="VDS29" s="191"/>
      <c r="VDT29" s="191"/>
      <c r="VDV29" s="191"/>
      <c r="VDW29" s="191"/>
      <c r="VDX29" s="191"/>
      <c r="VDZ29" s="191"/>
      <c r="VEA29" s="191"/>
      <c r="VEB29" s="191"/>
      <c r="VED29" s="191"/>
      <c r="VEE29" s="191"/>
      <c r="VEF29" s="191"/>
      <c r="VEH29" s="191"/>
      <c r="VEI29" s="191"/>
      <c r="VEJ29" s="191"/>
      <c r="VEL29" s="191"/>
      <c r="VEM29" s="191"/>
      <c r="VEN29" s="191"/>
      <c r="VEP29" s="191"/>
      <c r="VEQ29" s="191"/>
      <c r="VER29" s="191"/>
      <c r="VET29" s="191"/>
      <c r="VEU29" s="191"/>
      <c r="VEV29" s="191"/>
      <c r="VEX29" s="191"/>
      <c r="VEY29" s="191"/>
      <c r="VEZ29" s="191"/>
      <c r="VFB29" s="191"/>
      <c r="VFC29" s="191"/>
      <c r="VFD29" s="191"/>
      <c r="VFF29" s="191"/>
      <c r="VFG29" s="191"/>
      <c r="VFH29" s="191"/>
      <c r="VFJ29" s="191"/>
      <c r="VFK29" s="191"/>
      <c r="VFL29" s="191"/>
      <c r="VFN29" s="191"/>
      <c r="VFO29" s="191"/>
      <c r="VFP29" s="191"/>
      <c r="VFR29" s="191"/>
      <c r="VFS29" s="191"/>
      <c r="VFT29" s="191"/>
      <c r="VFV29" s="191"/>
      <c r="VFW29" s="191"/>
      <c r="VFX29" s="191"/>
      <c r="VFZ29" s="191"/>
      <c r="VGA29" s="191"/>
      <c r="VGB29" s="191"/>
      <c r="VGD29" s="191"/>
      <c r="VGE29" s="191"/>
      <c r="VGF29" s="191"/>
      <c r="VGH29" s="191"/>
      <c r="VGI29" s="191"/>
      <c r="VGJ29" s="191"/>
      <c r="VGL29" s="191"/>
      <c r="VGM29" s="191"/>
      <c r="VGN29" s="191"/>
      <c r="VGP29" s="191"/>
      <c r="VGQ29" s="191"/>
      <c r="VGR29" s="191"/>
      <c r="VGT29" s="191"/>
      <c r="VGU29" s="191"/>
      <c r="VGV29" s="191"/>
      <c r="VGX29" s="191"/>
      <c r="VGY29" s="191"/>
      <c r="VGZ29" s="191"/>
      <c r="VHB29" s="191"/>
      <c r="VHC29" s="191"/>
      <c r="VHD29" s="191"/>
      <c r="VHF29" s="191"/>
      <c r="VHG29" s="191"/>
      <c r="VHH29" s="191"/>
      <c r="VHJ29" s="191"/>
      <c r="VHK29" s="191"/>
      <c r="VHL29" s="191"/>
      <c r="VHN29" s="191"/>
      <c r="VHO29" s="191"/>
      <c r="VHP29" s="191"/>
      <c r="VHR29" s="191"/>
      <c r="VHS29" s="191"/>
      <c r="VHT29" s="191"/>
      <c r="VHV29" s="191"/>
      <c r="VHW29" s="191"/>
      <c r="VHX29" s="191"/>
      <c r="VHZ29" s="191"/>
      <c r="VIA29" s="191"/>
      <c r="VIB29" s="191"/>
      <c r="VID29" s="191"/>
      <c r="VIE29" s="191"/>
      <c r="VIF29" s="191"/>
      <c r="VIH29" s="191"/>
      <c r="VII29" s="191"/>
      <c r="VIJ29" s="191"/>
      <c r="VIL29" s="191"/>
      <c r="VIM29" s="191"/>
      <c r="VIN29" s="191"/>
      <c r="VIP29" s="191"/>
      <c r="VIQ29" s="191"/>
      <c r="VIR29" s="191"/>
      <c r="VIT29" s="191"/>
      <c r="VIU29" s="191"/>
      <c r="VIV29" s="191"/>
      <c r="VIX29" s="191"/>
      <c r="VIY29" s="191"/>
      <c r="VIZ29" s="191"/>
      <c r="VJB29" s="191"/>
      <c r="VJC29" s="191"/>
      <c r="VJD29" s="191"/>
      <c r="VJF29" s="191"/>
      <c r="VJG29" s="191"/>
      <c r="VJH29" s="191"/>
      <c r="VJJ29" s="191"/>
      <c r="VJK29" s="191"/>
      <c r="VJL29" s="191"/>
      <c r="VJN29" s="191"/>
      <c r="VJO29" s="191"/>
      <c r="VJP29" s="191"/>
      <c r="VJR29" s="191"/>
      <c r="VJS29" s="191"/>
      <c r="VJT29" s="191"/>
      <c r="VJV29" s="191"/>
      <c r="VJW29" s="191"/>
      <c r="VJX29" s="191"/>
      <c r="VJZ29" s="191"/>
      <c r="VKA29" s="191"/>
      <c r="VKB29" s="191"/>
      <c r="VKD29" s="191"/>
      <c r="VKE29" s="191"/>
      <c r="VKF29" s="191"/>
      <c r="VKH29" s="191"/>
      <c r="VKI29" s="191"/>
      <c r="VKJ29" s="191"/>
      <c r="VKL29" s="191"/>
      <c r="VKM29" s="191"/>
      <c r="VKN29" s="191"/>
      <c r="VKP29" s="191"/>
      <c r="VKQ29" s="191"/>
      <c r="VKR29" s="191"/>
      <c r="VKT29" s="191"/>
      <c r="VKU29" s="191"/>
      <c r="VKV29" s="191"/>
      <c r="VKX29" s="191"/>
      <c r="VKY29" s="191"/>
      <c r="VKZ29" s="191"/>
      <c r="VLB29" s="191"/>
      <c r="VLC29" s="191"/>
      <c r="VLD29" s="191"/>
      <c r="VLF29" s="191"/>
      <c r="VLG29" s="191"/>
      <c r="VLH29" s="191"/>
      <c r="VLJ29" s="191"/>
      <c r="VLK29" s="191"/>
      <c r="VLL29" s="191"/>
      <c r="VLN29" s="191"/>
      <c r="VLO29" s="191"/>
      <c r="VLP29" s="191"/>
      <c r="VLR29" s="191"/>
      <c r="VLS29" s="191"/>
      <c r="VLT29" s="191"/>
      <c r="VLV29" s="191"/>
      <c r="VLW29" s="191"/>
      <c r="VLX29" s="191"/>
      <c r="VLZ29" s="191"/>
      <c r="VMA29" s="191"/>
      <c r="VMB29" s="191"/>
      <c r="VMD29" s="191"/>
      <c r="VME29" s="191"/>
      <c r="VMF29" s="191"/>
      <c r="VMH29" s="191"/>
      <c r="VMI29" s="191"/>
      <c r="VMJ29" s="191"/>
      <c r="VML29" s="191"/>
      <c r="VMM29" s="191"/>
      <c r="VMN29" s="191"/>
      <c r="VMP29" s="191"/>
      <c r="VMQ29" s="191"/>
      <c r="VMR29" s="191"/>
      <c r="VMT29" s="191"/>
      <c r="VMU29" s="191"/>
      <c r="VMV29" s="191"/>
      <c r="VMX29" s="191"/>
      <c r="VMY29" s="191"/>
      <c r="VMZ29" s="191"/>
      <c r="VNB29" s="191"/>
      <c r="VNC29" s="191"/>
      <c r="VND29" s="191"/>
      <c r="VNF29" s="191"/>
      <c r="VNG29" s="191"/>
      <c r="VNH29" s="191"/>
      <c r="VNJ29" s="191"/>
      <c r="VNK29" s="191"/>
      <c r="VNL29" s="191"/>
      <c r="VNN29" s="191"/>
      <c r="VNO29" s="191"/>
      <c r="VNP29" s="191"/>
      <c r="VNR29" s="191"/>
      <c r="VNS29" s="191"/>
      <c r="VNT29" s="191"/>
      <c r="VNV29" s="191"/>
      <c r="VNW29" s="191"/>
      <c r="VNX29" s="191"/>
      <c r="VNZ29" s="191"/>
      <c r="VOA29" s="191"/>
      <c r="VOB29" s="191"/>
      <c r="VOD29" s="191"/>
      <c r="VOE29" s="191"/>
      <c r="VOF29" s="191"/>
      <c r="VOH29" s="191"/>
      <c r="VOI29" s="191"/>
      <c r="VOJ29" s="191"/>
      <c r="VOL29" s="191"/>
      <c r="VOM29" s="191"/>
      <c r="VON29" s="191"/>
      <c r="VOP29" s="191"/>
      <c r="VOQ29" s="191"/>
      <c r="VOR29" s="191"/>
      <c r="VOT29" s="191"/>
      <c r="VOU29" s="191"/>
      <c r="VOV29" s="191"/>
      <c r="VOX29" s="191"/>
      <c r="VOY29" s="191"/>
      <c r="VOZ29" s="191"/>
      <c r="VPB29" s="191"/>
      <c r="VPC29" s="191"/>
      <c r="VPD29" s="191"/>
      <c r="VPF29" s="191"/>
      <c r="VPG29" s="191"/>
      <c r="VPH29" s="191"/>
      <c r="VPJ29" s="191"/>
      <c r="VPK29" s="191"/>
      <c r="VPL29" s="191"/>
      <c r="VPN29" s="191"/>
      <c r="VPO29" s="191"/>
      <c r="VPP29" s="191"/>
      <c r="VPR29" s="191"/>
      <c r="VPS29" s="191"/>
      <c r="VPT29" s="191"/>
      <c r="VPV29" s="191"/>
      <c r="VPW29" s="191"/>
      <c r="VPX29" s="191"/>
      <c r="VPZ29" s="191"/>
      <c r="VQA29" s="191"/>
      <c r="VQB29" s="191"/>
      <c r="VQD29" s="191"/>
      <c r="VQE29" s="191"/>
      <c r="VQF29" s="191"/>
      <c r="VQH29" s="191"/>
      <c r="VQI29" s="191"/>
      <c r="VQJ29" s="191"/>
      <c r="VQL29" s="191"/>
      <c r="VQM29" s="191"/>
      <c r="VQN29" s="191"/>
      <c r="VQP29" s="191"/>
      <c r="VQQ29" s="191"/>
      <c r="VQR29" s="191"/>
      <c r="VQT29" s="191"/>
      <c r="VQU29" s="191"/>
      <c r="VQV29" s="191"/>
      <c r="VQX29" s="191"/>
      <c r="VQY29" s="191"/>
      <c r="VQZ29" s="191"/>
      <c r="VRB29" s="191"/>
      <c r="VRC29" s="191"/>
      <c r="VRD29" s="191"/>
      <c r="VRF29" s="191"/>
      <c r="VRG29" s="191"/>
      <c r="VRH29" s="191"/>
      <c r="VRJ29" s="191"/>
      <c r="VRK29" s="191"/>
      <c r="VRL29" s="191"/>
      <c r="VRN29" s="191"/>
      <c r="VRO29" s="191"/>
      <c r="VRP29" s="191"/>
      <c r="VRR29" s="191"/>
      <c r="VRS29" s="191"/>
      <c r="VRT29" s="191"/>
      <c r="VRV29" s="191"/>
      <c r="VRW29" s="191"/>
      <c r="VRX29" s="191"/>
      <c r="VRZ29" s="191"/>
      <c r="VSA29" s="191"/>
      <c r="VSB29" s="191"/>
      <c r="VSD29" s="191"/>
      <c r="VSE29" s="191"/>
      <c r="VSF29" s="191"/>
      <c r="VSH29" s="191"/>
      <c r="VSI29" s="191"/>
      <c r="VSJ29" s="191"/>
      <c r="VSL29" s="191"/>
      <c r="VSM29" s="191"/>
      <c r="VSN29" s="191"/>
      <c r="VSP29" s="191"/>
      <c r="VSQ29" s="191"/>
      <c r="VSR29" s="191"/>
      <c r="VST29" s="191"/>
      <c r="VSU29" s="191"/>
      <c r="VSV29" s="191"/>
      <c r="VSX29" s="191"/>
      <c r="VSY29" s="191"/>
      <c r="VSZ29" s="191"/>
      <c r="VTB29" s="191"/>
      <c r="VTC29" s="191"/>
      <c r="VTD29" s="191"/>
      <c r="VTF29" s="191"/>
      <c r="VTG29" s="191"/>
      <c r="VTH29" s="191"/>
      <c r="VTJ29" s="191"/>
      <c r="VTK29" s="191"/>
      <c r="VTL29" s="191"/>
      <c r="VTN29" s="191"/>
      <c r="VTO29" s="191"/>
      <c r="VTP29" s="191"/>
      <c r="VTR29" s="191"/>
      <c r="VTS29" s="191"/>
      <c r="VTT29" s="191"/>
      <c r="VTV29" s="191"/>
      <c r="VTW29" s="191"/>
      <c r="VTX29" s="191"/>
      <c r="VTZ29" s="191"/>
      <c r="VUA29" s="191"/>
      <c r="VUB29" s="191"/>
      <c r="VUD29" s="191"/>
      <c r="VUE29" s="191"/>
      <c r="VUF29" s="191"/>
      <c r="VUH29" s="191"/>
      <c r="VUI29" s="191"/>
      <c r="VUJ29" s="191"/>
      <c r="VUL29" s="191"/>
      <c r="VUM29" s="191"/>
      <c r="VUN29" s="191"/>
      <c r="VUP29" s="191"/>
      <c r="VUQ29" s="191"/>
      <c r="VUR29" s="191"/>
      <c r="VUT29" s="191"/>
      <c r="VUU29" s="191"/>
      <c r="VUV29" s="191"/>
      <c r="VUX29" s="191"/>
      <c r="VUY29" s="191"/>
      <c r="VUZ29" s="191"/>
      <c r="VVB29" s="191"/>
      <c r="VVC29" s="191"/>
      <c r="VVD29" s="191"/>
      <c r="VVF29" s="191"/>
      <c r="VVG29" s="191"/>
      <c r="VVH29" s="191"/>
      <c r="VVJ29" s="191"/>
      <c r="VVK29" s="191"/>
      <c r="VVL29" s="191"/>
      <c r="VVN29" s="191"/>
      <c r="VVO29" s="191"/>
      <c r="VVP29" s="191"/>
      <c r="VVR29" s="191"/>
      <c r="VVS29" s="191"/>
      <c r="VVT29" s="191"/>
      <c r="VVV29" s="191"/>
      <c r="VVW29" s="191"/>
      <c r="VVX29" s="191"/>
      <c r="VVZ29" s="191"/>
      <c r="VWA29" s="191"/>
      <c r="VWB29" s="191"/>
      <c r="VWD29" s="191"/>
      <c r="VWE29" s="191"/>
      <c r="VWF29" s="191"/>
      <c r="VWH29" s="191"/>
      <c r="VWI29" s="191"/>
      <c r="VWJ29" s="191"/>
      <c r="VWL29" s="191"/>
      <c r="VWM29" s="191"/>
      <c r="VWN29" s="191"/>
      <c r="VWP29" s="191"/>
      <c r="VWQ29" s="191"/>
      <c r="VWR29" s="191"/>
      <c r="VWT29" s="191"/>
      <c r="VWU29" s="191"/>
      <c r="VWV29" s="191"/>
      <c r="VWX29" s="191"/>
      <c r="VWY29" s="191"/>
      <c r="VWZ29" s="191"/>
      <c r="VXB29" s="191"/>
      <c r="VXC29" s="191"/>
      <c r="VXD29" s="191"/>
      <c r="VXF29" s="191"/>
      <c r="VXG29" s="191"/>
      <c r="VXH29" s="191"/>
      <c r="VXJ29" s="191"/>
      <c r="VXK29" s="191"/>
      <c r="VXL29" s="191"/>
      <c r="VXN29" s="191"/>
      <c r="VXO29" s="191"/>
      <c r="VXP29" s="191"/>
      <c r="VXR29" s="191"/>
      <c r="VXS29" s="191"/>
      <c r="VXT29" s="191"/>
      <c r="VXV29" s="191"/>
      <c r="VXW29" s="191"/>
      <c r="VXX29" s="191"/>
      <c r="VXZ29" s="191"/>
      <c r="VYA29" s="191"/>
      <c r="VYB29" s="191"/>
      <c r="VYD29" s="191"/>
      <c r="VYE29" s="191"/>
      <c r="VYF29" s="191"/>
      <c r="VYH29" s="191"/>
      <c r="VYI29" s="191"/>
      <c r="VYJ29" s="191"/>
      <c r="VYL29" s="191"/>
      <c r="VYM29" s="191"/>
      <c r="VYN29" s="191"/>
      <c r="VYP29" s="191"/>
      <c r="VYQ29" s="191"/>
      <c r="VYR29" s="191"/>
      <c r="VYT29" s="191"/>
      <c r="VYU29" s="191"/>
      <c r="VYV29" s="191"/>
      <c r="VYX29" s="191"/>
      <c r="VYY29" s="191"/>
      <c r="VYZ29" s="191"/>
      <c r="VZB29" s="191"/>
      <c r="VZC29" s="191"/>
      <c r="VZD29" s="191"/>
      <c r="VZF29" s="191"/>
      <c r="VZG29" s="191"/>
      <c r="VZH29" s="191"/>
      <c r="VZJ29" s="191"/>
      <c r="VZK29" s="191"/>
      <c r="VZL29" s="191"/>
      <c r="VZN29" s="191"/>
      <c r="VZO29" s="191"/>
      <c r="VZP29" s="191"/>
      <c r="VZR29" s="191"/>
      <c r="VZS29" s="191"/>
      <c r="VZT29" s="191"/>
      <c r="VZV29" s="191"/>
      <c r="VZW29" s="191"/>
      <c r="VZX29" s="191"/>
      <c r="VZZ29" s="191"/>
      <c r="WAA29" s="191"/>
      <c r="WAB29" s="191"/>
      <c r="WAD29" s="191"/>
      <c r="WAE29" s="191"/>
      <c r="WAF29" s="191"/>
      <c r="WAH29" s="191"/>
      <c r="WAI29" s="191"/>
      <c r="WAJ29" s="191"/>
      <c r="WAL29" s="191"/>
      <c r="WAM29" s="191"/>
      <c r="WAN29" s="191"/>
      <c r="WAP29" s="191"/>
      <c r="WAQ29" s="191"/>
      <c r="WAR29" s="191"/>
      <c r="WAT29" s="191"/>
      <c r="WAU29" s="191"/>
      <c r="WAV29" s="191"/>
      <c r="WAX29" s="191"/>
      <c r="WAY29" s="191"/>
      <c r="WAZ29" s="191"/>
      <c r="WBB29" s="191"/>
      <c r="WBC29" s="191"/>
      <c r="WBD29" s="191"/>
      <c r="WBF29" s="191"/>
      <c r="WBG29" s="191"/>
      <c r="WBH29" s="191"/>
      <c r="WBJ29" s="191"/>
      <c r="WBK29" s="191"/>
      <c r="WBL29" s="191"/>
      <c r="WBN29" s="191"/>
      <c r="WBO29" s="191"/>
      <c r="WBP29" s="191"/>
      <c r="WBR29" s="191"/>
      <c r="WBS29" s="191"/>
      <c r="WBT29" s="191"/>
      <c r="WBV29" s="191"/>
      <c r="WBW29" s="191"/>
      <c r="WBX29" s="191"/>
      <c r="WBZ29" s="191"/>
      <c r="WCA29" s="191"/>
      <c r="WCB29" s="191"/>
      <c r="WCD29" s="191"/>
      <c r="WCE29" s="191"/>
      <c r="WCF29" s="191"/>
      <c r="WCH29" s="191"/>
      <c r="WCI29" s="191"/>
      <c r="WCJ29" s="191"/>
      <c r="WCL29" s="191"/>
      <c r="WCM29" s="191"/>
      <c r="WCN29" s="191"/>
      <c r="WCP29" s="191"/>
      <c r="WCQ29" s="191"/>
      <c r="WCR29" s="191"/>
      <c r="WCT29" s="191"/>
      <c r="WCU29" s="191"/>
      <c r="WCV29" s="191"/>
      <c r="WCX29" s="191"/>
      <c r="WCY29" s="191"/>
      <c r="WCZ29" s="191"/>
      <c r="WDB29" s="191"/>
      <c r="WDC29" s="191"/>
      <c r="WDD29" s="191"/>
      <c r="WDF29" s="191"/>
      <c r="WDG29" s="191"/>
      <c r="WDH29" s="191"/>
      <c r="WDJ29" s="191"/>
      <c r="WDK29" s="191"/>
      <c r="WDL29" s="191"/>
      <c r="WDN29" s="191"/>
      <c r="WDO29" s="191"/>
      <c r="WDP29" s="191"/>
      <c r="WDR29" s="191"/>
      <c r="WDS29" s="191"/>
      <c r="WDT29" s="191"/>
      <c r="WDV29" s="191"/>
      <c r="WDW29" s="191"/>
      <c r="WDX29" s="191"/>
      <c r="WDZ29" s="191"/>
      <c r="WEA29" s="191"/>
      <c r="WEB29" s="191"/>
      <c r="WED29" s="191"/>
      <c r="WEE29" s="191"/>
      <c r="WEF29" s="191"/>
      <c r="WEH29" s="191"/>
      <c r="WEI29" s="191"/>
      <c r="WEJ29" s="191"/>
      <c r="WEL29" s="191"/>
      <c r="WEM29" s="191"/>
      <c r="WEN29" s="191"/>
      <c r="WEP29" s="191"/>
      <c r="WEQ29" s="191"/>
      <c r="WER29" s="191"/>
      <c r="WET29" s="191"/>
      <c r="WEU29" s="191"/>
      <c r="WEV29" s="191"/>
      <c r="WEX29" s="191"/>
      <c r="WEY29" s="191"/>
      <c r="WEZ29" s="191"/>
      <c r="WFB29" s="191"/>
      <c r="WFC29" s="191"/>
      <c r="WFD29" s="191"/>
      <c r="WFF29" s="191"/>
      <c r="WFG29" s="191"/>
      <c r="WFH29" s="191"/>
      <c r="WFJ29" s="191"/>
      <c r="WFK29" s="191"/>
      <c r="WFL29" s="191"/>
      <c r="WFN29" s="191"/>
      <c r="WFO29" s="191"/>
      <c r="WFP29" s="191"/>
      <c r="WFR29" s="191"/>
      <c r="WFS29" s="191"/>
      <c r="WFT29" s="191"/>
      <c r="WFV29" s="191"/>
      <c r="WFW29" s="191"/>
      <c r="WFX29" s="191"/>
      <c r="WFZ29" s="191"/>
      <c r="WGA29" s="191"/>
      <c r="WGB29" s="191"/>
      <c r="WGD29" s="191"/>
      <c r="WGE29" s="191"/>
      <c r="WGF29" s="191"/>
      <c r="WGH29" s="191"/>
      <c r="WGI29" s="191"/>
      <c r="WGJ29" s="191"/>
      <c r="WGL29" s="191"/>
      <c r="WGM29" s="191"/>
      <c r="WGN29" s="191"/>
      <c r="WGP29" s="191"/>
      <c r="WGQ29" s="191"/>
      <c r="WGR29" s="191"/>
      <c r="WGT29" s="191"/>
      <c r="WGU29" s="191"/>
      <c r="WGV29" s="191"/>
      <c r="WGX29" s="191"/>
      <c r="WGY29" s="191"/>
      <c r="WGZ29" s="191"/>
      <c r="WHB29" s="191"/>
      <c r="WHC29" s="191"/>
      <c r="WHD29" s="191"/>
      <c r="WHF29" s="191"/>
      <c r="WHG29" s="191"/>
      <c r="WHH29" s="191"/>
      <c r="WHJ29" s="191"/>
      <c r="WHK29" s="191"/>
      <c r="WHL29" s="191"/>
      <c r="WHN29" s="191"/>
      <c r="WHO29" s="191"/>
      <c r="WHP29" s="191"/>
      <c r="WHR29" s="191"/>
      <c r="WHS29" s="191"/>
      <c r="WHT29" s="191"/>
      <c r="WHV29" s="191"/>
      <c r="WHW29" s="191"/>
      <c r="WHX29" s="191"/>
      <c r="WHZ29" s="191"/>
      <c r="WIA29" s="191"/>
      <c r="WIB29" s="191"/>
      <c r="WID29" s="191"/>
      <c r="WIE29" s="191"/>
      <c r="WIF29" s="191"/>
      <c r="WIH29" s="191"/>
      <c r="WII29" s="191"/>
      <c r="WIJ29" s="191"/>
      <c r="WIL29" s="191"/>
      <c r="WIM29" s="191"/>
      <c r="WIN29" s="191"/>
      <c r="WIP29" s="191"/>
      <c r="WIQ29" s="191"/>
      <c r="WIR29" s="191"/>
      <c r="WIT29" s="191"/>
      <c r="WIU29" s="191"/>
      <c r="WIV29" s="191"/>
      <c r="WIX29" s="191"/>
      <c r="WIY29" s="191"/>
      <c r="WIZ29" s="191"/>
      <c r="WJB29" s="191"/>
      <c r="WJC29" s="191"/>
      <c r="WJD29" s="191"/>
      <c r="WJF29" s="191"/>
      <c r="WJG29" s="191"/>
      <c r="WJH29" s="191"/>
      <c r="WJJ29" s="191"/>
      <c r="WJK29" s="191"/>
      <c r="WJL29" s="191"/>
      <c r="WJN29" s="191"/>
      <c r="WJO29" s="191"/>
      <c r="WJP29" s="191"/>
      <c r="WJR29" s="191"/>
      <c r="WJS29" s="191"/>
      <c r="WJT29" s="191"/>
      <c r="WJV29" s="191"/>
      <c r="WJW29" s="191"/>
      <c r="WJX29" s="191"/>
      <c r="WJZ29" s="191"/>
      <c r="WKA29" s="191"/>
      <c r="WKB29" s="191"/>
      <c r="WKD29" s="191"/>
      <c r="WKE29" s="191"/>
      <c r="WKF29" s="191"/>
      <c r="WKH29" s="191"/>
      <c r="WKI29" s="191"/>
      <c r="WKJ29" s="191"/>
      <c r="WKL29" s="191"/>
      <c r="WKM29" s="191"/>
      <c r="WKN29" s="191"/>
      <c r="WKP29" s="191"/>
      <c r="WKQ29" s="191"/>
      <c r="WKR29" s="191"/>
      <c r="WKT29" s="191"/>
      <c r="WKU29" s="191"/>
      <c r="WKV29" s="191"/>
      <c r="WKX29" s="191"/>
      <c r="WKY29" s="191"/>
      <c r="WKZ29" s="191"/>
      <c r="WLB29" s="191"/>
      <c r="WLC29" s="191"/>
      <c r="WLD29" s="191"/>
      <c r="WLF29" s="191"/>
      <c r="WLG29" s="191"/>
      <c r="WLH29" s="191"/>
      <c r="WLJ29" s="191"/>
      <c r="WLK29" s="191"/>
      <c r="WLL29" s="191"/>
      <c r="WLN29" s="191"/>
      <c r="WLO29" s="191"/>
      <c r="WLP29" s="191"/>
      <c r="WLR29" s="191"/>
      <c r="WLS29" s="191"/>
      <c r="WLT29" s="191"/>
      <c r="WLV29" s="191"/>
      <c r="WLW29" s="191"/>
      <c r="WLX29" s="191"/>
      <c r="WLZ29" s="191"/>
      <c r="WMA29" s="191"/>
      <c r="WMB29" s="191"/>
      <c r="WMD29" s="191"/>
      <c r="WME29" s="191"/>
      <c r="WMF29" s="191"/>
      <c r="WMH29" s="191"/>
      <c r="WMI29" s="191"/>
      <c r="WMJ29" s="191"/>
      <c r="WML29" s="191"/>
      <c r="WMM29" s="191"/>
      <c r="WMN29" s="191"/>
      <c r="WMP29" s="191"/>
      <c r="WMQ29" s="191"/>
      <c r="WMR29" s="191"/>
      <c r="WMT29" s="191"/>
      <c r="WMU29" s="191"/>
      <c r="WMV29" s="191"/>
      <c r="WMX29" s="191"/>
      <c r="WMY29" s="191"/>
      <c r="WMZ29" s="191"/>
      <c r="WNB29" s="191"/>
      <c r="WNC29" s="191"/>
      <c r="WND29" s="191"/>
      <c r="WNF29" s="191"/>
      <c r="WNG29" s="191"/>
      <c r="WNH29" s="191"/>
      <c r="WNJ29" s="191"/>
      <c r="WNK29" s="191"/>
      <c r="WNL29" s="191"/>
      <c r="WNN29" s="191"/>
      <c r="WNO29" s="191"/>
      <c r="WNP29" s="191"/>
      <c r="WNR29" s="191"/>
      <c r="WNS29" s="191"/>
      <c r="WNT29" s="191"/>
      <c r="WNV29" s="191"/>
      <c r="WNW29" s="191"/>
      <c r="WNX29" s="191"/>
      <c r="WNZ29" s="191"/>
      <c r="WOA29" s="191"/>
      <c r="WOB29" s="191"/>
      <c r="WOD29" s="191"/>
      <c r="WOE29" s="191"/>
      <c r="WOF29" s="191"/>
      <c r="WOH29" s="191"/>
      <c r="WOI29" s="191"/>
      <c r="WOJ29" s="191"/>
      <c r="WOL29" s="191"/>
      <c r="WOM29" s="191"/>
      <c r="WON29" s="191"/>
      <c r="WOP29" s="191"/>
      <c r="WOQ29" s="191"/>
      <c r="WOR29" s="191"/>
      <c r="WOT29" s="191"/>
      <c r="WOU29" s="191"/>
      <c r="WOV29" s="191"/>
      <c r="WOX29" s="191"/>
      <c r="WOY29" s="191"/>
      <c r="WOZ29" s="191"/>
      <c r="WPB29" s="191"/>
      <c r="WPC29" s="191"/>
      <c r="WPD29" s="191"/>
      <c r="WPF29" s="191"/>
      <c r="WPG29" s="191"/>
      <c r="WPH29" s="191"/>
      <c r="WPJ29" s="191"/>
      <c r="WPK29" s="191"/>
      <c r="WPL29" s="191"/>
      <c r="WPN29" s="191"/>
      <c r="WPO29" s="191"/>
      <c r="WPP29" s="191"/>
      <c r="WPR29" s="191"/>
      <c r="WPS29" s="191"/>
      <c r="WPT29" s="191"/>
      <c r="WPV29" s="191"/>
      <c r="WPW29" s="191"/>
      <c r="WPX29" s="191"/>
      <c r="WPZ29" s="191"/>
      <c r="WQA29" s="191"/>
      <c r="WQB29" s="191"/>
      <c r="WQD29" s="191"/>
      <c r="WQE29" s="191"/>
      <c r="WQF29" s="191"/>
      <c r="WQH29" s="191"/>
      <c r="WQI29" s="191"/>
      <c r="WQJ29" s="191"/>
      <c r="WQL29" s="191"/>
      <c r="WQM29" s="191"/>
      <c r="WQN29" s="191"/>
      <c r="WQP29" s="191"/>
      <c r="WQQ29" s="191"/>
      <c r="WQR29" s="191"/>
      <c r="WQT29" s="191"/>
      <c r="WQU29" s="191"/>
      <c r="WQV29" s="191"/>
      <c r="WQX29" s="191"/>
      <c r="WQY29" s="191"/>
      <c r="WQZ29" s="191"/>
      <c r="WRB29" s="191"/>
      <c r="WRC29" s="191"/>
      <c r="WRD29" s="191"/>
      <c r="WRF29" s="191"/>
      <c r="WRG29" s="191"/>
      <c r="WRH29" s="191"/>
      <c r="WRJ29" s="191"/>
      <c r="WRK29" s="191"/>
      <c r="WRL29" s="191"/>
      <c r="WRN29" s="191"/>
      <c r="WRO29" s="191"/>
      <c r="WRP29" s="191"/>
      <c r="WRR29" s="191"/>
      <c r="WRS29" s="191"/>
      <c r="WRT29" s="191"/>
      <c r="WRV29" s="191"/>
      <c r="WRW29" s="191"/>
      <c r="WRX29" s="191"/>
      <c r="WRZ29" s="191"/>
      <c r="WSA29" s="191"/>
      <c r="WSB29" s="191"/>
      <c r="WSD29" s="191"/>
      <c r="WSE29" s="191"/>
      <c r="WSF29" s="191"/>
      <c r="WSH29" s="191"/>
      <c r="WSI29" s="191"/>
      <c r="WSJ29" s="191"/>
      <c r="WSL29" s="191"/>
      <c r="WSM29" s="191"/>
      <c r="WSN29" s="191"/>
      <c r="WSP29" s="191"/>
      <c r="WSQ29" s="191"/>
      <c r="WSR29" s="191"/>
      <c r="WST29" s="191"/>
      <c r="WSU29" s="191"/>
      <c r="WSV29" s="191"/>
      <c r="WSX29" s="191"/>
      <c r="WSY29" s="191"/>
      <c r="WSZ29" s="191"/>
      <c r="WTB29" s="191"/>
      <c r="WTC29" s="191"/>
      <c r="WTD29" s="191"/>
      <c r="WTF29" s="191"/>
      <c r="WTG29" s="191"/>
      <c r="WTH29" s="191"/>
      <c r="WTJ29" s="191"/>
      <c r="WTK29" s="191"/>
      <c r="WTL29" s="191"/>
      <c r="WTN29" s="191"/>
      <c r="WTO29" s="191"/>
      <c r="WTP29" s="191"/>
      <c r="WTR29" s="191"/>
      <c r="WTS29" s="191"/>
      <c r="WTT29" s="191"/>
      <c r="WTV29" s="191"/>
      <c r="WTW29" s="191"/>
      <c r="WTX29" s="191"/>
      <c r="WTZ29" s="191"/>
      <c r="WUA29" s="191"/>
      <c r="WUB29" s="191"/>
      <c r="WUD29" s="191"/>
      <c r="WUE29" s="191"/>
      <c r="WUF29" s="191"/>
      <c r="WUH29" s="191"/>
      <c r="WUI29" s="191"/>
      <c r="WUJ29" s="191"/>
      <c r="WUL29" s="191"/>
      <c r="WUM29" s="191"/>
      <c r="WUN29" s="191"/>
      <c r="WUP29" s="191"/>
      <c r="WUQ29" s="191"/>
      <c r="WUR29" s="191"/>
      <c r="WUT29" s="191"/>
      <c r="WUU29" s="191"/>
      <c r="WUV29" s="191"/>
      <c r="WUX29" s="191"/>
      <c r="WUY29" s="191"/>
      <c r="WUZ29" s="191"/>
      <c r="WVB29" s="191"/>
      <c r="WVC29" s="191"/>
      <c r="WVD29" s="191"/>
      <c r="WVF29" s="191"/>
      <c r="WVG29" s="191"/>
      <c r="WVH29" s="191"/>
      <c r="WVJ29" s="191"/>
      <c r="WVK29" s="191"/>
      <c r="WVL29" s="191"/>
      <c r="WVN29" s="191"/>
      <c r="WVO29" s="191"/>
      <c r="WVP29" s="191"/>
      <c r="WVR29" s="191"/>
      <c r="WVS29" s="191"/>
      <c r="WVT29" s="191"/>
      <c r="WVV29" s="191"/>
      <c r="WVW29" s="191"/>
      <c r="WVX29" s="191"/>
      <c r="WVZ29" s="191"/>
      <c r="WWA29" s="191"/>
      <c r="WWB29" s="191"/>
      <c r="WWD29" s="191"/>
      <c r="WWE29" s="191"/>
      <c r="WWF29" s="191"/>
      <c r="WWH29" s="191"/>
      <c r="WWI29" s="191"/>
      <c r="WWJ29" s="191"/>
      <c r="WWL29" s="191"/>
      <c r="WWM29" s="191"/>
      <c r="WWN29" s="191"/>
      <c r="WWP29" s="191"/>
      <c r="WWQ29" s="191"/>
      <c r="WWR29" s="191"/>
      <c r="WWT29" s="191"/>
      <c r="WWU29" s="191"/>
      <c r="WWV29" s="191"/>
      <c r="WWX29" s="191"/>
      <c r="WWY29" s="191"/>
      <c r="WWZ29" s="191"/>
      <c r="WXB29" s="191"/>
      <c r="WXC29" s="191"/>
      <c r="WXD29" s="191"/>
      <c r="WXF29" s="191"/>
      <c r="WXG29" s="191"/>
      <c r="WXH29" s="191"/>
      <c r="WXJ29" s="191"/>
      <c r="WXK29" s="191"/>
      <c r="WXL29" s="191"/>
      <c r="WXN29" s="191"/>
      <c r="WXO29" s="191"/>
      <c r="WXP29" s="191"/>
      <c r="WXR29" s="191"/>
      <c r="WXS29" s="191"/>
      <c r="WXT29" s="191"/>
      <c r="WXV29" s="191"/>
      <c r="WXW29" s="191"/>
      <c r="WXX29" s="191"/>
      <c r="WXZ29" s="191"/>
      <c r="WYA29" s="191"/>
      <c r="WYB29" s="191"/>
      <c r="WYD29" s="191"/>
      <c r="WYE29" s="191"/>
      <c r="WYF29" s="191"/>
      <c r="WYH29" s="191"/>
      <c r="WYI29" s="191"/>
      <c r="WYJ29" s="191"/>
      <c r="WYL29" s="191"/>
      <c r="WYM29" s="191"/>
      <c r="WYN29" s="191"/>
      <c r="WYP29" s="191"/>
      <c r="WYQ29" s="191"/>
      <c r="WYR29" s="191"/>
      <c r="WYT29" s="191"/>
      <c r="WYU29" s="191"/>
      <c r="WYV29" s="191"/>
      <c r="WYX29" s="191"/>
      <c r="WYY29" s="191"/>
      <c r="WYZ29" s="191"/>
      <c r="WZB29" s="191"/>
      <c r="WZC29" s="191"/>
      <c r="WZD29" s="191"/>
      <c r="WZF29" s="191"/>
      <c r="WZG29" s="191"/>
      <c r="WZH29" s="191"/>
      <c r="WZJ29" s="191"/>
      <c r="WZK29" s="191"/>
      <c r="WZL29" s="191"/>
      <c r="WZN29" s="191"/>
      <c r="WZO29" s="191"/>
      <c r="WZP29" s="191"/>
      <c r="WZR29" s="191"/>
      <c r="WZS29" s="191"/>
      <c r="WZT29" s="191"/>
      <c r="WZV29" s="191"/>
      <c r="WZW29" s="191"/>
      <c r="WZX29" s="191"/>
      <c r="WZZ29" s="191"/>
      <c r="XAA29" s="191"/>
      <c r="XAB29" s="191"/>
      <c r="XAD29" s="191"/>
      <c r="XAE29" s="191"/>
      <c r="XAF29" s="191"/>
      <c r="XAH29" s="191"/>
      <c r="XAI29" s="191"/>
      <c r="XAJ29" s="191"/>
      <c r="XAL29" s="191"/>
      <c r="XAM29" s="191"/>
      <c r="XAN29" s="191"/>
      <c r="XAP29" s="191"/>
      <c r="XAQ29" s="191"/>
      <c r="XAR29" s="191"/>
      <c r="XAT29" s="191"/>
      <c r="XAU29" s="191"/>
      <c r="XAV29" s="191"/>
      <c r="XAX29" s="191"/>
      <c r="XAY29" s="191"/>
      <c r="XAZ29" s="191"/>
      <c r="XBB29" s="191"/>
      <c r="XBC29" s="191"/>
      <c r="XBD29" s="191"/>
      <c r="XBF29" s="191"/>
      <c r="XBG29" s="191"/>
      <c r="XBH29" s="191"/>
      <c r="XBJ29" s="191"/>
      <c r="XBK29" s="191"/>
      <c r="XBL29" s="191"/>
      <c r="XBN29" s="191"/>
      <c r="XBO29" s="191"/>
      <c r="XBP29" s="191"/>
      <c r="XBR29" s="191"/>
      <c r="XBS29" s="191"/>
      <c r="XBT29" s="191"/>
      <c r="XBV29" s="191"/>
      <c r="XBW29" s="191"/>
      <c r="XBX29" s="191"/>
      <c r="XBZ29" s="191"/>
      <c r="XCA29" s="191"/>
      <c r="XCB29" s="191"/>
      <c r="XCD29" s="191"/>
      <c r="XCE29" s="191"/>
      <c r="XCF29" s="191"/>
      <c r="XCH29" s="191"/>
      <c r="XCI29" s="191"/>
      <c r="XCJ29" s="191"/>
      <c r="XCL29" s="191"/>
      <c r="XCM29" s="191"/>
      <c r="XCN29" s="191"/>
      <c r="XCP29" s="191"/>
      <c r="XCQ29" s="191"/>
      <c r="XCR29" s="191"/>
      <c r="XCT29" s="191"/>
      <c r="XCU29" s="191"/>
      <c r="XCV29" s="191"/>
      <c r="XCX29" s="191"/>
      <c r="XCY29" s="191"/>
      <c r="XCZ29" s="191"/>
      <c r="XDB29" s="191"/>
      <c r="XDC29" s="191"/>
      <c r="XDD29" s="191"/>
      <c r="XDF29" s="191"/>
      <c r="XDG29" s="191"/>
      <c r="XDH29" s="191"/>
      <c r="XDJ29" s="191"/>
      <c r="XDK29" s="191"/>
      <c r="XDL29" s="191"/>
      <c r="XDN29" s="191"/>
      <c r="XDO29" s="191"/>
      <c r="XDP29" s="191"/>
      <c r="XDR29" s="191"/>
      <c r="XDS29" s="191"/>
      <c r="XDT29" s="191"/>
      <c r="XDV29" s="191"/>
      <c r="XDW29" s="191"/>
      <c r="XDX29" s="191"/>
      <c r="XDZ29" s="191"/>
      <c r="XEA29" s="191"/>
      <c r="XEB29" s="191"/>
      <c r="XED29" s="191"/>
      <c r="XEE29" s="191"/>
      <c r="XEF29" s="191"/>
      <c r="XEH29" s="191"/>
      <c r="XEI29" s="191"/>
      <c r="XEJ29" s="191"/>
      <c r="XEL29" s="191"/>
      <c r="XEM29" s="191"/>
      <c r="XEN29" s="191"/>
      <c r="XEP29" s="191"/>
      <c r="XEQ29" s="191"/>
      <c r="XER29" s="191"/>
      <c r="XET29" s="191"/>
      <c r="XEU29" s="191"/>
      <c r="XEV29" s="191"/>
      <c r="XEX29" s="191"/>
      <c r="XEY29" s="191"/>
      <c r="XEZ29" s="191"/>
      <c r="XFB29" s="191"/>
      <c r="XFC29" s="191"/>
      <c r="XFD29" s="191"/>
    </row>
    <row r="30" spans="1:1024 1026:2048 2050:3072 3074:4096 4098:5120 5122:6144 6146:7168 7170:8192 8194:9216 9218:10240 10242:11264 11266:12288 12290:13312 13314:14336 14338:15360 15362:16384" ht="16.2" thickBot="1" x14ac:dyDescent="0.35">
      <c r="A30" t="s">
        <v>28</v>
      </c>
      <c r="B30" s="194">
        <f>'For Employee'!E42</f>
        <v>0</v>
      </c>
      <c r="C30" s="194">
        <f>'For Employee'!F42</f>
        <v>3.6</v>
      </c>
      <c r="D30" s="194">
        <f>'For Employee'!G42</f>
        <v>2.4</v>
      </c>
      <c r="E30" s="194">
        <f>'For Employee'!H42</f>
        <v>1.8</v>
      </c>
      <c r="F30" s="194">
        <f>'For Employee'!I42</f>
        <v>6.7252881600000007</v>
      </c>
      <c r="G30" s="194">
        <f>'For Employee'!J42</f>
        <v>5.6044068000000005</v>
      </c>
      <c r="H30" s="194">
        <f>'For Employee'!K42</f>
        <v>6.5180629714285718</v>
      </c>
      <c r="I30" s="194">
        <f>'For Employee'!L42</f>
        <v>5.7033051000000006</v>
      </c>
      <c r="J30" s="194">
        <f>'For Employee'!M42</f>
        <v>5.0696045333333331</v>
      </c>
      <c r="K30" s="194">
        <f>'For Employee'!N42</f>
        <v>6.2426440799999998</v>
      </c>
      <c r="L30" s="194">
        <f>'For Employee'!O42</f>
        <v>5.6751309818181817</v>
      </c>
      <c r="M30" s="194">
        <f>'For Employee'!P42</f>
        <v>8.6022033999999987</v>
      </c>
    </row>
    <row r="31" spans="1:1024 1026:2048 2050:3072 3074:4096 4098:5120 5122:6144 6146:7168 7170:8192 8194:9216 9218:10240 10242:11264 11266:12288 12290:13312 13314:14336 14338:15360 15362:16384" ht="16.2" thickTop="1" x14ac:dyDescent="0.3">
      <c r="A31" s="189" t="s">
        <v>294</v>
      </c>
      <c r="B31" s="190">
        <v>1</v>
      </c>
      <c r="C31" s="190">
        <v>1</v>
      </c>
      <c r="D31" s="190">
        <v>1</v>
      </c>
      <c r="E31" s="190">
        <v>1</v>
      </c>
      <c r="F31" s="190">
        <v>1</v>
      </c>
      <c r="G31" s="190">
        <v>1</v>
      </c>
      <c r="H31" s="190">
        <v>1</v>
      </c>
      <c r="I31" s="190">
        <v>1</v>
      </c>
      <c r="J31" s="190">
        <v>1</v>
      </c>
      <c r="K31" s="190">
        <v>1</v>
      </c>
      <c r="L31" s="190">
        <v>1</v>
      </c>
      <c r="M31" s="190">
        <v>1</v>
      </c>
    </row>
    <row r="35" spans="1:1024 1026:2048 2050:3072 3074:4096 4098:5120 5122:6144 6146:7168 7170:8192 8194:9216 9218:10240 10242:11264 11266:12288 12290:13312 13314:14336 14338:15360 15362:16384" ht="17.399999999999999" x14ac:dyDescent="0.3">
      <c r="A35" s="24" t="s">
        <v>39</v>
      </c>
    </row>
    <row r="37" spans="1:1024 1026:2048 2050:3072 3074:4096 4098:5120 5122:6144 6146:7168 7170:8192 8194:9216 9218:10240 10242:11264 11266:12288 12290:13312 13314:14336 14338:15360 15362:16384" x14ac:dyDescent="0.3">
      <c r="B37" s="52" t="s">
        <v>229</v>
      </c>
      <c r="C37" s="19" t="s">
        <v>228</v>
      </c>
      <c r="D37" s="19" t="s">
        <v>17</v>
      </c>
      <c r="E37" s="19" t="s">
        <v>18</v>
      </c>
      <c r="F37" s="19" t="s">
        <v>19</v>
      </c>
      <c r="G37" s="19" t="s">
        <v>20</v>
      </c>
      <c r="H37" s="19" t="s">
        <v>21</v>
      </c>
      <c r="I37" s="19" t="s">
        <v>22</v>
      </c>
      <c r="J37" s="19" t="s">
        <v>6</v>
      </c>
      <c r="K37" s="19" t="s">
        <v>23</v>
      </c>
      <c r="L37" s="19" t="s">
        <v>24</v>
      </c>
      <c r="M37" s="19" t="s">
        <v>25</v>
      </c>
    </row>
    <row r="38" spans="1:1024 1026:2048 2050:3072 3074:4096 4098:5120 5122:6144 6146:7168 7170:8192 8194:9216 9218:10240 10242:11264 11266:12288 12290:13312 13314:14336 14338:15360 15362:16384" x14ac:dyDescent="0.3">
      <c r="A38" s="192" t="s">
        <v>295</v>
      </c>
      <c r="B38" s="193">
        <v>0.9</v>
      </c>
      <c r="C38" s="193">
        <v>0.9</v>
      </c>
      <c r="D38" s="193">
        <v>0.9</v>
      </c>
      <c r="E38" s="193">
        <v>0.9</v>
      </c>
      <c r="F38" s="193">
        <v>0.9</v>
      </c>
      <c r="G38" s="193">
        <v>0.9</v>
      </c>
      <c r="H38" s="193">
        <v>0.9</v>
      </c>
      <c r="I38" s="193">
        <v>0.9</v>
      </c>
      <c r="J38" s="193">
        <v>0.9</v>
      </c>
      <c r="K38" s="193">
        <v>0.9</v>
      </c>
      <c r="L38" s="193">
        <v>0.9</v>
      </c>
      <c r="M38" s="193">
        <v>0.9</v>
      </c>
    </row>
    <row r="39" spans="1:1024 1026:2048 2050:3072 3074:4096 4098:5120 5122:6144 6146:7168 7170:8192 8194:9216 9218:10240 10242:11264 11266:12288 12290:13312 13314:14336 14338:15360 15362:16384" x14ac:dyDescent="0.3">
      <c r="A39" s="192" t="s">
        <v>296</v>
      </c>
      <c r="B39" s="193">
        <v>3</v>
      </c>
      <c r="C39" s="193">
        <v>3</v>
      </c>
      <c r="D39" s="193">
        <v>3</v>
      </c>
      <c r="E39" s="193">
        <v>3</v>
      </c>
      <c r="F39" s="193">
        <v>3</v>
      </c>
      <c r="G39" s="193">
        <v>3</v>
      </c>
      <c r="H39" s="193">
        <v>3</v>
      </c>
      <c r="I39" s="193">
        <v>3</v>
      </c>
      <c r="J39" s="193">
        <v>3</v>
      </c>
      <c r="K39" s="193">
        <v>3</v>
      </c>
      <c r="L39" s="193">
        <v>3</v>
      </c>
      <c r="M39" s="193">
        <v>3</v>
      </c>
    </row>
    <row r="40" spans="1:1024 1026:2048 2050:3072 3074:4096 4098:5120 5122:6144 6146:7168 7170:8192 8194:9216 9218:10240 10242:11264 11266:12288 12290:13312 13314:14336 14338:15360 15362:16384" s="61" customFormat="1" x14ac:dyDescent="0.3">
      <c r="A40" s="195" t="s">
        <v>298</v>
      </c>
      <c r="B40" s="193">
        <v>6</v>
      </c>
      <c r="C40" s="193">
        <v>6</v>
      </c>
      <c r="D40" s="193">
        <v>6</v>
      </c>
      <c r="E40" s="193">
        <v>6</v>
      </c>
      <c r="F40" s="193">
        <v>6</v>
      </c>
      <c r="G40" s="193">
        <v>6</v>
      </c>
      <c r="H40" s="193">
        <v>6</v>
      </c>
      <c r="I40" s="193">
        <v>6</v>
      </c>
      <c r="J40" s="193">
        <v>6</v>
      </c>
      <c r="K40" s="193">
        <v>6</v>
      </c>
      <c r="L40" s="193">
        <v>6</v>
      </c>
      <c r="M40" s="193">
        <v>6</v>
      </c>
      <c r="N40" s="191"/>
      <c r="O40" s="191"/>
      <c r="P40" s="191"/>
      <c r="R40" s="191"/>
      <c r="S40" s="191"/>
      <c r="T40" s="191"/>
      <c r="V40" s="191"/>
      <c r="W40" s="191"/>
      <c r="X40" s="191"/>
      <c r="Z40" s="191"/>
      <c r="AA40" s="191"/>
      <c r="AB40" s="191"/>
      <c r="AD40" s="191"/>
      <c r="AE40" s="191"/>
      <c r="AF40" s="191"/>
      <c r="AH40" s="191"/>
      <c r="AI40" s="191"/>
      <c r="AJ40" s="191"/>
      <c r="AL40" s="191"/>
      <c r="AM40" s="191"/>
      <c r="AN40" s="191"/>
      <c r="AP40" s="191"/>
      <c r="AQ40" s="191"/>
      <c r="AR40" s="191"/>
      <c r="AT40" s="191"/>
      <c r="AU40" s="191"/>
      <c r="AV40" s="191"/>
      <c r="AX40" s="191"/>
      <c r="AY40" s="191"/>
      <c r="AZ40" s="191"/>
      <c r="BB40" s="191"/>
      <c r="BC40" s="191"/>
      <c r="BD40" s="191"/>
      <c r="BF40" s="191"/>
      <c r="BG40" s="191"/>
      <c r="BH40" s="191"/>
      <c r="BJ40" s="191"/>
      <c r="BK40" s="191"/>
      <c r="BL40" s="191"/>
      <c r="BN40" s="191"/>
      <c r="BO40" s="191"/>
      <c r="BP40" s="191"/>
      <c r="BR40" s="191"/>
      <c r="BS40" s="191"/>
      <c r="BT40" s="191"/>
      <c r="BV40" s="191"/>
      <c r="BW40" s="191"/>
      <c r="BX40" s="191"/>
      <c r="BZ40" s="191"/>
      <c r="CA40" s="191"/>
      <c r="CB40" s="191"/>
      <c r="CD40" s="191"/>
      <c r="CE40" s="191"/>
      <c r="CF40" s="191"/>
      <c r="CH40" s="191"/>
      <c r="CI40" s="191"/>
      <c r="CJ40" s="191"/>
      <c r="CL40" s="191"/>
      <c r="CM40" s="191"/>
      <c r="CN40" s="191"/>
      <c r="CP40" s="191"/>
      <c r="CQ40" s="191"/>
      <c r="CR40" s="191"/>
      <c r="CT40" s="191"/>
      <c r="CU40" s="191"/>
      <c r="CV40" s="191"/>
      <c r="CX40" s="191"/>
      <c r="CY40" s="191"/>
      <c r="CZ40" s="191"/>
      <c r="DB40" s="191"/>
      <c r="DC40" s="191"/>
      <c r="DD40" s="191"/>
      <c r="DF40" s="191"/>
      <c r="DG40" s="191"/>
      <c r="DH40" s="191"/>
      <c r="DJ40" s="191"/>
      <c r="DK40" s="191"/>
      <c r="DL40" s="191"/>
      <c r="DN40" s="191"/>
      <c r="DO40" s="191"/>
      <c r="DP40" s="191"/>
      <c r="DR40" s="191"/>
      <c r="DS40" s="191"/>
      <c r="DT40" s="191"/>
      <c r="DV40" s="191"/>
      <c r="DW40" s="191"/>
      <c r="DX40" s="191"/>
      <c r="DZ40" s="191"/>
      <c r="EA40" s="191"/>
      <c r="EB40" s="191"/>
      <c r="ED40" s="191"/>
      <c r="EE40" s="191"/>
      <c r="EF40" s="191"/>
      <c r="EH40" s="191"/>
      <c r="EI40" s="191"/>
      <c r="EJ40" s="191"/>
      <c r="EL40" s="191"/>
      <c r="EM40" s="191"/>
      <c r="EN40" s="191"/>
      <c r="EP40" s="191"/>
      <c r="EQ40" s="191"/>
      <c r="ER40" s="191"/>
      <c r="ET40" s="191"/>
      <c r="EU40" s="191"/>
      <c r="EV40" s="191"/>
      <c r="EX40" s="191"/>
      <c r="EY40" s="191"/>
      <c r="EZ40" s="191"/>
      <c r="FB40" s="191"/>
      <c r="FC40" s="191"/>
      <c r="FD40" s="191"/>
      <c r="FF40" s="191"/>
      <c r="FG40" s="191"/>
      <c r="FH40" s="191"/>
      <c r="FJ40" s="191"/>
      <c r="FK40" s="191"/>
      <c r="FL40" s="191"/>
      <c r="FN40" s="191"/>
      <c r="FO40" s="191"/>
      <c r="FP40" s="191"/>
      <c r="FR40" s="191"/>
      <c r="FS40" s="191"/>
      <c r="FT40" s="191"/>
      <c r="FV40" s="191"/>
      <c r="FW40" s="191"/>
      <c r="FX40" s="191"/>
      <c r="FZ40" s="191"/>
      <c r="GA40" s="191"/>
      <c r="GB40" s="191"/>
      <c r="GD40" s="191"/>
      <c r="GE40" s="191"/>
      <c r="GF40" s="191"/>
      <c r="GH40" s="191"/>
      <c r="GI40" s="191"/>
      <c r="GJ40" s="191"/>
      <c r="GL40" s="191"/>
      <c r="GM40" s="191"/>
      <c r="GN40" s="191"/>
      <c r="GP40" s="191"/>
      <c r="GQ40" s="191"/>
      <c r="GR40" s="191"/>
      <c r="GT40" s="191"/>
      <c r="GU40" s="191"/>
      <c r="GV40" s="191"/>
      <c r="GX40" s="191"/>
      <c r="GY40" s="191"/>
      <c r="GZ40" s="191"/>
      <c r="HB40" s="191"/>
      <c r="HC40" s="191"/>
      <c r="HD40" s="191"/>
      <c r="HF40" s="191"/>
      <c r="HG40" s="191"/>
      <c r="HH40" s="191"/>
      <c r="HJ40" s="191"/>
      <c r="HK40" s="191"/>
      <c r="HL40" s="191"/>
      <c r="HN40" s="191"/>
      <c r="HO40" s="191"/>
      <c r="HP40" s="191"/>
      <c r="HR40" s="191"/>
      <c r="HS40" s="191"/>
      <c r="HT40" s="191"/>
      <c r="HV40" s="191"/>
      <c r="HW40" s="191"/>
      <c r="HX40" s="191"/>
      <c r="HZ40" s="191"/>
      <c r="IA40" s="191"/>
      <c r="IB40" s="191"/>
      <c r="ID40" s="191"/>
      <c r="IE40" s="191"/>
      <c r="IF40" s="191"/>
      <c r="IH40" s="191"/>
      <c r="II40" s="191"/>
      <c r="IJ40" s="191"/>
      <c r="IL40" s="191"/>
      <c r="IM40" s="191"/>
      <c r="IN40" s="191"/>
      <c r="IP40" s="191"/>
      <c r="IQ40" s="191"/>
      <c r="IR40" s="191"/>
      <c r="IT40" s="191"/>
      <c r="IU40" s="191"/>
      <c r="IV40" s="191"/>
      <c r="IX40" s="191"/>
      <c r="IY40" s="191"/>
      <c r="IZ40" s="191"/>
      <c r="JB40" s="191"/>
      <c r="JC40" s="191"/>
      <c r="JD40" s="191"/>
      <c r="JF40" s="191"/>
      <c r="JG40" s="191"/>
      <c r="JH40" s="191"/>
      <c r="JJ40" s="191"/>
      <c r="JK40" s="191"/>
      <c r="JL40" s="191"/>
      <c r="JN40" s="191"/>
      <c r="JO40" s="191"/>
      <c r="JP40" s="191"/>
      <c r="JR40" s="191"/>
      <c r="JS40" s="191"/>
      <c r="JT40" s="191"/>
      <c r="JV40" s="191"/>
      <c r="JW40" s="191"/>
      <c r="JX40" s="191"/>
      <c r="JZ40" s="191"/>
      <c r="KA40" s="191"/>
      <c r="KB40" s="191"/>
      <c r="KD40" s="191"/>
      <c r="KE40" s="191"/>
      <c r="KF40" s="191"/>
      <c r="KH40" s="191"/>
      <c r="KI40" s="191"/>
      <c r="KJ40" s="191"/>
      <c r="KL40" s="191"/>
      <c r="KM40" s="191"/>
      <c r="KN40" s="191"/>
      <c r="KP40" s="191"/>
      <c r="KQ40" s="191"/>
      <c r="KR40" s="191"/>
      <c r="KT40" s="191"/>
      <c r="KU40" s="191"/>
      <c r="KV40" s="191"/>
      <c r="KX40" s="191"/>
      <c r="KY40" s="191"/>
      <c r="KZ40" s="191"/>
      <c r="LB40" s="191"/>
      <c r="LC40" s="191"/>
      <c r="LD40" s="191"/>
      <c r="LF40" s="191"/>
      <c r="LG40" s="191"/>
      <c r="LH40" s="191"/>
      <c r="LJ40" s="191"/>
      <c r="LK40" s="191"/>
      <c r="LL40" s="191"/>
      <c r="LN40" s="191"/>
      <c r="LO40" s="191"/>
      <c r="LP40" s="191"/>
      <c r="LR40" s="191"/>
      <c r="LS40" s="191"/>
      <c r="LT40" s="191"/>
      <c r="LV40" s="191"/>
      <c r="LW40" s="191"/>
      <c r="LX40" s="191"/>
      <c r="LZ40" s="191"/>
      <c r="MA40" s="191"/>
      <c r="MB40" s="191"/>
      <c r="MD40" s="191"/>
      <c r="ME40" s="191"/>
      <c r="MF40" s="191"/>
      <c r="MH40" s="191"/>
      <c r="MI40" s="191"/>
      <c r="MJ40" s="191"/>
      <c r="ML40" s="191"/>
      <c r="MM40" s="191"/>
      <c r="MN40" s="191"/>
      <c r="MP40" s="191"/>
      <c r="MQ40" s="191"/>
      <c r="MR40" s="191"/>
      <c r="MT40" s="191"/>
      <c r="MU40" s="191"/>
      <c r="MV40" s="191"/>
      <c r="MX40" s="191"/>
      <c r="MY40" s="191"/>
      <c r="MZ40" s="191"/>
      <c r="NB40" s="191"/>
      <c r="NC40" s="191"/>
      <c r="ND40" s="191"/>
      <c r="NF40" s="191"/>
      <c r="NG40" s="191"/>
      <c r="NH40" s="191"/>
      <c r="NJ40" s="191"/>
      <c r="NK40" s="191"/>
      <c r="NL40" s="191"/>
      <c r="NN40" s="191"/>
      <c r="NO40" s="191"/>
      <c r="NP40" s="191"/>
      <c r="NR40" s="191"/>
      <c r="NS40" s="191"/>
      <c r="NT40" s="191"/>
      <c r="NV40" s="191"/>
      <c r="NW40" s="191"/>
      <c r="NX40" s="191"/>
      <c r="NZ40" s="191"/>
      <c r="OA40" s="191"/>
      <c r="OB40" s="191"/>
      <c r="OD40" s="191"/>
      <c r="OE40" s="191"/>
      <c r="OF40" s="191"/>
      <c r="OH40" s="191"/>
      <c r="OI40" s="191"/>
      <c r="OJ40" s="191"/>
      <c r="OL40" s="191"/>
      <c r="OM40" s="191"/>
      <c r="ON40" s="191"/>
      <c r="OP40" s="191"/>
      <c r="OQ40" s="191"/>
      <c r="OR40" s="191"/>
      <c r="OT40" s="191"/>
      <c r="OU40" s="191"/>
      <c r="OV40" s="191"/>
      <c r="OX40" s="191"/>
      <c r="OY40" s="191"/>
      <c r="OZ40" s="191"/>
      <c r="PB40" s="191"/>
      <c r="PC40" s="191"/>
      <c r="PD40" s="191"/>
      <c r="PF40" s="191"/>
      <c r="PG40" s="191"/>
      <c r="PH40" s="191"/>
      <c r="PJ40" s="191"/>
      <c r="PK40" s="191"/>
      <c r="PL40" s="191"/>
      <c r="PN40" s="191"/>
      <c r="PO40" s="191"/>
      <c r="PP40" s="191"/>
      <c r="PR40" s="191"/>
      <c r="PS40" s="191"/>
      <c r="PT40" s="191"/>
      <c r="PV40" s="191"/>
      <c r="PW40" s="191"/>
      <c r="PX40" s="191"/>
      <c r="PZ40" s="191"/>
      <c r="QA40" s="191"/>
      <c r="QB40" s="191"/>
      <c r="QD40" s="191"/>
      <c r="QE40" s="191"/>
      <c r="QF40" s="191"/>
      <c r="QH40" s="191"/>
      <c r="QI40" s="191"/>
      <c r="QJ40" s="191"/>
      <c r="QL40" s="191"/>
      <c r="QM40" s="191"/>
      <c r="QN40" s="191"/>
      <c r="QP40" s="191"/>
      <c r="QQ40" s="191"/>
      <c r="QR40" s="191"/>
      <c r="QT40" s="191"/>
      <c r="QU40" s="191"/>
      <c r="QV40" s="191"/>
      <c r="QX40" s="191"/>
      <c r="QY40" s="191"/>
      <c r="QZ40" s="191"/>
      <c r="RB40" s="191"/>
      <c r="RC40" s="191"/>
      <c r="RD40" s="191"/>
      <c r="RF40" s="191"/>
      <c r="RG40" s="191"/>
      <c r="RH40" s="191"/>
      <c r="RJ40" s="191"/>
      <c r="RK40" s="191"/>
      <c r="RL40" s="191"/>
      <c r="RN40" s="191"/>
      <c r="RO40" s="191"/>
      <c r="RP40" s="191"/>
      <c r="RR40" s="191"/>
      <c r="RS40" s="191"/>
      <c r="RT40" s="191"/>
      <c r="RV40" s="191"/>
      <c r="RW40" s="191"/>
      <c r="RX40" s="191"/>
      <c r="RZ40" s="191"/>
      <c r="SA40" s="191"/>
      <c r="SB40" s="191"/>
      <c r="SD40" s="191"/>
      <c r="SE40" s="191"/>
      <c r="SF40" s="191"/>
      <c r="SH40" s="191"/>
      <c r="SI40" s="191"/>
      <c r="SJ40" s="191"/>
      <c r="SL40" s="191"/>
      <c r="SM40" s="191"/>
      <c r="SN40" s="191"/>
      <c r="SP40" s="191"/>
      <c r="SQ40" s="191"/>
      <c r="SR40" s="191"/>
      <c r="ST40" s="191"/>
      <c r="SU40" s="191"/>
      <c r="SV40" s="191"/>
      <c r="SX40" s="191"/>
      <c r="SY40" s="191"/>
      <c r="SZ40" s="191"/>
      <c r="TB40" s="191"/>
      <c r="TC40" s="191"/>
      <c r="TD40" s="191"/>
      <c r="TF40" s="191"/>
      <c r="TG40" s="191"/>
      <c r="TH40" s="191"/>
      <c r="TJ40" s="191"/>
      <c r="TK40" s="191"/>
      <c r="TL40" s="191"/>
      <c r="TN40" s="191"/>
      <c r="TO40" s="191"/>
      <c r="TP40" s="191"/>
      <c r="TR40" s="191"/>
      <c r="TS40" s="191"/>
      <c r="TT40" s="191"/>
      <c r="TV40" s="191"/>
      <c r="TW40" s="191"/>
      <c r="TX40" s="191"/>
      <c r="TZ40" s="191"/>
      <c r="UA40" s="191"/>
      <c r="UB40" s="191"/>
      <c r="UD40" s="191"/>
      <c r="UE40" s="191"/>
      <c r="UF40" s="191"/>
      <c r="UH40" s="191"/>
      <c r="UI40" s="191"/>
      <c r="UJ40" s="191"/>
      <c r="UL40" s="191"/>
      <c r="UM40" s="191"/>
      <c r="UN40" s="191"/>
      <c r="UP40" s="191"/>
      <c r="UQ40" s="191"/>
      <c r="UR40" s="191"/>
      <c r="UT40" s="191"/>
      <c r="UU40" s="191"/>
      <c r="UV40" s="191"/>
      <c r="UX40" s="191"/>
      <c r="UY40" s="191"/>
      <c r="UZ40" s="191"/>
      <c r="VB40" s="191"/>
      <c r="VC40" s="191"/>
      <c r="VD40" s="191"/>
      <c r="VF40" s="191"/>
      <c r="VG40" s="191"/>
      <c r="VH40" s="191"/>
      <c r="VJ40" s="191"/>
      <c r="VK40" s="191"/>
      <c r="VL40" s="191"/>
      <c r="VN40" s="191"/>
      <c r="VO40" s="191"/>
      <c r="VP40" s="191"/>
      <c r="VR40" s="191"/>
      <c r="VS40" s="191"/>
      <c r="VT40" s="191"/>
      <c r="VV40" s="191"/>
      <c r="VW40" s="191"/>
      <c r="VX40" s="191"/>
      <c r="VZ40" s="191"/>
      <c r="WA40" s="191"/>
      <c r="WB40" s="191"/>
      <c r="WD40" s="191"/>
      <c r="WE40" s="191"/>
      <c r="WF40" s="191"/>
      <c r="WH40" s="191"/>
      <c r="WI40" s="191"/>
      <c r="WJ40" s="191"/>
      <c r="WL40" s="191"/>
      <c r="WM40" s="191"/>
      <c r="WN40" s="191"/>
      <c r="WP40" s="191"/>
      <c r="WQ40" s="191"/>
      <c r="WR40" s="191"/>
      <c r="WT40" s="191"/>
      <c r="WU40" s="191"/>
      <c r="WV40" s="191"/>
      <c r="WX40" s="191"/>
      <c r="WY40" s="191"/>
      <c r="WZ40" s="191"/>
      <c r="XB40" s="191"/>
      <c r="XC40" s="191"/>
      <c r="XD40" s="191"/>
      <c r="XF40" s="191"/>
      <c r="XG40" s="191"/>
      <c r="XH40" s="191"/>
      <c r="XJ40" s="191"/>
      <c r="XK40" s="191"/>
      <c r="XL40" s="191"/>
      <c r="XN40" s="191"/>
      <c r="XO40" s="191"/>
      <c r="XP40" s="191"/>
      <c r="XR40" s="191"/>
      <c r="XS40" s="191"/>
      <c r="XT40" s="191"/>
      <c r="XV40" s="191"/>
      <c r="XW40" s="191"/>
      <c r="XX40" s="191"/>
      <c r="XZ40" s="191"/>
      <c r="YA40" s="191"/>
      <c r="YB40" s="191"/>
      <c r="YD40" s="191"/>
      <c r="YE40" s="191"/>
      <c r="YF40" s="191"/>
      <c r="YH40" s="191"/>
      <c r="YI40" s="191"/>
      <c r="YJ40" s="191"/>
      <c r="YL40" s="191"/>
      <c r="YM40" s="191"/>
      <c r="YN40" s="191"/>
      <c r="YP40" s="191"/>
      <c r="YQ40" s="191"/>
      <c r="YR40" s="191"/>
      <c r="YT40" s="191"/>
      <c r="YU40" s="191"/>
      <c r="YV40" s="191"/>
      <c r="YX40" s="191"/>
      <c r="YY40" s="191"/>
      <c r="YZ40" s="191"/>
      <c r="ZB40" s="191"/>
      <c r="ZC40" s="191"/>
      <c r="ZD40" s="191"/>
      <c r="ZF40" s="191"/>
      <c r="ZG40" s="191"/>
      <c r="ZH40" s="191"/>
      <c r="ZJ40" s="191"/>
      <c r="ZK40" s="191"/>
      <c r="ZL40" s="191"/>
      <c r="ZN40" s="191"/>
      <c r="ZO40" s="191"/>
      <c r="ZP40" s="191"/>
      <c r="ZR40" s="191"/>
      <c r="ZS40" s="191"/>
      <c r="ZT40" s="191"/>
      <c r="ZV40" s="191"/>
      <c r="ZW40" s="191"/>
      <c r="ZX40" s="191"/>
      <c r="ZZ40" s="191"/>
      <c r="AAA40" s="191"/>
      <c r="AAB40" s="191"/>
      <c r="AAD40" s="191"/>
      <c r="AAE40" s="191"/>
      <c r="AAF40" s="191"/>
      <c r="AAH40" s="191"/>
      <c r="AAI40" s="191"/>
      <c r="AAJ40" s="191"/>
      <c r="AAL40" s="191"/>
      <c r="AAM40" s="191"/>
      <c r="AAN40" s="191"/>
      <c r="AAP40" s="191"/>
      <c r="AAQ40" s="191"/>
      <c r="AAR40" s="191"/>
      <c r="AAT40" s="191"/>
      <c r="AAU40" s="191"/>
      <c r="AAV40" s="191"/>
      <c r="AAX40" s="191"/>
      <c r="AAY40" s="191"/>
      <c r="AAZ40" s="191"/>
      <c r="ABB40" s="191"/>
      <c r="ABC40" s="191"/>
      <c r="ABD40" s="191"/>
      <c r="ABF40" s="191"/>
      <c r="ABG40" s="191"/>
      <c r="ABH40" s="191"/>
      <c r="ABJ40" s="191"/>
      <c r="ABK40" s="191"/>
      <c r="ABL40" s="191"/>
      <c r="ABN40" s="191"/>
      <c r="ABO40" s="191"/>
      <c r="ABP40" s="191"/>
      <c r="ABR40" s="191"/>
      <c r="ABS40" s="191"/>
      <c r="ABT40" s="191"/>
      <c r="ABV40" s="191"/>
      <c r="ABW40" s="191"/>
      <c r="ABX40" s="191"/>
      <c r="ABZ40" s="191"/>
      <c r="ACA40" s="191"/>
      <c r="ACB40" s="191"/>
      <c r="ACD40" s="191"/>
      <c r="ACE40" s="191"/>
      <c r="ACF40" s="191"/>
      <c r="ACH40" s="191"/>
      <c r="ACI40" s="191"/>
      <c r="ACJ40" s="191"/>
      <c r="ACL40" s="191"/>
      <c r="ACM40" s="191"/>
      <c r="ACN40" s="191"/>
      <c r="ACP40" s="191"/>
      <c r="ACQ40" s="191"/>
      <c r="ACR40" s="191"/>
      <c r="ACT40" s="191"/>
      <c r="ACU40" s="191"/>
      <c r="ACV40" s="191"/>
      <c r="ACX40" s="191"/>
      <c r="ACY40" s="191"/>
      <c r="ACZ40" s="191"/>
      <c r="ADB40" s="191"/>
      <c r="ADC40" s="191"/>
      <c r="ADD40" s="191"/>
      <c r="ADF40" s="191"/>
      <c r="ADG40" s="191"/>
      <c r="ADH40" s="191"/>
      <c r="ADJ40" s="191"/>
      <c r="ADK40" s="191"/>
      <c r="ADL40" s="191"/>
      <c r="ADN40" s="191"/>
      <c r="ADO40" s="191"/>
      <c r="ADP40" s="191"/>
      <c r="ADR40" s="191"/>
      <c r="ADS40" s="191"/>
      <c r="ADT40" s="191"/>
      <c r="ADV40" s="191"/>
      <c r="ADW40" s="191"/>
      <c r="ADX40" s="191"/>
      <c r="ADZ40" s="191"/>
      <c r="AEA40" s="191"/>
      <c r="AEB40" s="191"/>
      <c r="AED40" s="191"/>
      <c r="AEE40" s="191"/>
      <c r="AEF40" s="191"/>
      <c r="AEH40" s="191"/>
      <c r="AEI40" s="191"/>
      <c r="AEJ40" s="191"/>
      <c r="AEL40" s="191"/>
      <c r="AEM40" s="191"/>
      <c r="AEN40" s="191"/>
      <c r="AEP40" s="191"/>
      <c r="AEQ40" s="191"/>
      <c r="AER40" s="191"/>
      <c r="AET40" s="191"/>
      <c r="AEU40" s="191"/>
      <c r="AEV40" s="191"/>
      <c r="AEX40" s="191"/>
      <c r="AEY40" s="191"/>
      <c r="AEZ40" s="191"/>
      <c r="AFB40" s="191"/>
      <c r="AFC40" s="191"/>
      <c r="AFD40" s="191"/>
      <c r="AFF40" s="191"/>
      <c r="AFG40" s="191"/>
      <c r="AFH40" s="191"/>
      <c r="AFJ40" s="191"/>
      <c r="AFK40" s="191"/>
      <c r="AFL40" s="191"/>
      <c r="AFN40" s="191"/>
      <c r="AFO40" s="191"/>
      <c r="AFP40" s="191"/>
      <c r="AFR40" s="191"/>
      <c r="AFS40" s="191"/>
      <c r="AFT40" s="191"/>
      <c r="AFV40" s="191"/>
      <c r="AFW40" s="191"/>
      <c r="AFX40" s="191"/>
      <c r="AFZ40" s="191"/>
      <c r="AGA40" s="191"/>
      <c r="AGB40" s="191"/>
      <c r="AGD40" s="191"/>
      <c r="AGE40" s="191"/>
      <c r="AGF40" s="191"/>
      <c r="AGH40" s="191"/>
      <c r="AGI40" s="191"/>
      <c r="AGJ40" s="191"/>
      <c r="AGL40" s="191"/>
      <c r="AGM40" s="191"/>
      <c r="AGN40" s="191"/>
      <c r="AGP40" s="191"/>
      <c r="AGQ40" s="191"/>
      <c r="AGR40" s="191"/>
      <c r="AGT40" s="191"/>
      <c r="AGU40" s="191"/>
      <c r="AGV40" s="191"/>
      <c r="AGX40" s="191"/>
      <c r="AGY40" s="191"/>
      <c r="AGZ40" s="191"/>
      <c r="AHB40" s="191"/>
      <c r="AHC40" s="191"/>
      <c r="AHD40" s="191"/>
      <c r="AHF40" s="191"/>
      <c r="AHG40" s="191"/>
      <c r="AHH40" s="191"/>
      <c r="AHJ40" s="191"/>
      <c r="AHK40" s="191"/>
      <c r="AHL40" s="191"/>
      <c r="AHN40" s="191"/>
      <c r="AHO40" s="191"/>
      <c r="AHP40" s="191"/>
      <c r="AHR40" s="191"/>
      <c r="AHS40" s="191"/>
      <c r="AHT40" s="191"/>
      <c r="AHV40" s="191"/>
      <c r="AHW40" s="191"/>
      <c r="AHX40" s="191"/>
      <c r="AHZ40" s="191"/>
      <c r="AIA40" s="191"/>
      <c r="AIB40" s="191"/>
      <c r="AID40" s="191"/>
      <c r="AIE40" s="191"/>
      <c r="AIF40" s="191"/>
      <c r="AIH40" s="191"/>
      <c r="AII40" s="191"/>
      <c r="AIJ40" s="191"/>
      <c r="AIL40" s="191"/>
      <c r="AIM40" s="191"/>
      <c r="AIN40" s="191"/>
      <c r="AIP40" s="191"/>
      <c r="AIQ40" s="191"/>
      <c r="AIR40" s="191"/>
      <c r="AIT40" s="191"/>
      <c r="AIU40" s="191"/>
      <c r="AIV40" s="191"/>
      <c r="AIX40" s="191"/>
      <c r="AIY40" s="191"/>
      <c r="AIZ40" s="191"/>
      <c r="AJB40" s="191"/>
      <c r="AJC40" s="191"/>
      <c r="AJD40" s="191"/>
      <c r="AJF40" s="191"/>
      <c r="AJG40" s="191"/>
      <c r="AJH40" s="191"/>
      <c r="AJJ40" s="191"/>
      <c r="AJK40" s="191"/>
      <c r="AJL40" s="191"/>
      <c r="AJN40" s="191"/>
      <c r="AJO40" s="191"/>
      <c r="AJP40" s="191"/>
      <c r="AJR40" s="191"/>
      <c r="AJS40" s="191"/>
      <c r="AJT40" s="191"/>
      <c r="AJV40" s="191"/>
      <c r="AJW40" s="191"/>
      <c r="AJX40" s="191"/>
      <c r="AJZ40" s="191"/>
      <c r="AKA40" s="191"/>
      <c r="AKB40" s="191"/>
      <c r="AKD40" s="191"/>
      <c r="AKE40" s="191"/>
      <c r="AKF40" s="191"/>
      <c r="AKH40" s="191"/>
      <c r="AKI40" s="191"/>
      <c r="AKJ40" s="191"/>
      <c r="AKL40" s="191"/>
      <c r="AKM40" s="191"/>
      <c r="AKN40" s="191"/>
      <c r="AKP40" s="191"/>
      <c r="AKQ40" s="191"/>
      <c r="AKR40" s="191"/>
      <c r="AKT40" s="191"/>
      <c r="AKU40" s="191"/>
      <c r="AKV40" s="191"/>
      <c r="AKX40" s="191"/>
      <c r="AKY40" s="191"/>
      <c r="AKZ40" s="191"/>
      <c r="ALB40" s="191"/>
      <c r="ALC40" s="191"/>
      <c r="ALD40" s="191"/>
      <c r="ALF40" s="191"/>
      <c r="ALG40" s="191"/>
      <c r="ALH40" s="191"/>
      <c r="ALJ40" s="191"/>
      <c r="ALK40" s="191"/>
      <c r="ALL40" s="191"/>
      <c r="ALN40" s="191"/>
      <c r="ALO40" s="191"/>
      <c r="ALP40" s="191"/>
      <c r="ALR40" s="191"/>
      <c r="ALS40" s="191"/>
      <c r="ALT40" s="191"/>
      <c r="ALV40" s="191"/>
      <c r="ALW40" s="191"/>
      <c r="ALX40" s="191"/>
      <c r="ALZ40" s="191"/>
      <c r="AMA40" s="191"/>
      <c r="AMB40" s="191"/>
      <c r="AMD40" s="191"/>
      <c r="AME40" s="191"/>
      <c r="AMF40" s="191"/>
      <c r="AMH40" s="191"/>
      <c r="AMI40" s="191"/>
      <c r="AMJ40" s="191"/>
      <c r="AML40" s="191"/>
      <c r="AMM40" s="191"/>
      <c r="AMN40" s="191"/>
      <c r="AMP40" s="191"/>
      <c r="AMQ40" s="191"/>
      <c r="AMR40" s="191"/>
      <c r="AMT40" s="191"/>
      <c r="AMU40" s="191"/>
      <c r="AMV40" s="191"/>
      <c r="AMX40" s="191"/>
      <c r="AMY40" s="191"/>
      <c r="AMZ40" s="191"/>
      <c r="ANB40" s="191"/>
      <c r="ANC40" s="191"/>
      <c r="AND40" s="191"/>
      <c r="ANF40" s="191"/>
      <c r="ANG40" s="191"/>
      <c r="ANH40" s="191"/>
      <c r="ANJ40" s="191"/>
      <c r="ANK40" s="191"/>
      <c r="ANL40" s="191"/>
      <c r="ANN40" s="191"/>
      <c r="ANO40" s="191"/>
      <c r="ANP40" s="191"/>
      <c r="ANR40" s="191"/>
      <c r="ANS40" s="191"/>
      <c r="ANT40" s="191"/>
      <c r="ANV40" s="191"/>
      <c r="ANW40" s="191"/>
      <c r="ANX40" s="191"/>
      <c r="ANZ40" s="191"/>
      <c r="AOA40" s="191"/>
      <c r="AOB40" s="191"/>
      <c r="AOD40" s="191"/>
      <c r="AOE40" s="191"/>
      <c r="AOF40" s="191"/>
      <c r="AOH40" s="191"/>
      <c r="AOI40" s="191"/>
      <c r="AOJ40" s="191"/>
      <c r="AOL40" s="191"/>
      <c r="AOM40" s="191"/>
      <c r="AON40" s="191"/>
      <c r="AOP40" s="191"/>
      <c r="AOQ40" s="191"/>
      <c r="AOR40" s="191"/>
      <c r="AOT40" s="191"/>
      <c r="AOU40" s="191"/>
      <c r="AOV40" s="191"/>
      <c r="AOX40" s="191"/>
      <c r="AOY40" s="191"/>
      <c r="AOZ40" s="191"/>
      <c r="APB40" s="191"/>
      <c r="APC40" s="191"/>
      <c r="APD40" s="191"/>
      <c r="APF40" s="191"/>
      <c r="APG40" s="191"/>
      <c r="APH40" s="191"/>
      <c r="APJ40" s="191"/>
      <c r="APK40" s="191"/>
      <c r="APL40" s="191"/>
      <c r="APN40" s="191"/>
      <c r="APO40" s="191"/>
      <c r="APP40" s="191"/>
      <c r="APR40" s="191"/>
      <c r="APS40" s="191"/>
      <c r="APT40" s="191"/>
      <c r="APV40" s="191"/>
      <c r="APW40" s="191"/>
      <c r="APX40" s="191"/>
      <c r="APZ40" s="191"/>
      <c r="AQA40" s="191"/>
      <c r="AQB40" s="191"/>
      <c r="AQD40" s="191"/>
      <c r="AQE40" s="191"/>
      <c r="AQF40" s="191"/>
      <c r="AQH40" s="191"/>
      <c r="AQI40" s="191"/>
      <c r="AQJ40" s="191"/>
      <c r="AQL40" s="191"/>
      <c r="AQM40" s="191"/>
      <c r="AQN40" s="191"/>
      <c r="AQP40" s="191"/>
      <c r="AQQ40" s="191"/>
      <c r="AQR40" s="191"/>
      <c r="AQT40" s="191"/>
      <c r="AQU40" s="191"/>
      <c r="AQV40" s="191"/>
      <c r="AQX40" s="191"/>
      <c r="AQY40" s="191"/>
      <c r="AQZ40" s="191"/>
      <c r="ARB40" s="191"/>
      <c r="ARC40" s="191"/>
      <c r="ARD40" s="191"/>
      <c r="ARF40" s="191"/>
      <c r="ARG40" s="191"/>
      <c r="ARH40" s="191"/>
      <c r="ARJ40" s="191"/>
      <c r="ARK40" s="191"/>
      <c r="ARL40" s="191"/>
      <c r="ARN40" s="191"/>
      <c r="ARO40" s="191"/>
      <c r="ARP40" s="191"/>
      <c r="ARR40" s="191"/>
      <c r="ARS40" s="191"/>
      <c r="ART40" s="191"/>
      <c r="ARV40" s="191"/>
      <c r="ARW40" s="191"/>
      <c r="ARX40" s="191"/>
      <c r="ARZ40" s="191"/>
      <c r="ASA40" s="191"/>
      <c r="ASB40" s="191"/>
      <c r="ASD40" s="191"/>
      <c r="ASE40" s="191"/>
      <c r="ASF40" s="191"/>
      <c r="ASH40" s="191"/>
      <c r="ASI40" s="191"/>
      <c r="ASJ40" s="191"/>
      <c r="ASL40" s="191"/>
      <c r="ASM40" s="191"/>
      <c r="ASN40" s="191"/>
      <c r="ASP40" s="191"/>
      <c r="ASQ40" s="191"/>
      <c r="ASR40" s="191"/>
      <c r="AST40" s="191"/>
      <c r="ASU40" s="191"/>
      <c r="ASV40" s="191"/>
      <c r="ASX40" s="191"/>
      <c r="ASY40" s="191"/>
      <c r="ASZ40" s="191"/>
      <c r="ATB40" s="191"/>
      <c r="ATC40" s="191"/>
      <c r="ATD40" s="191"/>
      <c r="ATF40" s="191"/>
      <c r="ATG40" s="191"/>
      <c r="ATH40" s="191"/>
      <c r="ATJ40" s="191"/>
      <c r="ATK40" s="191"/>
      <c r="ATL40" s="191"/>
      <c r="ATN40" s="191"/>
      <c r="ATO40" s="191"/>
      <c r="ATP40" s="191"/>
      <c r="ATR40" s="191"/>
      <c r="ATS40" s="191"/>
      <c r="ATT40" s="191"/>
      <c r="ATV40" s="191"/>
      <c r="ATW40" s="191"/>
      <c r="ATX40" s="191"/>
      <c r="ATZ40" s="191"/>
      <c r="AUA40" s="191"/>
      <c r="AUB40" s="191"/>
      <c r="AUD40" s="191"/>
      <c r="AUE40" s="191"/>
      <c r="AUF40" s="191"/>
      <c r="AUH40" s="191"/>
      <c r="AUI40" s="191"/>
      <c r="AUJ40" s="191"/>
      <c r="AUL40" s="191"/>
      <c r="AUM40" s="191"/>
      <c r="AUN40" s="191"/>
      <c r="AUP40" s="191"/>
      <c r="AUQ40" s="191"/>
      <c r="AUR40" s="191"/>
      <c r="AUT40" s="191"/>
      <c r="AUU40" s="191"/>
      <c r="AUV40" s="191"/>
      <c r="AUX40" s="191"/>
      <c r="AUY40" s="191"/>
      <c r="AUZ40" s="191"/>
      <c r="AVB40" s="191"/>
      <c r="AVC40" s="191"/>
      <c r="AVD40" s="191"/>
      <c r="AVF40" s="191"/>
      <c r="AVG40" s="191"/>
      <c r="AVH40" s="191"/>
      <c r="AVJ40" s="191"/>
      <c r="AVK40" s="191"/>
      <c r="AVL40" s="191"/>
      <c r="AVN40" s="191"/>
      <c r="AVO40" s="191"/>
      <c r="AVP40" s="191"/>
      <c r="AVR40" s="191"/>
      <c r="AVS40" s="191"/>
      <c r="AVT40" s="191"/>
      <c r="AVV40" s="191"/>
      <c r="AVW40" s="191"/>
      <c r="AVX40" s="191"/>
      <c r="AVZ40" s="191"/>
      <c r="AWA40" s="191"/>
      <c r="AWB40" s="191"/>
      <c r="AWD40" s="191"/>
      <c r="AWE40" s="191"/>
      <c r="AWF40" s="191"/>
      <c r="AWH40" s="191"/>
      <c r="AWI40" s="191"/>
      <c r="AWJ40" s="191"/>
      <c r="AWL40" s="191"/>
      <c r="AWM40" s="191"/>
      <c r="AWN40" s="191"/>
      <c r="AWP40" s="191"/>
      <c r="AWQ40" s="191"/>
      <c r="AWR40" s="191"/>
      <c r="AWT40" s="191"/>
      <c r="AWU40" s="191"/>
      <c r="AWV40" s="191"/>
      <c r="AWX40" s="191"/>
      <c r="AWY40" s="191"/>
      <c r="AWZ40" s="191"/>
      <c r="AXB40" s="191"/>
      <c r="AXC40" s="191"/>
      <c r="AXD40" s="191"/>
      <c r="AXF40" s="191"/>
      <c r="AXG40" s="191"/>
      <c r="AXH40" s="191"/>
      <c r="AXJ40" s="191"/>
      <c r="AXK40" s="191"/>
      <c r="AXL40" s="191"/>
      <c r="AXN40" s="191"/>
      <c r="AXO40" s="191"/>
      <c r="AXP40" s="191"/>
      <c r="AXR40" s="191"/>
      <c r="AXS40" s="191"/>
      <c r="AXT40" s="191"/>
      <c r="AXV40" s="191"/>
      <c r="AXW40" s="191"/>
      <c r="AXX40" s="191"/>
      <c r="AXZ40" s="191"/>
      <c r="AYA40" s="191"/>
      <c r="AYB40" s="191"/>
      <c r="AYD40" s="191"/>
      <c r="AYE40" s="191"/>
      <c r="AYF40" s="191"/>
      <c r="AYH40" s="191"/>
      <c r="AYI40" s="191"/>
      <c r="AYJ40" s="191"/>
      <c r="AYL40" s="191"/>
      <c r="AYM40" s="191"/>
      <c r="AYN40" s="191"/>
      <c r="AYP40" s="191"/>
      <c r="AYQ40" s="191"/>
      <c r="AYR40" s="191"/>
      <c r="AYT40" s="191"/>
      <c r="AYU40" s="191"/>
      <c r="AYV40" s="191"/>
      <c r="AYX40" s="191"/>
      <c r="AYY40" s="191"/>
      <c r="AYZ40" s="191"/>
      <c r="AZB40" s="191"/>
      <c r="AZC40" s="191"/>
      <c r="AZD40" s="191"/>
      <c r="AZF40" s="191"/>
      <c r="AZG40" s="191"/>
      <c r="AZH40" s="191"/>
      <c r="AZJ40" s="191"/>
      <c r="AZK40" s="191"/>
      <c r="AZL40" s="191"/>
      <c r="AZN40" s="191"/>
      <c r="AZO40" s="191"/>
      <c r="AZP40" s="191"/>
      <c r="AZR40" s="191"/>
      <c r="AZS40" s="191"/>
      <c r="AZT40" s="191"/>
      <c r="AZV40" s="191"/>
      <c r="AZW40" s="191"/>
      <c r="AZX40" s="191"/>
      <c r="AZZ40" s="191"/>
      <c r="BAA40" s="191"/>
      <c r="BAB40" s="191"/>
      <c r="BAD40" s="191"/>
      <c r="BAE40" s="191"/>
      <c r="BAF40" s="191"/>
      <c r="BAH40" s="191"/>
      <c r="BAI40" s="191"/>
      <c r="BAJ40" s="191"/>
      <c r="BAL40" s="191"/>
      <c r="BAM40" s="191"/>
      <c r="BAN40" s="191"/>
      <c r="BAP40" s="191"/>
      <c r="BAQ40" s="191"/>
      <c r="BAR40" s="191"/>
      <c r="BAT40" s="191"/>
      <c r="BAU40" s="191"/>
      <c r="BAV40" s="191"/>
      <c r="BAX40" s="191"/>
      <c r="BAY40" s="191"/>
      <c r="BAZ40" s="191"/>
      <c r="BBB40" s="191"/>
      <c r="BBC40" s="191"/>
      <c r="BBD40" s="191"/>
      <c r="BBF40" s="191"/>
      <c r="BBG40" s="191"/>
      <c r="BBH40" s="191"/>
      <c r="BBJ40" s="191"/>
      <c r="BBK40" s="191"/>
      <c r="BBL40" s="191"/>
      <c r="BBN40" s="191"/>
      <c r="BBO40" s="191"/>
      <c r="BBP40" s="191"/>
      <c r="BBR40" s="191"/>
      <c r="BBS40" s="191"/>
      <c r="BBT40" s="191"/>
      <c r="BBV40" s="191"/>
      <c r="BBW40" s="191"/>
      <c r="BBX40" s="191"/>
      <c r="BBZ40" s="191"/>
      <c r="BCA40" s="191"/>
      <c r="BCB40" s="191"/>
      <c r="BCD40" s="191"/>
      <c r="BCE40" s="191"/>
      <c r="BCF40" s="191"/>
      <c r="BCH40" s="191"/>
      <c r="BCI40" s="191"/>
      <c r="BCJ40" s="191"/>
      <c r="BCL40" s="191"/>
      <c r="BCM40" s="191"/>
      <c r="BCN40" s="191"/>
      <c r="BCP40" s="191"/>
      <c r="BCQ40" s="191"/>
      <c r="BCR40" s="191"/>
      <c r="BCT40" s="191"/>
      <c r="BCU40" s="191"/>
      <c r="BCV40" s="191"/>
      <c r="BCX40" s="191"/>
      <c r="BCY40" s="191"/>
      <c r="BCZ40" s="191"/>
      <c r="BDB40" s="191"/>
      <c r="BDC40" s="191"/>
      <c r="BDD40" s="191"/>
      <c r="BDF40" s="191"/>
      <c r="BDG40" s="191"/>
      <c r="BDH40" s="191"/>
      <c r="BDJ40" s="191"/>
      <c r="BDK40" s="191"/>
      <c r="BDL40" s="191"/>
      <c r="BDN40" s="191"/>
      <c r="BDO40" s="191"/>
      <c r="BDP40" s="191"/>
      <c r="BDR40" s="191"/>
      <c r="BDS40" s="191"/>
      <c r="BDT40" s="191"/>
      <c r="BDV40" s="191"/>
      <c r="BDW40" s="191"/>
      <c r="BDX40" s="191"/>
      <c r="BDZ40" s="191"/>
      <c r="BEA40" s="191"/>
      <c r="BEB40" s="191"/>
      <c r="BED40" s="191"/>
      <c r="BEE40" s="191"/>
      <c r="BEF40" s="191"/>
      <c r="BEH40" s="191"/>
      <c r="BEI40" s="191"/>
      <c r="BEJ40" s="191"/>
      <c r="BEL40" s="191"/>
      <c r="BEM40" s="191"/>
      <c r="BEN40" s="191"/>
      <c r="BEP40" s="191"/>
      <c r="BEQ40" s="191"/>
      <c r="BER40" s="191"/>
      <c r="BET40" s="191"/>
      <c r="BEU40" s="191"/>
      <c r="BEV40" s="191"/>
      <c r="BEX40" s="191"/>
      <c r="BEY40" s="191"/>
      <c r="BEZ40" s="191"/>
      <c r="BFB40" s="191"/>
      <c r="BFC40" s="191"/>
      <c r="BFD40" s="191"/>
      <c r="BFF40" s="191"/>
      <c r="BFG40" s="191"/>
      <c r="BFH40" s="191"/>
      <c r="BFJ40" s="191"/>
      <c r="BFK40" s="191"/>
      <c r="BFL40" s="191"/>
      <c r="BFN40" s="191"/>
      <c r="BFO40" s="191"/>
      <c r="BFP40" s="191"/>
      <c r="BFR40" s="191"/>
      <c r="BFS40" s="191"/>
      <c r="BFT40" s="191"/>
      <c r="BFV40" s="191"/>
      <c r="BFW40" s="191"/>
      <c r="BFX40" s="191"/>
      <c r="BFZ40" s="191"/>
      <c r="BGA40" s="191"/>
      <c r="BGB40" s="191"/>
      <c r="BGD40" s="191"/>
      <c r="BGE40" s="191"/>
      <c r="BGF40" s="191"/>
      <c r="BGH40" s="191"/>
      <c r="BGI40" s="191"/>
      <c r="BGJ40" s="191"/>
      <c r="BGL40" s="191"/>
      <c r="BGM40" s="191"/>
      <c r="BGN40" s="191"/>
      <c r="BGP40" s="191"/>
      <c r="BGQ40" s="191"/>
      <c r="BGR40" s="191"/>
      <c r="BGT40" s="191"/>
      <c r="BGU40" s="191"/>
      <c r="BGV40" s="191"/>
      <c r="BGX40" s="191"/>
      <c r="BGY40" s="191"/>
      <c r="BGZ40" s="191"/>
      <c r="BHB40" s="191"/>
      <c r="BHC40" s="191"/>
      <c r="BHD40" s="191"/>
      <c r="BHF40" s="191"/>
      <c r="BHG40" s="191"/>
      <c r="BHH40" s="191"/>
      <c r="BHJ40" s="191"/>
      <c r="BHK40" s="191"/>
      <c r="BHL40" s="191"/>
      <c r="BHN40" s="191"/>
      <c r="BHO40" s="191"/>
      <c r="BHP40" s="191"/>
      <c r="BHR40" s="191"/>
      <c r="BHS40" s="191"/>
      <c r="BHT40" s="191"/>
      <c r="BHV40" s="191"/>
      <c r="BHW40" s="191"/>
      <c r="BHX40" s="191"/>
      <c r="BHZ40" s="191"/>
      <c r="BIA40" s="191"/>
      <c r="BIB40" s="191"/>
      <c r="BID40" s="191"/>
      <c r="BIE40" s="191"/>
      <c r="BIF40" s="191"/>
      <c r="BIH40" s="191"/>
      <c r="BII40" s="191"/>
      <c r="BIJ40" s="191"/>
      <c r="BIL40" s="191"/>
      <c r="BIM40" s="191"/>
      <c r="BIN40" s="191"/>
      <c r="BIP40" s="191"/>
      <c r="BIQ40" s="191"/>
      <c r="BIR40" s="191"/>
      <c r="BIT40" s="191"/>
      <c r="BIU40" s="191"/>
      <c r="BIV40" s="191"/>
      <c r="BIX40" s="191"/>
      <c r="BIY40" s="191"/>
      <c r="BIZ40" s="191"/>
      <c r="BJB40" s="191"/>
      <c r="BJC40" s="191"/>
      <c r="BJD40" s="191"/>
      <c r="BJF40" s="191"/>
      <c r="BJG40" s="191"/>
      <c r="BJH40" s="191"/>
      <c r="BJJ40" s="191"/>
      <c r="BJK40" s="191"/>
      <c r="BJL40" s="191"/>
      <c r="BJN40" s="191"/>
      <c r="BJO40" s="191"/>
      <c r="BJP40" s="191"/>
      <c r="BJR40" s="191"/>
      <c r="BJS40" s="191"/>
      <c r="BJT40" s="191"/>
      <c r="BJV40" s="191"/>
      <c r="BJW40" s="191"/>
      <c r="BJX40" s="191"/>
      <c r="BJZ40" s="191"/>
      <c r="BKA40" s="191"/>
      <c r="BKB40" s="191"/>
      <c r="BKD40" s="191"/>
      <c r="BKE40" s="191"/>
      <c r="BKF40" s="191"/>
      <c r="BKH40" s="191"/>
      <c r="BKI40" s="191"/>
      <c r="BKJ40" s="191"/>
      <c r="BKL40" s="191"/>
      <c r="BKM40" s="191"/>
      <c r="BKN40" s="191"/>
      <c r="BKP40" s="191"/>
      <c r="BKQ40" s="191"/>
      <c r="BKR40" s="191"/>
      <c r="BKT40" s="191"/>
      <c r="BKU40" s="191"/>
      <c r="BKV40" s="191"/>
      <c r="BKX40" s="191"/>
      <c r="BKY40" s="191"/>
      <c r="BKZ40" s="191"/>
      <c r="BLB40" s="191"/>
      <c r="BLC40" s="191"/>
      <c r="BLD40" s="191"/>
      <c r="BLF40" s="191"/>
      <c r="BLG40" s="191"/>
      <c r="BLH40" s="191"/>
      <c r="BLJ40" s="191"/>
      <c r="BLK40" s="191"/>
      <c r="BLL40" s="191"/>
      <c r="BLN40" s="191"/>
      <c r="BLO40" s="191"/>
      <c r="BLP40" s="191"/>
      <c r="BLR40" s="191"/>
      <c r="BLS40" s="191"/>
      <c r="BLT40" s="191"/>
      <c r="BLV40" s="191"/>
      <c r="BLW40" s="191"/>
      <c r="BLX40" s="191"/>
      <c r="BLZ40" s="191"/>
      <c r="BMA40" s="191"/>
      <c r="BMB40" s="191"/>
      <c r="BMD40" s="191"/>
      <c r="BME40" s="191"/>
      <c r="BMF40" s="191"/>
      <c r="BMH40" s="191"/>
      <c r="BMI40" s="191"/>
      <c r="BMJ40" s="191"/>
      <c r="BML40" s="191"/>
      <c r="BMM40" s="191"/>
      <c r="BMN40" s="191"/>
      <c r="BMP40" s="191"/>
      <c r="BMQ40" s="191"/>
      <c r="BMR40" s="191"/>
      <c r="BMT40" s="191"/>
      <c r="BMU40" s="191"/>
      <c r="BMV40" s="191"/>
      <c r="BMX40" s="191"/>
      <c r="BMY40" s="191"/>
      <c r="BMZ40" s="191"/>
      <c r="BNB40" s="191"/>
      <c r="BNC40" s="191"/>
      <c r="BND40" s="191"/>
      <c r="BNF40" s="191"/>
      <c r="BNG40" s="191"/>
      <c r="BNH40" s="191"/>
      <c r="BNJ40" s="191"/>
      <c r="BNK40" s="191"/>
      <c r="BNL40" s="191"/>
      <c r="BNN40" s="191"/>
      <c r="BNO40" s="191"/>
      <c r="BNP40" s="191"/>
      <c r="BNR40" s="191"/>
      <c r="BNS40" s="191"/>
      <c r="BNT40" s="191"/>
      <c r="BNV40" s="191"/>
      <c r="BNW40" s="191"/>
      <c r="BNX40" s="191"/>
      <c r="BNZ40" s="191"/>
      <c r="BOA40" s="191"/>
      <c r="BOB40" s="191"/>
      <c r="BOD40" s="191"/>
      <c r="BOE40" s="191"/>
      <c r="BOF40" s="191"/>
      <c r="BOH40" s="191"/>
      <c r="BOI40" s="191"/>
      <c r="BOJ40" s="191"/>
      <c r="BOL40" s="191"/>
      <c r="BOM40" s="191"/>
      <c r="BON40" s="191"/>
      <c r="BOP40" s="191"/>
      <c r="BOQ40" s="191"/>
      <c r="BOR40" s="191"/>
      <c r="BOT40" s="191"/>
      <c r="BOU40" s="191"/>
      <c r="BOV40" s="191"/>
      <c r="BOX40" s="191"/>
      <c r="BOY40" s="191"/>
      <c r="BOZ40" s="191"/>
      <c r="BPB40" s="191"/>
      <c r="BPC40" s="191"/>
      <c r="BPD40" s="191"/>
      <c r="BPF40" s="191"/>
      <c r="BPG40" s="191"/>
      <c r="BPH40" s="191"/>
      <c r="BPJ40" s="191"/>
      <c r="BPK40" s="191"/>
      <c r="BPL40" s="191"/>
      <c r="BPN40" s="191"/>
      <c r="BPO40" s="191"/>
      <c r="BPP40" s="191"/>
      <c r="BPR40" s="191"/>
      <c r="BPS40" s="191"/>
      <c r="BPT40" s="191"/>
      <c r="BPV40" s="191"/>
      <c r="BPW40" s="191"/>
      <c r="BPX40" s="191"/>
      <c r="BPZ40" s="191"/>
      <c r="BQA40" s="191"/>
      <c r="BQB40" s="191"/>
      <c r="BQD40" s="191"/>
      <c r="BQE40" s="191"/>
      <c r="BQF40" s="191"/>
      <c r="BQH40" s="191"/>
      <c r="BQI40" s="191"/>
      <c r="BQJ40" s="191"/>
      <c r="BQL40" s="191"/>
      <c r="BQM40" s="191"/>
      <c r="BQN40" s="191"/>
      <c r="BQP40" s="191"/>
      <c r="BQQ40" s="191"/>
      <c r="BQR40" s="191"/>
      <c r="BQT40" s="191"/>
      <c r="BQU40" s="191"/>
      <c r="BQV40" s="191"/>
      <c r="BQX40" s="191"/>
      <c r="BQY40" s="191"/>
      <c r="BQZ40" s="191"/>
      <c r="BRB40" s="191"/>
      <c r="BRC40" s="191"/>
      <c r="BRD40" s="191"/>
      <c r="BRF40" s="191"/>
      <c r="BRG40" s="191"/>
      <c r="BRH40" s="191"/>
      <c r="BRJ40" s="191"/>
      <c r="BRK40" s="191"/>
      <c r="BRL40" s="191"/>
      <c r="BRN40" s="191"/>
      <c r="BRO40" s="191"/>
      <c r="BRP40" s="191"/>
      <c r="BRR40" s="191"/>
      <c r="BRS40" s="191"/>
      <c r="BRT40" s="191"/>
      <c r="BRV40" s="191"/>
      <c r="BRW40" s="191"/>
      <c r="BRX40" s="191"/>
      <c r="BRZ40" s="191"/>
      <c r="BSA40" s="191"/>
      <c r="BSB40" s="191"/>
      <c r="BSD40" s="191"/>
      <c r="BSE40" s="191"/>
      <c r="BSF40" s="191"/>
      <c r="BSH40" s="191"/>
      <c r="BSI40" s="191"/>
      <c r="BSJ40" s="191"/>
      <c r="BSL40" s="191"/>
      <c r="BSM40" s="191"/>
      <c r="BSN40" s="191"/>
      <c r="BSP40" s="191"/>
      <c r="BSQ40" s="191"/>
      <c r="BSR40" s="191"/>
      <c r="BST40" s="191"/>
      <c r="BSU40" s="191"/>
      <c r="BSV40" s="191"/>
      <c r="BSX40" s="191"/>
      <c r="BSY40" s="191"/>
      <c r="BSZ40" s="191"/>
      <c r="BTB40" s="191"/>
      <c r="BTC40" s="191"/>
      <c r="BTD40" s="191"/>
      <c r="BTF40" s="191"/>
      <c r="BTG40" s="191"/>
      <c r="BTH40" s="191"/>
      <c r="BTJ40" s="191"/>
      <c r="BTK40" s="191"/>
      <c r="BTL40" s="191"/>
      <c r="BTN40" s="191"/>
      <c r="BTO40" s="191"/>
      <c r="BTP40" s="191"/>
      <c r="BTR40" s="191"/>
      <c r="BTS40" s="191"/>
      <c r="BTT40" s="191"/>
      <c r="BTV40" s="191"/>
      <c r="BTW40" s="191"/>
      <c r="BTX40" s="191"/>
      <c r="BTZ40" s="191"/>
      <c r="BUA40" s="191"/>
      <c r="BUB40" s="191"/>
      <c r="BUD40" s="191"/>
      <c r="BUE40" s="191"/>
      <c r="BUF40" s="191"/>
      <c r="BUH40" s="191"/>
      <c r="BUI40" s="191"/>
      <c r="BUJ40" s="191"/>
      <c r="BUL40" s="191"/>
      <c r="BUM40" s="191"/>
      <c r="BUN40" s="191"/>
      <c r="BUP40" s="191"/>
      <c r="BUQ40" s="191"/>
      <c r="BUR40" s="191"/>
      <c r="BUT40" s="191"/>
      <c r="BUU40" s="191"/>
      <c r="BUV40" s="191"/>
      <c r="BUX40" s="191"/>
      <c r="BUY40" s="191"/>
      <c r="BUZ40" s="191"/>
      <c r="BVB40" s="191"/>
      <c r="BVC40" s="191"/>
      <c r="BVD40" s="191"/>
      <c r="BVF40" s="191"/>
      <c r="BVG40" s="191"/>
      <c r="BVH40" s="191"/>
      <c r="BVJ40" s="191"/>
      <c r="BVK40" s="191"/>
      <c r="BVL40" s="191"/>
      <c r="BVN40" s="191"/>
      <c r="BVO40" s="191"/>
      <c r="BVP40" s="191"/>
      <c r="BVR40" s="191"/>
      <c r="BVS40" s="191"/>
      <c r="BVT40" s="191"/>
      <c r="BVV40" s="191"/>
      <c r="BVW40" s="191"/>
      <c r="BVX40" s="191"/>
      <c r="BVZ40" s="191"/>
      <c r="BWA40" s="191"/>
      <c r="BWB40" s="191"/>
      <c r="BWD40" s="191"/>
      <c r="BWE40" s="191"/>
      <c r="BWF40" s="191"/>
      <c r="BWH40" s="191"/>
      <c r="BWI40" s="191"/>
      <c r="BWJ40" s="191"/>
      <c r="BWL40" s="191"/>
      <c r="BWM40" s="191"/>
      <c r="BWN40" s="191"/>
      <c r="BWP40" s="191"/>
      <c r="BWQ40" s="191"/>
      <c r="BWR40" s="191"/>
      <c r="BWT40" s="191"/>
      <c r="BWU40" s="191"/>
      <c r="BWV40" s="191"/>
      <c r="BWX40" s="191"/>
      <c r="BWY40" s="191"/>
      <c r="BWZ40" s="191"/>
      <c r="BXB40" s="191"/>
      <c r="BXC40" s="191"/>
      <c r="BXD40" s="191"/>
      <c r="BXF40" s="191"/>
      <c r="BXG40" s="191"/>
      <c r="BXH40" s="191"/>
      <c r="BXJ40" s="191"/>
      <c r="BXK40" s="191"/>
      <c r="BXL40" s="191"/>
      <c r="BXN40" s="191"/>
      <c r="BXO40" s="191"/>
      <c r="BXP40" s="191"/>
      <c r="BXR40" s="191"/>
      <c r="BXS40" s="191"/>
      <c r="BXT40" s="191"/>
      <c r="BXV40" s="191"/>
      <c r="BXW40" s="191"/>
      <c r="BXX40" s="191"/>
      <c r="BXZ40" s="191"/>
      <c r="BYA40" s="191"/>
      <c r="BYB40" s="191"/>
      <c r="BYD40" s="191"/>
      <c r="BYE40" s="191"/>
      <c r="BYF40" s="191"/>
      <c r="BYH40" s="191"/>
      <c r="BYI40" s="191"/>
      <c r="BYJ40" s="191"/>
      <c r="BYL40" s="191"/>
      <c r="BYM40" s="191"/>
      <c r="BYN40" s="191"/>
      <c r="BYP40" s="191"/>
      <c r="BYQ40" s="191"/>
      <c r="BYR40" s="191"/>
      <c r="BYT40" s="191"/>
      <c r="BYU40" s="191"/>
      <c r="BYV40" s="191"/>
      <c r="BYX40" s="191"/>
      <c r="BYY40" s="191"/>
      <c r="BYZ40" s="191"/>
      <c r="BZB40" s="191"/>
      <c r="BZC40" s="191"/>
      <c r="BZD40" s="191"/>
      <c r="BZF40" s="191"/>
      <c r="BZG40" s="191"/>
      <c r="BZH40" s="191"/>
      <c r="BZJ40" s="191"/>
      <c r="BZK40" s="191"/>
      <c r="BZL40" s="191"/>
      <c r="BZN40" s="191"/>
      <c r="BZO40" s="191"/>
      <c r="BZP40" s="191"/>
      <c r="BZR40" s="191"/>
      <c r="BZS40" s="191"/>
      <c r="BZT40" s="191"/>
      <c r="BZV40" s="191"/>
      <c r="BZW40" s="191"/>
      <c r="BZX40" s="191"/>
      <c r="BZZ40" s="191"/>
      <c r="CAA40" s="191"/>
      <c r="CAB40" s="191"/>
      <c r="CAD40" s="191"/>
      <c r="CAE40" s="191"/>
      <c r="CAF40" s="191"/>
      <c r="CAH40" s="191"/>
      <c r="CAI40" s="191"/>
      <c r="CAJ40" s="191"/>
      <c r="CAL40" s="191"/>
      <c r="CAM40" s="191"/>
      <c r="CAN40" s="191"/>
      <c r="CAP40" s="191"/>
      <c r="CAQ40" s="191"/>
      <c r="CAR40" s="191"/>
      <c r="CAT40" s="191"/>
      <c r="CAU40" s="191"/>
      <c r="CAV40" s="191"/>
      <c r="CAX40" s="191"/>
      <c r="CAY40" s="191"/>
      <c r="CAZ40" s="191"/>
      <c r="CBB40" s="191"/>
      <c r="CBC40" s="191"/>
      <c r="CBD40" s="191"/>
      <c r="CBF40" s="191"/>
      <c r="CBG40" s="191"/>
      <c r="CBH40" s="191"/>
      <c r="CBJ40" s="191"/>
      <c r="CBK40" s="191"/>
      <c r="CBL40" s="191"/>
      <c r="CBN40" s="191"/>
      <c r="CBO40" s="191"/>
      <c r="CBP40" s="191"/>
      <c r="CBR40" s="191"/>
      <c r="CBS40" s="191"/>
      <c r="CBT40" s="191"/>
      <c r="CBV40" s="191"/>
      <c r="CBW40" s="191"/>
      <c r="CBX40" s="191"/>
      <c r="CBZ40" s="191"/>
      <c r="CCA40" s="191"/>
      <c r="CCB40" s="191"/>
      <c r="CCD40" s="191"/>
      <c r="CCE40" s="191"/>
      <c r="CCF40" s="191"/>
      <c r="CCH40" s="191"/>
      <c r="CCI40" s="191"/>
      <c r="CCJ40" s="191"/>
      <c r="CCL40" s="191"/>
      <c r="CCM40" s="191"/>
      <c r="CCN40" s="191"/>
      <c r="CCP40" s="191"/>
      <c r="CCQ40" s="191"/>
      <c r="CCR40" s="191"/>
      <c r="CCT40" s="191"/>
      <c r="CCU40" s="191"/>
      <c r="CCV40" s="191"/>
      <c r="CCX40" s="191"/>
      <c r="CCY40" s="191"/>
      <c r="CCZ40" s="191"/>
      <c r="CDB40" s="191"/>
      <c r="CDC40" s="191"/>
      <c r="CDD40" s="191"/>
      <c r="CDF40" s="191"/>
      <c r="CDG40" s="191"/>
      <c r="CDH40" s="191"/>
      <c r="CDJ40" s="191"/>
      <c r="CDK40" s="191"/>
      <c r="CDL40" s="191"/>
      <c r="CDN40" s="191"/>
      <c r="CDO40" s="191"/>
      <c r="CDP40" s="191"/>
      <c r="CDR40" s="191"/>
      <c r="CDS40" s="191"/>
      <c r="CDT40" s="191"/>
      <c r="CDV40" s="191"/>
      <c r="CDW40" s="191"/>
      <c r="CDX40" s="191"/>
      <c r="CDZ40" s="191"/>
      <c r="CEA40" s="191"/>
      <c r="CEB40" s="191"/>
      <c r="CED40" s="191"/>
      <c r="CEE40" s="191"/>
      <c r="CEF40" s="191"/>
      <c r="CEH40" s="191"/>
      <c r="CEI40" s="191"/>
      <c r="CEJ40" s="191"/>
      <c r="CEL40" s="191"/>
      <c r="CEM40" s="191"/>
      <c r="CEN40" s="191"/>
      <c r="CEP40" s="191"/>
      <c r="CEQ40" s="191"/>
      <c r="CER40" s="191"/>
      <c r="CET40" s="191"/>
      <c r="CEU40" s="191"/>
      <c r="CEV40" s="191"/>
      <c r="CEX40" s="191"/>
      <c r="CEY40" s="191"/>
      <c r="CEZ40" s="191"/>
      <c r="CFB40" s="191"/>
      <c r="CFC40" s="191"/>
      <c r="CFD40" s="191"/>
      <c r="CFF40" s="191"/>
      <c r="CFG40" s="191"/>
      <c r="CFH40" s="191"/>
      <c r="CFJ40" s="191"/>
      <c r="CFK40" s="191"/>
      <c r="CFL40" s="191"/>
      <c r="CFN40" s="191"/>
      <c r="CFO40" s="191"/>
      <c r="CFP40" s="191"/>
      <c r="CFR40" s="191"/>
      <c r="CFS40" s="191"/>
      <c r="CFT40" s="191"/>
      <c r="CFV40" s="191"/>
      <c r="CFW40" s="191"/>
      <c r="CFX40" s="191"/>
      <c r="CFZ40" s="191"/>
      <c r="CGA40" s="191"/>
      <c r="CGB40" s="191"/>
      <c r="CGD40" s="191"/>
      <c r="CGE40" s="191"/>
      <c r="CGF40" s="191"/>
      <c r="CGH40" s="191"/>
      <c r="CGI40" s="191"/>
      <c r="CGJ40" s="191"/>
      <c r="CGL40" s="191"/>
      <c r="CGM40" s="191"/>
      <c r="CGN40" s="191"/>
      <c r="CGP40" s="191"/>
      <c r="CGQ40" s="191"/>
      <c r="CGR40" s="191"/>
      <c r="CGT40" s="191"/>
      <c r="CGU40" s="191"/>
      <c r="CGV40" s="191"/>
      <c r="CGX40" s="191"/>
      <c r="CGY40" s="191"/>
      <c r="CGZ40" s="191"/>
      <c r="CHB40" s="191"/>
      <c r="CHC40" s="191"/>
      <c r="CHD40" s="191"/>
      <c r="CHF40" s="191"/>
      <c r="CHG40" s="191"/>
      <c r="CHH40" s="191"/>
      <c r="CHJ40" s="191"/>
      <c r="CHK40" s="191"/>
      <c r="CHL40" s="191"/>
      <c r="CHN40" s="191"/>
      <c r="CHO40" s="191"/>
      <c r="CHP40" s="191"/>
      <c r="CHR40" s="191"/>
      <c r="CHS40" s="191"/>
      <c r="CHT40" s="191"/>
      <c r="CHV40" s="191"/>
      <c r="CHW40" s="191"/>
      <c r="CHX40" s="191"/>
      <c r="CHZ40" s="191"/>
      <c r="CIA40" s="191"/>
      <c r="CIB40" s="191"/>
      <c r="CID40" s="191"/>
      <c r="CIE40" s="191"/>
      <c r="CIF40" s="191"/>
      <c r="CIH40" s="191"/>
      <c r="CII40" s="191"/>
      <c r="CIJ40" s="191"/>
      <c r="CIL40" s="191"/>
      <c r="CIM40" s="191"/>
      <c r="CIN40" s="191"/>
      <c r="CIP40" s="191"/>
      <c r="CIQ40" s="191"/>
      <c r="CIR40" s="191"/>
      <c r="CIT40" s="191"/>
      <c r="CIU40" s="191"/>
      <c r="CIV40" s="191"/>
      <c r="CIX40" s="191"/>
      <c r="CIY40" s="191"/>
      <c r="CIZ40" s="191"/>
      <c r="CJB40" s="191"/>
      <c r="CJC40" s="191"/>
      <c r="CJD40" s="191"/>
      <c r="CJF40" s="191"/>
      <c r="CJG40" s="191"/>
      <c r="CJH40" s="191"/>
      <c r="CJJ40" s="191"/>
      <c r="CJK40" s="191"/>
      <c r="CJL40" s="191"/>
      <c r="CJN40" s="191"/>
      <c r="CJO40" s="191"/>
      <c r="CJP40" s="191"/>
      <c r="CJR40" s="191"/>
      <c r="CJS40" s="191"/>
      <c r="CJT40" s="191"/>
      <c r="CJV40" s="191"/>
      <c r="CJW40" s="191"/>
      <c r="CJX40" s="191"/>
      <c r="CJZ40" s="191"/>
      <c r="CKA40" s="191"/>
      <c r="CKB40" s="191"/>
      <c r="CKD40" s="191"/>
      <c r="CKE40" s="191"/>
      <c r="CKF40" s="191"/>
      <c r="CKH40" s="191"/>
      <c r="CKI40" s="191"/>
      <c r="CKJ40" s="191"/>
      <c r="CKL40" s="191"/>
      <c r="CKM40" s="191"/>
      <c r="CKN40" s="191"/>
      <c r="CKP40" s="191"/>
      <c r="CKQ40" s="191"/>
      <c r="CKR40" s="191"/>
      <c r="CKT40" s="191"/>
      <c r="CKU40" s="191"/>
      <c r="CKV40" s="191"/>
      <c r="CKX40" s="191"/>
      <c r="CKY40" s="191"/>
      <c r="CKZ40" s="191"/>
      <c r="CLB40" s="191"/>
      <c r="CLC40" s="191"/>
      <c r="CLD40" s="191"/>
      <c r="CLF40" s="191"/>
      <c r="CLG40" s="191"/>
      <c r="CLH40" s="191"/>
      <c r="CLJ40" s="191"/>
      <c r="CLK40" s="191"/>
      <c r="CLL40" s="191"/>
      <c r="CLN40" s="191"/>
      <c r="CLO40" s="191"/>
      <c r="CLP40" s="191"/>
      <c r="CLR40" s="191"/>
      <c r="CLS40" s="191"/>
      <c r="CLT40" s="191"/>
      <c r="CLV40" s="191"/>
      <c r="CLW40" s="191"/>
      <c r="CLX40" s="191"/>
      <c r="CLZ40" s="191"/>
      <c r="CMA40" s="191"/>
      <c r="CMB40" s="191"/>
      <c r="CMD40" s="191"/>
      <c r="CME40" s="191"/>
      <c r="CMF40" s="191"/>
      <c r="CMH40" s="191"/>
      <c r="CMI40" s="191"/>
      <c r="CMJ40" s="191"/>
      <c r="CML40" s="191"/>
      <c r="CMM40" s="191"/>
      <c r="CMN40" s="191"/>
      <c r="CMP40" s="191"/>
      <c r="CMQ40" s="191"/>
      <c r="CMR40" s="191"/>
      <c r="CMT40" s="191"/>
      <c r="CMU40" s="191"/>
      <c r="CMV40" s="191"/>
      <c r="CMX40" s="191"/>
      <c r="CMY40" s="191"/>
      <c r="CMZ40" s="191"/>
      <c r="CNB40" s="191"/>
      <c r="CNC40" s="191"/>
      <c r="CND40" s="191"/>
      <c r="CNF40" s="191"/>
      <c r="CNG40" s="191"/>
      <c r="CNH40" s="191"/>
      <c r="CNJ40" s="191"/>
      <c r="CNK40" s="191"/>
      <c r="CNL40" s="191"/>
      <c r="CNN40" s="191"/>
      <c r="CNO40" s="191"/>
      <c r="CNP40" s="191"/>
      <c r="CNR40" s="191"/>
      <c r="CNS40" s="191"/>
      <c r="CNT40" s="191"/>
      <c r="CNV40" s="191"/>
      <c r="CNW40" s="191"/>
      <c r="CNX40" s="191"/>
      <c r="CNZ40" s="191"/>
      <c r="COA40" s="191"/>
      <c r="COB40" s="191"/>
      <c r="COD40" s="191"/>
      <c r="COE40" s="191"/>
      <c r="COF40" s="191"/>
      <c r="COH40" s="191"/>
      <c r="COI40" s="191"/>
      <c r="COJ40" s="191"/>
      <c r="COL40" s="191"/>
      <c r="COM40" s="191"/>
      <c r="CON40" s="191"/>
      <c r="COP40" s="191"/>
      <c r="COQ40" s="191"/>
      <c r="COR40" s="191"/>
      <c r="COT40" s="191"/>
      <c r="COU40" s="191"/>
      <c r="COV40" s="191"/>
      <c r="COX40" s="191"/>
      <c r="COY40" s="191"/>
      <c r="COZ40" s="191"/>
      <c r="CPB40" s="191"/>
      <c r="CPC40" s="191"/>
      <c r="CPD40" s="191"/>
      <c r="CPF40" s="191"/>
      <c r="CPG40" s="191"/>
      <c r="CPH40" s="191"/>
      <c r="CPJ40" s="191"/>
      <c r="CPK40" s="191"/>
      <c r="CPL40" s="191"/>
      <c r="CPN40" s="191"/>
      <c r="CPO40" s="191"/>
      <c r="CPP40" s="191"/>
      <c r="CPR40" s="191"/>
      <c r="CPS40" s="191"/>
      <c r="CPT40" s="191"/>
      <c r="CPV40" s="191"/>
      <c r="CPW40" s="191"/>
      <c r="CPX40" s="191"/>
      <c r="CPZ40" s="191"/>
      <c r="CQA40" s="191"/>
      <c r="CQB40" s="191"/>
      <c r="CQD40" s="191"/>
      <c r="CQE40" s="191"/>
      <c r="CQF40" s="191"/>
      <c r="CQH40" s="191"/>
      <c r="CQI40" s="191"/>
      <c r="CQJ40" s="191"/>
      <c r="CQL40" s="191"/>
      <c r="CQM40" s="191"/>
      <c r="CQN40" s="191"/>
      <c r="CQP40" s="191"/>
      <c r="CQQ40" s="191"/>
      <c r="CQR40" s="191"/>
      <c r="CQT40" s="191"/>
      <c r="CQU40" s="191"/>
      <c r="CQV40" s="191"/>
      <c r="CQX40" s="191"/>
      <c r="CQY40" s="191"/>
      <c r="CQZ40" s="191"/>
      <c r="CRB40" s="191"/>
      <c r="CRC40" s="191"/>
      <c r="CRD40" s="191"/>
      <c r="CRF40" s="191"/>
      <c r="CRG40" s="191"/>
      <c r="CRH40" s="191"/>
      <c r="CRJ40" s="191"/>
      <c r="CRK40" s="191"/>
      <c r="CRL40" s="191"/>
      <c r="CRN40" s="191"/>
      <c r="CRO40" s="191"/>
      <c r="CRP40" s="191"/>
      <c r="CRR40" s="191"/>
      <c r="CRS40" s="191"/>
      <c r="CRT40" s="191"/>
      <c r="CRV40" s="191"/>
      <c r="CRW40" s="191"/>
      <c r="CRX40" s="191"/>
      <c r="CRZ40" s="191"/>
      <c r="CSA40" s="191"/>
      <c r="CSB40" s="191"/>
      <c r="CSD40" s="191"/>
      <c r="CSE40" s="191"/>
      <c r="CSF40" s="191"/>
      <c r="CSH40" s="191"/>
      <c r="CSI40" s="191"/>
      <c r="CSJ40" s="191"/>
      <c r="CSL40" s="191"/>
      <c r="CSM40" s="191"/>
      <c r="CSN40" s="191"/>
      <c r="CSP40" s="191"/>
      <c r="CSQ40" s="191"/>
      <c r="CSR40" s="191"/>
      <c r="CST40" s="191"/>
      <c r="CSU40" s="191"/>
      <c r="CSV40" s="191"/>
      <c r="CSX40" s="191"/>
      <c r="CSY40" s="191"/>
      <c r="CSZ40" s="191"/>
      <c r="CTB40" s="191"/>
      <c r="CTC40" s="191"/>
      <c r="CTD40" s="191"/>
      <c r="CTF40" s="191"/>
      <c r="CTG40" s="191"/>
      <c r="CTH40" s="191"/>
      <c r="CTJ40" s="191"/>
      <c r="CTK40" s="191"/>
      <c r="CTL40" s="191"/>
      <c r="CTN40" s="191"/>
      <c r="CTO40" s="191"/>
      <c r="CTP40" s="191"/>
      <c r="CTR40" s="191"/>
      <c r="CTS40" s="191"/>
      <c r="CTT40" s="191"/>
      <c r="CTV40" s="191"/>
      <c r="CTW40" s="191"/>
      <c r="CTX40" s="191"/>
      <c r="CTZ40" s="191"/>
      <c r="CUA40" s="191"/>
      <c r="CUB40" s="191"/>
      <c r="CUD40" s="191"/>
      <c r="CUE40" s="191"/>
      <c r="CUF40" s="191"/>
      <c r="CUH40" s="191"/>
      <c r="CUI40" s="191"/>
      <c r="CUJ40" s="191"/>
      <c r="CUL40" s="191"/>
      <c r="CUM40" s="191"/>
      <c r="CUN40" s="191"/>
      <c r="CUP40" s="191"/>
      <c r="CUQ40" s="191"/>
      <c r="CUR40" s="191"/>
      <c r="CUT40" s="191"/>
      <c r="CUU40" s="191"/>
      <c r="CUV40" s="191"/>
      <c r="CUX40" s="191"/>
      <c r="CUY40" s="191"/>
      <c r="CUZ40" s="191"/>
      <c r="CVB40" s="191"/>
      <c r="CVC40" s="191"/>
      <c r="CVD40" s="191"/>
      <c r="CVF40" s="191"/>
      <c r="CVG40" s="191"/>
      <c r="CVH40" s="191"/>
      <c r="CVJ40" s="191"/>
      <c r="CVK40" s="191"/>
      <c r="CVL40" s="191"/>
      <c r="CVN40" s="191"/>
      <c r="CVO40" s="191"/>
      <c r="CVP40" s="191"/>
      <c r="CVR40" s="191"/>
      <c r="CVS40" s="191"/>
      <c r="CVT40" s="191"/>
      <c r="CVV40" s="191"/>
      <c r="CVW40" s="191"/>
      <c r="CVX40" s="191"/>
      <c r="CVZ40" s="191"/>
      <c r="CWA40" s="191"/>
      <c r="CWB40" s="191"/>
      <c r="CWD40" s="191"/>
      <c r="CWE40" s="191"/>
      <c r="CWF40" s="191"/>
      <c r="CWH40" s="191"/>
      <c r="CWI40" s="191"/>
      <c r="CWJ40" s="191"/>
      <c r="CWL40" s="191"/>
      <c r="CWM40" s="191"/>
      <c r="CWN40" s="191"/>
      <c r="CWP40" s="191"/>
      <c r="CWQ40" s="191"/>
      <c r="CWR40" s="191"/>
      <c r="CWT40" s="191"/>
      <c r="CWU40" s="191"/>
      <c r="CWV40" s="191"/>
      <c r="CWX40" s="191"/>
      <c r="CWY40" s="191"/>
      <c r="CWZ40" s="191"/>
      <c r="CXB40" s="191"/>
      <c r="CXC40" s="191"/>
      <c r="CXD40" s="191"/>
      <c r="CXF40" s="191"/>
      <c r="CXG40" s="191"/>
      <c r="CXH40" s="191"/>
      <c r="CXJ40" s="191"/>
      <c r="CXK40" s="191"/>
      <c r="CXL40" s="191"/>
      <c r="CXN40" s="191"/>
      <c r="CXO40" s="191"/>
      <c r="CXP40" s="191"/>
      <c r="CXR40" s="191"/>
      <c r="CXS40" s="191"/>
      <c r="CXT40" s="191"/>
      <c r="CXV40" s="191"/>
      <c r="CXW40" s="191"/>
      <c r="CXX40" s="191"/>
      <c r="CXZ40" s="191"/>
      <c r="CYA40" s="191"/>
      <c r="CYB40" s="191"/>
      <c r="CYD40" s="191"/>
      <c r="CYE40" s="191"/>
      <c r="CYF40" s="191"/>
      <c r="CYH40" s="191"/>
      <c r="CYI40" s="191"/>
      <c r="CYJ40" s="191"/>
      <c r="CYL40" s="191"/>
      <c r="CYM40" s="191"/>
      <c r="CYN40" s="191"/>
      <c r="CYP40" s="191"/>
      <c r="CYQ40" s="191"/>
      <c r="CYR40" s="191"/>
      <c r="CYT40" s="191"/>
      <c r="CYU40" s="191"/>
      <c r="CYV40" s="191"/>
      <c r="CYX40" s="191"/>
      <c r="CYY40" s="191"/>
      <c r="CYZ40" s="191"/>
      <c r="CZB40" s="191"/>
      <c r="CZC40" s="191"/>
      <c r="CZD40" s="191"/>
      <c r="CZF40" s="191"/>
      <c r="CZG40" s="191"/>
      <c r="CZH40" s="191"/>
      <c r="CZJ40" s="191"/>
      <c r="CZK40" s="191"/>
      <c r="CZL40" s="191"/>
      <c r="CZN40" s="191"/>
      <c r="CZO40" s="191"/>
      <c r="CZP40" s="191"/>
      <c r="CZR40" s="191"/>
      <c r="CZS40" s="191"/>
      <c r="CZT40" s="191"/>
      <c r="CZV40" s="191"/>
      <c r="CZW40" s="191"/>
      <c r="CZX40" s="191"/>
      <c r="CZZ40" s="191"/>
      <c r="DAA40" s="191"/>
      <c r="DAB40" s="191"/>
      <c r="DAD40" s="191"/>
      <c r="DAE40" s="191"/>
      <c r="DAF40" s="191"/>
      <c r="DAH40" s="191"/>
      <c r="DAI40" s="191"/>
      <c r="DAJ40" s="191"/>
      <c r="DAL40" s="191"/>
      <c r="DAM40" s="191"/>
      <c r="DAN40" s="191"/>
      <c r="DAP40" s="191"/>
      <c r="DAQ40" s="191"/>
      <c r="DAR40" s="191"/>
      <c r="DAT40" s="191"/>
      <c r="DAU40" s="191"/>
      <c r="DAV40" s="191"/>
      <c r="DAX40" s="191"/>
      <c r="DAY40" s="191"/>
      <c r="DAZ40" s="191"/>
      <c r="DBB40" s="191"/>
      <c r="DBC40" s="191"/>
      <c r="DBD40" s="191"/>
      <c r="DBF40" s="191"/>
      <c r="DBG40" s="191"/>
      <c r="DBH40" s="191"/>
      <c r="DBJ40" s="191"/>
      <c r="DBK40" s="191"/>
      <c r="DBL40" s="191"/>
      <c r="DBN40" s="191"/>
      <c r="DBO40" s="191"/>
      <c r="DBP40" s="191"/>
      <c r="DBR40" s="191"/>
      <c r="DBS40" s="191"/>
      <c r="DBT40" s="191"/>
      <c r="DBV40" s="191"/>
      <c r="DBW40" s="191"/>
      <c r="DBX40" s="191"/>
      <c r="DBZ40" s="191"/>
      <c r="DCA40" s="191"/>
      <c r="DCB40" s="191"/>
      <c r="DCD40" s="191"/>
      <c r="DCE40" s="191"/>
      <c r="DCF40" s="191"/>
      <c r="DCH40" s="191"/>
      <c r="DCI40" s="191"/>
      <c r="DCJ40" s="191"/>
      <c r="DCL40" s="191"/>
      <c r="DCM40" s="191"/>
      <c r="DCN40" s="191"/>
      <c r="DCP40" s="191"/>
      <c r="DCQ40" s="191"/>
      <c r="DCR40" s="191"/>
      <c r="DCT40" s="191"/>
      <c r="DCU40" s="191"/>
      <c r="DCV40" s="191"/>
      <c r="DCX40" s="191"/>
      <c r="DCY40" s="191"/>
      <c r="DCZ40" s="191"/>
      <c r="DDB40" s="191"/>
      <c r="DDC40" s="191"/>
      <c r="DDD40" s="191"/>
      <c r="DDF40" s="191"/>
      <c r="DDG40" s="191"/>
      <c r="DDH40" s="191"/>
      <c r="DDJ40" s="191"/>
      <c r="DDK40" s="191"/>
      <c r="DDL40" s="191"/>
      <c r="DDN40" s="191"/>
      <c r="DDO40" s="191"/>
      <c r="DDP40" s="191"/>
      <c r="DDR40" s="191"/>
      <c r="DDS40" s="191"/>
      <c r="DDT40" s="191"/>
      <c r="DDV40" s="191"/>
      <c r="DDW40" s="191"/>
      <c r="DDX40" s="191"/>
      <c r="DDZ40" s="191"/>
      <c r="DEA40" s="191"/>
      <c r="DEB40" s="191"/>
      <c r="DED40" s="191"/>
      <c r="DEE40" s="191"/>
      <c r="DEF40" s="191"/>
      <c r="DEH40" s="191"/>
      <c r="DEI40" s="191"/>
      <c r="DEJ40" s="191"/>
      <c r="DEL40" s="191"/>
      <c r="DEM40" s="191"/>
      <c r="DEN40" s="191"/>
      <c r="DEP40" s="191"/>
      <c r="DEQ40" s="191"/>
      <c r="DER40" s="191"/>
      <c r="DET40" s="191"/>
      <c r="DEU40" s="191"/>
      <c r="DEV40" s="191"/>
      <c r="DEX40" s="191"/>
      <c r="DEY40" s="191"/>
      <c r="DEZ40" s="191"/>
      <c r="DFB40" s="191"/>
      <c r="DFC40" s="191"/>
      <c r="DFD40" s="191"/>
      <c r="DFF40" s="191"/>
      <c r="DFG40" s="191"/>
      <c r="DFH40" s="191"/>
      <c r="DFJ40" s="191"/>
      <c r="DFK40" s="191"/>
      <c r="DFL40" s="191"/>
      <c r="DFN40" s="191"/>
      <c r="DFO40" s="191"/>
      <c r="DFP40" s="191"/>
      <c r="DFR40" s="191"/>
      <c r="DFS40" s="191"/>
      <c r="DFT40" s="191"/>
      <c r="DFV40" s="191"/>
      <c r="DFW40" s="191"/>
      <c r="DFX40" s="191"/>
      <c r="DFZ40" s="191"/>
      <c r="DGA40" s="191"/>
      <c r="DGB40" s="191"/>
      <c r="DGD40" s="191"/>
      <c r="DGE40" s="191"/>
      <c r="DGF40" s="191"/>
      <c r="DGH40" s="191"/>
      <c r="DGI40" s="191"/>
      <c r="DGJ40" s="191"/>
      <c r="DGL40" s="191"/>
      <c r="DGM40" s="191"/>
      <c r="DGN40" s="191"/>
      <c r="DGP40" s="191"/>
      <c r="DGQ40" s="191"/>
      <c r="DGR40" s="191"/>
      <c r="DGT40" s="191"/>
      <c r="DGU40" s="191"/>
      <c r="DGV40" s="191"/>
      <c r="DGX40" s="191"/>
      <c r="DGY40" s="191"/>
      <c r="DGZ40" s="191"/>
      <c r="DHB40" s="191"/>
      <c r="DHC40" s="191"/>
      <c r="DHD40" s="191"/>
      <c r="DHF40" s="191"/>
      <c r="DHG40" s="191"/>
      <c r="DHH40" s="191"/>
      <c r="DHJ40" s="191"/>
      <c r="DHK40" s="191"/>
      <c r="DHL40" s="191"/>
      <c r="DHN40" s="191"/>
      <c r="DHO40" s="191"/>
      <c r="DHP40" s="191"/>
      <c r="DHR40" s="191"/>
      <c r="DHS40" s="191"/>
      <c r="DHT40" s="191"/>
      <c r="DHV40" s="191"/>
      <c r="DHW40" s="191"/>
      <c r="DHX40" s="191"/>
      <c r="DHZ40" s="191"/>
      <c r="DIA40" s="191"/>
      <c r="DIB40" s="191"/>
      <c r="DID40" s="191"/>
      <c r="DIE40" s="191"/>
      <c r="DIF40" s="191"/>
      <c r="DIH40" s="191"/>
      <c r="DII40" s="191"/>
      <c r="DIJ40" s="191"/>
      <c r="DIL40" s="191"/>
      <c r="DIM40" s="191"/>
      <c r="DIN40" s="191"/>
      <c r="DIP40" s="191"/>
      <c r="DIQ40" s="191"/>
      <c r="DIR40" s="191"/>
      <c r="DIT40" s="191"/>
      <c r="DIU40" s="191"/>
      <c r="DIV40" s="191"/>
      <c r="DIX40" s="191"/>
      <c r="DIY40" s="191"/>
      <c r="DIZ40" s="191"/>
      <c r="DJB40" s="191"/>
      <c r="DJC40" s="191"/>
      <c r="DJD40" s="191"/>
      <c r="DJF40" s="191"/>
      <c r="DJG40" s="191"/>
      <c r="DJH40" s="191"/>
      <c r="DJJ40" s="191"/>
      <c r="DJK40" s="191"/>
      <c r="DJL40" s="191"/>
      <c r="DJN40" s="191"/>
      <c r="DJO40" s="191"/>
      <c r="DJP40" s="191"/>
      <c r="DJR40" s="191"/>
      <c r="DJS40" s="191"/>
      <c r="DJT40" s="191"/>
      <c r="DJV40" s="191"/>
      <c r="DJW40" s="191"/>
      <c r="DJX40" s="191"/>
      <c r="DJZ40" s="191"/>
      <c r="DKA40" s="191"/>
      <c r="DKB40" s="191"/>
      <c r="DKD40" s="191"/>
      <c r="DKE40" s="191"/>
      <c r="DKF40" s="191"/>
      <c r="DKH40" s="191"/>
      <c r="DKI40" s="191"/>
      <c r="DKJ40" s="191"/>
      <c r="DKL40" s="191"/>
      <c r="DKM40" s="191"/>
      <c r="DKN40" s="191"/>
      <c r="DKP40" s="191"/>
      <c r="DKQ40" s="191"/>
      <c r="DKR40" s="191"/>
      <c r="DKT40" s="191"/>
      <c r="DKU40" s="191"/>
      <c r="DKV40" s="191"/>
      <c r="DKX40" s="191"/>
      <c r="DKY40" s="191"/>
      <c r="DKZ40" s="191"/>
      <c r="DLB40" s="191"/>
      <c r="DLC40" s="191"/>
      <c r="DLD40" s="191"/>
      <c r="DLF40" s="191"/>
      <c r="DLG40" s="191"/>
      <c r="DLH40" s="191"/>
      <c r="DLJ40" s="191"/>
      <c r="DLK40" s="191"/>
      <c r="DLL40" s="191"/>
      <c r="DLN40" s="191"/>
      <c r="DLO40" s="191"/>
      <c r="DLP40" s="191"/>
      <c r="DLR40" s="191"/>
      <c r="DLS40" s="191"/>
      <c r="DLT40" s="191"/>
      <c r="DLV40" s="191"/>
      <c r="DLW40" s="191"/>
      <c r="DLX40" s="191"/>
      <c r="DLZ40" s="191"/>
      <c r="DMA40" s="191"/>
      <c r="DMB40" s="191"/>
      <c r="DMD40" s="191"/>
      <c r="DME40" s="191"/>
      <c r="DMF40" s="191"/>
      <c r="DMH40" s="191"/>
      <c r="DMI40" s="191"/>
      <c r="DMJ40" s="191"/>
      <c r="DML40" s="191"/>
      <c r="DMM40" s="191"/>
      <c r="DMN40" s="191"/>
      <c r="DMP40" s="191"/>
      <c r="DMQ40" s="191"/>
      <c r="DMR40" s="191"/>
      <c r="DMT40" s="191"/>
      <c r="DMU40" s="191"/>
      <c r="DMV40" s="191"/>
      <c r="DMX40" s="191"/>
      <c r="DMY40" s="191"/>
      <c r="DMZ40" s="191"/>
      <c r="DNB40" s="191"/>
      <c r="DNC40" s="191"/>
      <c r="DND40" s="191"/>
      <c r="DNF40" s="191"/>
      <c r="DNG40" s="191"/>
      <c r="DNH40" s="191"/>
      <c r="DNJ40" s="191"/>
      <c r="DNK40" s="191"/>
      <c r="DNL40" s="191"/>
      <c r="DNN40" s="191"/>
      <c r="DNO40" s="191"/>
      <c r="DNP40" s="191"/>
      <c r="DNR40" s="191"/>
      <c r="DNS40" s="191"/>
      <c r="DNT40" s="191"/>
      <c r="DNV40" s="191"/>
      <c r="DNW40" s="191"/>
      <c r="DNX40" s="191"/>
      <c r="DNZ40" s="191"/>
      <c r="DOA40" s="191"/>
      <c r="DOB40" s="191"/>
      <c r="DOD40" s="191"/>
      <c r="DOE40" s="191"/>
      <c r="DOF40" s="191"/>
      <c r="DOH40" s="191"/>
      <c r="DOI40" s="191"/>
      <c r="DOJ40" s="191"/>
      <c r="DOL40" s="191"/>
      <c r="DOM40" s="191"/>
      <c r="DON40" s="191"/>
      <c r="DOP40" s="191"/>
      <c r="DOQ40" s="191"/>
      <c r="DOR40" s="191"/>
      <c r="DOT40" s="191"/>
      <c r="DOU40" s="191"/>
      <c r="DOV40" s="191"/>
      <c r="DOX40" s="191"/>
      <c r="DOY40" s="191"/>
      <c r="DOZ40" s="191"/>
      <c r="DPB40" s="191"/>
      <c r="DPC40" s="191"/>
      <c r="DPD40" s="191"/>
      <c r="DPF40" s="191"/>
      <c r="DPG40" s="191"/>
      <c r="DPH40" s="191"/>
      <c r="DPJ40" s="191"/>
      <c r="DPK40" s="191"/>
      <c r="DPL40" s="191"/>
      <c r="DPN40" s="191"/>
      <c r="DPO40" s="191"/>
      <c r="DPP40" s="191"/>
      <c r="DPR40" s="191"/>
      <c r="DPS40" s="191"/>
      <c r="DPT40" s="191"/>
      <c r="DPV40" s="191"/>
      <c r="DPW40" s="191"/>
      <c r="DPX40" s="191"/>
      <c r="DPZ40" s="191"/>
      <c r="DQA40" s="191"/>
      <c r="DQB40" s="191"/>
      <c r="DQD40" s="191"/>
      <c r="DQE40" s="191"/>
      <c r="DQF40" s="191"/>
      <c r="DQH40" s="191"/>
      <c r="DQI40" s="191"/>
      <c r="DQJ40" s="191"/>
      <c r="DQL40" s="191"/>
      <c r="DQM40" s="191"/>
      <c r="DQN40" s="191"/>
      <c r="DQP40" s="191"/>
      <c r="DQQ40" s="191"/>
      <c r="DQR40" s="191"/>
      <c r="DQT40" s="191"/>
      <c r="DQU40" s="191"/>
      <c r="DQV40" s="191"/>
      <c r="DQX40" s="191"/>
      <c r="DQY40" s="191"/>
      <c r="DQZ40" s="191"/>
      <c r="DRB40" s="191"/>
      <c r="DRC40" s="191"/>
      <c r="DRD40" s="191"/>
      <c r="DRF40" s="191"/>
      <c r="DRG40" s="191"/>
      <c r="DRH40" s="191"/>
      <c r="DRJ40" s="191"/>
      <c r="DRK40" s="191"/>
      <c r="DRL40" s="191"/>
      <c r="DRN40" s="191"/>
      <c r="DRO40" s="191"/>
      <c r="DRP40" s="191"/>
      <c r="DRR40" s="191"/>
      <c r="DRS40" s="191"/>
      <c r="DRT40" s="191"/>
      <c r="DRV40" s="191"/>
      <c r="DRW40" s="191"/>
      <c r="DRX40" s="191"/>
      <c r="DRZ40" s="191"/>
      <c r="DSA40" s="191"/>
      <c r="DSB40" s="191"/>
      <c r="DSD40" s="191"/>
      <c r="DSE40" s="191"/>
      <c r="DSF40" s="191"/>
      <c r="DSH40" s="191"/>
      <c r="DSI40" s="191"/>
      <c r="DSJ40" s="191"/>
      <c r="DSL40" s="191"/>
      <c r="DSM40" s="191"/>
      <c r="DSN40" s="191"/>
      <c r="DSP40" s="191"/>
      <c r="DSQ40" s="191"/>
      <c r="DSR40" s="191"/>
      <c r="DST40" s="191"/>
      <c r="DSU40" s="191"/>
      <c r="DSV40" s="191"/>
      <c r="DSX40" s="191"/>
      <c r="DSY40" s="191"/>
      <c r="DSZ40" s="191"/>
      <c r="DTB40" s="191"/>
      <c r="DTC40" s="191"/>
      <c r="DTD40" s="191"/>
      <c r="DTF40" s="191"/>
      <c r="DTG40" s="191"/>
      <c r="DTH40" s="191"/>
      <c r="DTJ40" s="191"/>
      <c r="DTK40" s="191"/>
      <c r="DTL40" s="191"/>
      <c r="DTN40" s="191"/>
      <c r="DTO40" s="191"/>
      <c r="DTP40" s="191"/>
      <c r="DTR40" s="191"/>
      <c r="DTS40" s="191"/>
      <c r="DTT40" s="191"/>
      <c r="DTV40" s="191"/>
      <c r="DTW40" s="191"/>
      <c r="DTX40" s="191"/>
      <c r="DTZ40" s="191"/>
      <c r="DUA40" s="191"/>
      <c r="DUB40" s="191"/>
      <c r="DUD40" s="191"/>
      <c r="DUE40" s="191"/>
      <c r="DUF40" s="191"/>
      <c r="DUH40" s="191"/>
      <c r="DUI40" s="191"/>
      <c r="DUJ40" s="191"/>
      <c r="DUL40" s="191"/>
      <c r="DUM40" s="191"/>
      <c r="DUN40" s="191"/>
      <c r="DUP40" s="191"/>
      <c r="DUQ40" s="191"/>
      <c r="DUR40" s="191"/>
      <c r="DUT40" s="191"/>
      <c r="DUU40" s="191"/>
      <c r="DUV40" s="191"/>
      <c r="DUX40" s="191"/>
      <c r="DUY40" s="191"/>
      <c r="DUZ40" s="191"/>
      <c r="DVB40" s="191"/>
      <c r="DVC40" s="191"/>
      <c r="DVD40" s="191"/>
      <c r="DVF40" s="191"/>
      <c r="DVG40" s="191"/>
      <c r="DVH40" s="191"/>
      <c r="DVJ40" s="191"/>
      <c r="DVK40" s="191"/>
      <c r="DVL40" s="191"/>
      <c r="DVN40" s="191"/>
      <c r="DVO40" s="191"/>
      <c r="DVP40" s="191"/>
      <c r="DVR40" s="191"/>
      <c r="DVS40" s="191"/>
      <c r="DVT40" s="191"/>
      <c r="DVV40" s="191"/>
      <c r="DVW40" s="191"/>
      <c r="DVX40" s="191"/>
      <c r="DVZ40" s="191"/>
      <c r="DWA40" s="191"/>
      <c r="DWB40" s="191"/>
      <c r="DWD40" s="191"/>
      <c r="DWE40" s="191"/>
      <c r="DWF40" s="191"/>
      <c r="DWH40" s="191"/>
      <c r="DWI40" s="191"/>
      <c r="DWJ40" s="191"/>
      <c r="DWL40" s="191"/>
      <c r="DWM40" s="191"/>
      <c r="DWN40" s="191"/>
      <c r="DWP40" s="191"/>
      <c r="DWQ40" s="191"/>
      <c r="DWR40" s="191"/>
      <c r="DWT40" s="191"/>
      <c r="DWU40" s="191"/>
      <c r="DWV40" s="191"/>
      <c r="DWX40" s="191"/>
      <c r="DWY40" s="191"/>
      <c r="DWZ40" s="191"/>
      <c r="DXB40" s="191"/>
      <c r="DXC40" s="191"/>
      <c r="DXD40" s="191"/>
      <c r="DXF40" s="191"/>
      <c r="DXG40" s="191"/>
      <c r="DXH40" s="191"/>
      <c r="DXJ40" s="191"/>
      <c r="DXK40" s="191"/>
      <c r="DXL40" s="191"/>
      <c r="DXN40" s="191"/>
      <c r="DXO40" s="191"/>
      <c r="DXP40" s="191"/>
      <c r="DXR40" s="191"/>
      <c r="DXS40" s="191"/>
      <c r="DXT40" s="191"/>
      <c r="DXV40" s="191"/>
      <c r="DXW40" s="191"/>
      <c r="DXX40" s="191"/>
      <c r="DXZ40" s="191"/>
      <c r="DYA40" s="191"/>
      <c r="DYB40" s="191"/>
      <c r="DYD40" s="191"/>
      <c r="DYE40" s="191"/>
      <c r="DYF40" s="191"/>
      <c r="DYH40" s="191"/>
      <c r="DYI40" s="191"/>
      <c r="DYJ40" s="191"/>
      <c r="DYL40" s="191"/>
      <c r="DYM40" s="191"/>
      <c r="DYN40" s="191"/>
      <c r="DYP40" s="191"/>
      <c r="DYQ40" s="191"/>
      <c r="DYR40" s="191"/>
      <c r="DYT40" s="191"/>
      <c r="DYU40" s="191"/>
      <c r="DYV40" s="191"/>
      <c r="DYX40" s="191"/>
      <c r="DYY40" s="191"/>
      <c r="DYZ40" s="191"/>
      <c r="DZB40" s="191"/>
      <c r="DZC40" s="191"/>
      <c r="DZD40" s="191"/>
      <c r="DZF40" s="191"/>
      <c r="DZG40" s="191"/>
      <c r="DZH40" s="191"/>
      <c r="DZJ40" s="191"/>
      <c r="DZK40" s="191"/>
      <c r="DZL40" s="191"/>
      <c r="DZN40" s="191"/>
      <c r="DZO40" s="191"/>
      <c r="DZP40" s="191"/>
      <c r="DZR40" s="191"/>
      <c r="DZS40" s="191"/>
      <c r="DZT40" s="191"/>
      <c r="DZV40" s="191"/>
      <c r="DZW40" s="191"/>
      <c r="DZX40" s="191"/>
      <c r="DZZ40" s="191"/>
      <c r="EAA40" s="191"/>
      <c r="EAB40" s="191"/>
      <c r="EAD40" s="191"/>
      <c r="EAE40" s="191"/>
      <c r="EAF40" s="191"/>
      <c r="EAH40" s="191"/>
      <c r="EAI40" s="191"/>
      <c r="EAJ40" s="191"/>
      <c r="EAL40" s="191"/>
      <c r="EAM40" s="191"/>
      <c r="EAN40" s="191"/>
      <c r="EAP40" s="191"/>
      <c r="EAQ40" s="191"/>
      <c r="EAR40" s="191"/>
      <c r="EAT40" s="191"/>
      <c r="EAU40" s="191"/>
      <c r="EAV40" s="191"/>
      <c r="EAX40" s="191"/>
      <c r="EAY40" s="191"/>
      <c r="EAZ40" s="191"/>
      <c r="EBB40" s="191"/>
      <c r="EBC40" s="191"/>
      <c r="EBD40" s="191"/>
      <c r="EBF40" s="191"/>
      <c r="EBG40" s="191"/>
      <c r="EBH40" s="191"/>
      <c r="EBJ40" s="191"/>
      <c r="EBK40" s="191"/>
      <c r="EBL40" s="191"/>
      <c r="EBN40" s="191"/>
      <c r="EBO40" s="191"/>
      <c r="EBP40" s="191"/>
      <c r="EBR40" s="191"/>
      <c r="EBS40" s="191"/>
      <c r="EBT40" s="191"/>
      <c r="EBV40" s="191"/>
      <c r="EBW40" s="191"/>
      <c r="EBX40" s="191"/>
      <c r="EBZ40" s="191"/>
      <c r="ECA40" s="191"/>
      <c r="ECB40" s="191"/>
      <c r="ECD40" s="191"/>
      <c r="ECE40" s="191"/>
      <c r="ECF40" s="191"/>
      <c r="ECH40" s="191"/>
      <c r="ECI40" s="191"/>
      <c r="ECJ40" s="191"/>
      <c r="ECL40" s="191"/>
      <c r="ECM40" s="191"/>
      <c r="ECN40" s="191"/>
      <c r="ECP40" s="191"/>
      <c r="ECQ40" s="191"/>
      <c r="ECR40" s="191"/>
      <c r="ECT40" s="191"/>
      <c r="ECU40" s="191"/>
      <c r="ECV40" s="191"/>
      <c r="ECX40" s="191"/>
      <c r="ECY40" s="191"/>
      <c r="ECZ40" s="191"/>
      <c r="EDB40" s="191"/>
      <c r="EDC40" s="191"/>
      <c r="EDD40" s="191"/>
      <c r="EDF40" s="191"/>
      <c r="EDG40" s="191"/>
      <c r="EDH40" s="191"/>
      <c r="EDJ40" s="191"/>
      <c r="EDK40" s="191"/>
      <c r="EDL40" s="191"/>
      <c r="EDN40" s="191"/>
      <c r="EDO40" s="191"/>
      <c r="EDP40" s="191"/>
      <c r="EDR40" s="191"/>
      <c r="EDS40" s="191"/>
      <c r="EDT40" s="191"/>
      <c r="EDV40" s="191"/>
      <c r="EDW40" s="191"/>
      <c r="EDX40" s="191"/>
      <c r="EDZ40" s="191"/>
      <c r="EEA40" s="191"/>
      <c r="EEB40" s="191"/>
      <c r="EED40" s="191"/>
      <c r="EEE40" s="191"/>
      <c r="EEF40" s="191"/>
      <c r="EEH40" s="191"/>
      <c r="EEI40" s="191"/>
      <c r="EEJ40" s="191"/>
      <c r="EEL40" s="191"/>
      <c r="EEM40" s="191"/>
      <c r="EEN40" s="191"/>
      <c r="EEP40" s="191"/>
      <c r="EEQ40" s="191"/>
      <c r="EER40" s="191"/>
      <c r="EET40" s="191"/>
      <c r="EEU40" s="191"/>
      <c r="EEV40" s="191"/>
      <c r="EEX40" s="191"/>
      <c r="EEY40" s="191"/>
      <c r="EEZ40" s="191"/>
      <c r="EFB40" s="191"/>
      <c r="EFC40" s="191"/>
      <c r="EFD40" s="191"/>
      <c r="EFF40" s="191"/>
      <c r="EFG40" s="191"/>
      <c r="EFH40" s="191"/>
      <c r="EFJ40" s="191"/>
      <c r="EFK40" s="191"/>
      <c r="EFL40" s="191"/>
      <c r="EFN40" s="191"/>
      <c r="EFO40" s="191"/>
      <c r="EFP40" s="191"/>
      <c r="EFR40" s="191"/>
      <c r="EFS40" s="191"/>
      <c r="EFT40" s="191"/>
      <c r="EFV40" s="191"/>
      <c r="EFW40" s="191"/>
      <c r="EFX40" s="191"/>
      <c r="EFZ40" s="191"/>
      <c r="EGA40" s="191"/>
      <c r="EGB40" s="191"/>
      <c r="EGD40" s="191"/>
      <c r="EGE40" s="191"/>
      <c r="EGF40" s="191"/>
      <c r="EGH40" s="191"/>
      <c r="EGI40" s="191"/>
      <c r="EGJ40" s="191"/>
      <c r="EGL40" s="191"/>
      <c r="EGM40" s="191"/>
      <c r="EGN40" s="191"/>
      <c r="EGP40" s="191"/>
      <c r="EGQ40" s="191"/>
      <c r="EGR40" s="191"/>
      <c r="EGT40" s="191"/>
      <c r="EGU40" s="191"/>
      <c r="EGV40" s="191"/>
      <c r="EGX40" s="191"/>
      <c r="EGY40" s="191"/>
      <c r="EGZ40" s="191"/>
      <c r="EHB40" s="191"/>
      <c r="EHC40" s="191"/>
      <c r="EHD40" s="191"/>
      <c r="EHF40" s="191"/>
      <c r="EHG40" s="191"/>
      <c r="EHH40" s="191"/>
      <c r="EHJ40" s="191"/>
      <c r="EHK40" s="191"/>
      <c r="EHL40" s="191"/>
      <c r="EHN40" s="191"/>
      <c r="EHO40" s="191"/>
      <c r="EHP40" s="191"/>
      <c r="EHR40" s="191"/>
      <c r="EHS40" s="191"/>
      <c r="EHT40" s="191"/>
      <c r="EHV40" s="191"/>
      <c r="EHW40" s="191"/>
      <c r="EHX40" s="191"/>
      <c r="EHZ40" s="191"/>
      <c r="EIA40" s="191"/>
      <c r="EIB40" s="191"/>
      <c r="EID40" s="191"/>
      <c r="EIE40" s="191"/>
      <c r="EIF40" s="191"/>
      <c r="EIH40" s="191"/>
      <c r="EII40" s="191"/>
      <c r="EIJ40" s="191"/>
      <c r="EIL40" s="191"/>
      <c r="EIM40" s="191"/>
      <c r="EIN40" s="191"/>
      <c r="EIP40" s="191"/>
      <c r="EIQ40" s="191"/>
      <c r="EIR40" s="191"/>
      <c r="EIT40" s="191"/>
      <c r="EIU40" s="191"/>
      <c r="EIV40" s="191"/>
      <c r="EIX40" s="191"/>
      <c r="EIY40" s="191"/>
      <c r="EIZ40" s="191"/>
      <c r="EJB40" s="191"/>
      <c r="EJC40" s="191"/>
      <c r="EJD40" s="191"/>
      <c r="EJF40" s="191"/>
      <c r="EJG40" s="191"/>
      <c r="EJH40" s="191"/>
      <c r="EJJ40" s="191"/>
      <c r="EJK40" s="191"/>
      <c r="EJL40" s="191"/>
      <c r="EJN40" s="191"/>
      <c r="EJO40" s="191"/>
      <c r="EJP40" s="191"/>
      <c r="EJR40" s="191"/>
      <c r="EJS40" s="191"/>
      <c r="EJT40" s="191"/>
      <c r="EJV40" s="191"/>
      <c r="EJW40" s="191"/>
      <c r="EJX40" s="191"/>
      <c r="EJZ40" s="191"/>
      <c r="EKA40" s="191"/>
      <c r="EKB40" s="191"/>
      <c r="EKD40" s="191"/>
      <c r="EKE40" s="191"/>
      <c r="EKF40" s="191"/>
      <c r="EKH40" s="191"/>
      <c r="EKI40" s="191"/>
      <c r="EKJ40" s="191"/>
      <c r="EKL40" s="191"/>
      <c r="EKM40" s="191"/>
      <c r="EKN40" s="191"/>
      <c r="EKP40" s="191"/>
      <c r="EKQ40" s="191"/>
      <c r="EKR40" s="191"/>
      <c r="EKT40" s="191"/>
      <c r="EKU40" s="191"/>
      <c r="EKV40" s="191"/>
      <c r="EKX40" s="191"/>
      <c r="EKY40" s="191"/>
      <c r="EKZ40" s="191"/>
      <c r="ELB40" s="191"/>
      <c r="ELC40" s="191"/>
      <c r="ELD40" s="191"/>
      <c r="ELF40" s="191"/>
      <c r="ELG40" s="191"/>
      <c r="ELH40" s="191"/>
      <c r="ELJ40" s="191"/>
      <c r="ELK40" s="191"/>
      <c r="ELL40" s="191"/>
      <c r="ELN40" s="191"/>
      <c r="ELO40" s="191"/>
      <c r="ELP40" s="191"/>
      <c r="ELR40" s="191"/>
      <c r="ELS40" s="191"/>
      <c r="ELT40" s="191"/>
      <c r="ELV40" s="191"/>
      <c r="ELW40" s="191"/>
      <c r="ELX40" s="191"/>
      <c r="ELZ40" s="191"/>
      <c r="EMA40" s="191"/>
      <c r="EMB40" s="191"/>
      <c r="EMD40" s="191"/>
      <c r="EME40" s="191"/>
      <c r="EMF40" s="191"/>
      <c r="EMH40" s="191"/>
      <c r="EMI40" s="191"/>
      <c r="EMJ40" s="191"/>
      <c r="EML40" s="191"/>
      <c r="EMM40" s="191"/>
      <c r="EMN40" s="191"/>
      <c r="EMP40" s="191"/>
      <c r="EMQ40" s="191"/>
      <c r="EMR40" s="191"/>
      <c r="EMT40" s="191"/>
      <c r="EMU40" s="191"/>
      <c r="EMV40" s="191"/>
      <c r="EMX40" s="191"/>
      <c r="EMY40" s="191"/>
      <c r="EMZ40" s="191"/>
      <c r="ENB40" s="191"/>
      <c r="ENC40" s="191"/>
      <c r="END40" s="191"/>
      <c r="ENF40" s="191"/>
      <c r="ENG40" s="191"/>
      <c r="ENH40" s="191"/>
      <c r="ENJ40" s="191"/>
      <c r="ENK40" s="191"/>
      <c r="ENL40" s="191"/>
      <c r="ENN40" s="191"/>
      <c r="ENO40" s="191"/>
      <c r="ENP40" s="191"/>
      <c r="ENR40" s="191"/>
      <c r="ENS40" s="191"/>
      <c r="ENT40" s="191"/>
      <c r="ENV40" s="191"/>
      <c r="ENW40" s="191"/>
      <c r="ENX40" s="191"/>
      <c r="ENZ40" s="191"/>
      <c r="EOA40" s="191"/>
      <c r="EOB40" s="191"/>
      <c r="EOD40" s="191"/>
      <c r="EOE40" s="191"/>
      <c r="EOF40" s="191"/>
      <c r="EOH40" s="191"/>
      <c r="EOI40" s="191"/>
      <c r="EOJ40" s="191"/>
      <c r="EOL40" s="191"/>
      <c r="EOM40" s="191"/>
      <c r="EON40" s="191"/>
      <c r="EOP40" s="191"/>
      <c r="EOQ40" s="191"/>
      <c r="EOR40" s="191"/>
      <c r="EOT40" s="191"/>
      <c r="EOU40" s="191"/>
      <c r="EOV40" s="191"/>
      <c r="EOX40" s="191"/>
      <c r="EOY40" s="191"/>
      <c r="EOZ40" s="191"/>
      <c r="EPB40" s="191"/>
      <c r="EPC40" s="191"/>
      <c r="EPD40" s="191"/>
      <c r="EPF40" s="191"/>
      <c r="EPG40" s="191"/>
      <c r="EPH40" s="191"/>
      <c r="EPJ40" s="191"/>
      <c r="EPK40" s="191"/>
      <c r="EPL40" s="191"/>
      <c r="EPN40" s="191"/>
      <c r="EPO40" s="191"/>
      <c r="EPP40" s="191"/>
      <c r="EPR40" s="191"/>
      <c r="EPS40" s="191"/>
      <c r="EPT40" s="191"/>
      <c r="EPV40" s="191"/>
      <c r="EPW40" s="191"/>
      <c r="EPX40" s="191"/>
      <c r="EPZ40" s="191"/>
      <c r="EQA40" s="191"/>
      <c r="EQB40" s="191"/>
      <c r="EQD40" s="191"/>
      <c r="EQE40" s="191"/>
      <c r="EQF40" s="191"/>
      <c r="EQH40" s="191"/>
      <c r="EQI40" s="191"/>
      <c r="EQJ40" s="191"/>
      <c r="EQL40" s="191"/>
      <c r="EQM40" s="191"/>
      <c r="EQN40" s="191"/>
      <c r="EQP40" s="191"/>
      <c r="EQQ40" s="191"/>
      <c r="EQR40" s="191"/>
      <c r="EQT40" s="191"/>
      <c r="EQU40" s="191"/>
      <c r="EQV40" s="191"/>
      <c r="EQX40" s="191"/>
      <c r="EQY40" s="191"/>
      <c r="EQZ40" s="191"/>
      <c r="ERB40" s="191"/>
      <c r="ERC40" s="191"/>
      <c r="ERD40" s="191"/>
      <c r="ERF40" s="191"/>
      <c r="ERG40" s="191"/>
      <c r="ERH40" s="191"/>
      <c r="ERJ40" s="191"/>
      <c r="ERK40" s="191"/>
      <c r="ERL40" s="191"/>
      <c r="ERN40" s="191"/>
      <c r="ERO40" s="191"/>
      <c r="ERP40" s="191"/>
      <c r="ERR40" s="191"/>
      <c r="ERS40" s="191"/>
      <c r="ERT40" s="191"/>
      <c r="ERV40" s="191"/>
      <c r="ERW40" s="191"/>
      <c r="ERX40" s="191"/>
      <c r="ERZ40" s="191"/>
      <c r="ESA40" s="191"/>
      <c r="ESB40" s="191"/>
      <c r="ESD40" s="191"/>
      <c r="ESE40" s="191"/>
      <c r="ESF40" s="191"/>
      <c r="ESH40" s="191"/>
      <c r="ESI40" s="191"/>
      <c r="ESJ40" s="191"/>
      <c r="ESL40" s="191"/>
      <c r="ESM40" s="191"/>
      <c r="ESN40" s="191"/>
      <c r="ESP40" s="191"/>
      <c r="ESQ40" s="191"/>
      <c r="ESR40" s="191"/>
      <c r="EST40" s="191"/>
      <c r="ESU40" s="191"/>
      <c r="ESV40" s="191"/>
      <c r="ESX40" s="191"/>
      <c r="ESY40" s="191"/>
      <c r="ESZ40" s="191"/>
      <c r="ETB40" s="191"/>
      <c r="ETC40" s="191"/>
      <c r="ETD40" s="191"/>
      <c r="ETF40" s="191"/>
      <c r="ETG40" s="191"/>
      <c r="ETH40" s="191"/>
      <c r="ETJ40" s="191"/>
      <c r="ETK40" s="191"/>
      <c r="ETL40" s="191"/>
      <c r="ETN40" s="191"/>
      <c r="ETO40" s="191"/>
      <c r="ETP40" s="191"/>
      <c r="ETR40" s="191"/>
      <c r="ETS40" s="191"/>
      <c r="ETT40" s="191"/>
      <c r="ETV40" s="191"/>
      <c r="ETW40" s="191"/>
      <c r="ETX40" s="191"/>
      <c r="ETZ40" s="191"/>
      <c r="EUA40" s="191"/>
      <c r="EUB40" s="191"/>
      <c r="EUD40" s="191"/>
      <c r="EUE40" s="191"/>
      <c r="EUF40" s="191"/>
      <c r="EUH40" s="191"/>
      <c r="EUI40" s="191"/>
      <c r="EUJ40" s="191"/>
      <c r="EUL40" s="191"/>
      <c r="EUM40" s="191"/>
      <c r="EUN40" s="191"/>
      <c r="EUP40" s="191"/>
      <c r="EUQ40" s="191"/>
      <c r="EUR40" s="191"/>
      <c r="EUT40" s="191"/>
      <c r="EUU40" s="191"/>
      <c r="EUV40" s="191"/>
      <c r="EUX40" s="191"/>
      <c r="EUY40" s="191"/>
      <c r="EUZ40" s="191"/>
      <c r="EVB40" s="191"/>
      <c r="EVC40" s="191"/>
      <c r="EVD40" s="191"/>
      <c r="EVF40" s="191"/>
      <c r="EVG40" s="191"/>
      <c r="EVH40" s="191"/>
      <c r="EVJ40" s="191"/>
      <c r="EVK40" s="191"/>
      <c r="EVL40" s="191"/>
      <c r="EVN40" s="191"/>
      <c r="EVO40" s="191"/>
      <c r="EVP40" s="191"/>
      <c r="EVR40" s="191"/>
      <c r="EVS40" s="191"/>
      <c r="EVT40" s="191"/>
      <c r="EVV40" s="191"/>
      <c r="EVW40" s="191"/>
      <c r="EVX40" s="191"/>
      <c r="EVZ40" s="191"/>
      <c r="EWA40" s="191"/>
      <c r="EWB40" s="191"/>
      <c r="EWD40" s="191"/>
      <c r="EWE40" s="191"/>
      <c r="EWF40" s="191"/>
      <c r="EWH40" s="191"/>
      <c r="EWI40" s="191"/>
      <c r="EWJ40" s="191"/>
      <c r="EWL40" s="191"/>
      <c r="EWM40" s="191"/>
      <c r="EWN40" s="191"/>
      <c r="EWP40" s="191"/>
      <c r="EWQ40" s="191"/>
      <c r="EWR40" s="191"/>
      <c r="EWT40" s="191"/>
      <c r="EWU40" s="191"/>
      <c r="EWV40" s="191"/>
      <c r="EWX40" s="191"/>
      <c r="EWY40" s="191"/>
      <c r="EWZ40" s="191"/>
      <c r="EXB40" s="191"/>
      <c r="EXC40" s="191"/>
      <c r="EXD40" s="191"/>
      <c r="EXF40" s="191"/>
      <c r="EXG40" s="191"/>
      <c r="EXH40" s="191"/>
      <c r="EXJ40" s="191"/>
      <c r="EXK40" s="191"/>
      <c r="EXL40" s="191"/>
      <c r="EXN40" s="191"/>
      <c r="EXO40" s="191"/>
      <c r="EXP40" s="191"/>
      <c r="EXR40" s="191"/>
      <c r="EXS40" s="191"/>
      <c r="EXT40" s="191"/>
      <c r="EXV40" s="191"/>
      <c r="EXW40" s="191"/>
      <c r="EXX40" s="191"/>
      <c r="EXZ40" s="191"/>
      <c r="EYA40" s="191"/>
      <c r="EYB40" s="191"/>
      <c r="EYD40" s="191"/>
      <c r="EYE40" s="191"/>
      <c r="EYF40" s="191"/>
      <c r="EYH40" s="191"/>
      <c r="EYI40" s="191"/>
      <c r="EYJ40" s="191"/>
      <c r="EYL40" s="191"/>
      <c r="EYM40" s="191"/>
      <c r="EYN40" s="191"/>
      <c r="EYP40" s="191"/>
      <c r="EYQ40" s="191"/>
      <c r="EYR40" s="191"/>
      <c r="EYT40" s="191"/>
      <c r="EYU40" s="191"/>
      <c r="EYV40" s="191"/>
      <c r="EYX40" s="191"/>
      <c r="EYY40" s="191"/>
      <c r="EYZ40" s="191"/>
      <c r="EZB40" s="191"/>
      <c r="EZC40" s="191"/>
      <c r="EZD40" s="191"/>
      <c r="EZF40" s="191"/>
      <c r="EZG40" s="191"/>
      <c r="EZH40" s="191"/>
      <c r="EZJ40" s="191"/>
      <c r="EZK40" s="191"/>
      <c r="EZL40" s="191"/>
      <c r="EZN40" s="191"/>
      <c r="EZO40" s="191"/>
      <c r="EZP40" s="191"/>
      <c r="EZR40" s="191"/>
      <c r="EZS40" s="191"/>
      <c r="EZT40" s="191"/>
      <c r="EZV40" s="191"/>
      <c r="EZW40" s="191"/>
      <c r="EZX40" s="191"/>
      <c r="EZZ40" s="191"/>
      <c r="FAA40" s="191"/>
      <c r="FAB40" s="191"/>
      <c r="FAD40" s="191"/>
      <c r="FAE40" s="191"/>
      <c r="FAF40" s="191"/>
      <c r="FAH40" s="191"/>
      <c r="FAI40" s="191"/>
      <c r="FAJ40" s="191"/>
      <c r="FAL40" s="191"/>
      <c r="FAM40" s="191"/>
      <c r="FAN40" s="191"/>
      <c r="FAP40" s="191"/>
      <c r="FAQ40" s="191"/>
      <c r="FAR40" s="191"/>
      <c r="FAT40" s="191"/>
      <c r="FAU40" s="191"/>
      <c r="FAV40" s="191"/>
      <c r="FAX40" s="191"/>
      <c r="FAY40" s="191"/>
      <c r="FAZ40" s="191"/>
      <c r="FBB40" s="191"/>
      <c r="FBC40" s="191"/>
      <c r="FBD40" s="191"/>
      <c r="FBF40" s="191"/>
      <c r="FBG40" s="191"/>
      <c r="FBH40" s="191"/>
      <c r="FBJ40" s="191"/>
      <c r="FBK40" s="191"/>
      <c r="FBL40" s="191"/>
      <c r="FBN40" s="191"/>
      <c r="FBO40" s="191"/>
      <c r="FBP40" s="191"/>
      <c r="FBR40" s="191"/>
      <c r="FBS40" s="191"/>
      <c r="FBT40" s="191"/>
      <c r="FBV40" s="191"/>
      <c r="FBW40" s="191"/>
      <c r="FBX40" s="191"/>
      <c r="FBZ40" s="191"/>
      <c r="FCA40" s="191"/>
      <c r="FCB40" s="191"/>
      <c r="FCD40" s="191"/>
      <c r="FCE40" s="191"/>
      <c r="FCF40" s="191"/>
      <c r="FCH40" s="191"/>
      <c r="FCI40" s="191"/>
      <c r="FCJ40" s="191"/>
      <c r="FCL40" s="191"/>
      <c r="FCM40" s="191"/>
      <c r="FCN40" s="191"/>
      <c r="FCP40" s="191"/>
      <c r="FCQ40" s="191"/>
      <c r="FCR40" s="191"/>
      <c r="FCT40" s="191"/>
      <c r="FCU40" s="191"/>
      <c r="FCV40" s="191"/>
      <c r="FCX40" s="191"/>
      <c r="FCY40" s="191"/>
      <c r="FCZ40" s="191"/>
      <c r="FDB40" s="191"/>
      <c r="FDC40" s="191"/>
      <c r="FDD40" s="191"/>
      <c r="FDF40" s="191"/>
      <c r="FDG40" s="191"/>
      <c r="FDH40" s="191"/>
      <c r="FDJ40" s="191"/>
      <c r="FDK40" s="191"/>
      <c r="FDL40" s="191"/>
      <c r="FDN40" s="191"/>
      <c r="FDO40" s="191"/>
      <c r="FDP40" s="191"/>
      <c r="FDR40" s="191"/>
      <c r="FDS40" s="191"/>
      <c r="FDT40" s="191"/>
      <c r="FDV40" s="191"/>
      <c r="FDW40" s="191"/>
      <c r="FDX40" s="191"/>
      <c r="FDZ40" s="191"/>
      <c r="FEA40" s="191"/>
      <c r="FEB40" s="191"/>
      <c r="FED40" s="191"/>
      <c r="FEE40" s="191"/>
      <c r="FEF40" s="191"/>
      <c r="FEH40" s="191"/>
      <c r="FEI40" s="191"/>
      <c r="FEJ40" s="191"/>
      <c r="FEL40" s="191"/>
      <c r="FEM40" s="191"/>
      <c r="FEN40" s="191"/>
      <c r="FEP40" s="191"/>
      <c r="FEQ40" s="191"/>
      <c r="FER40" s="191"/>
      <c r="FET40" s="191"/>
      <c r="FEU40" s="191"/>
      <c r="FEV40" s="191"/>
      <c r="FEX40" s="191"/>
      <c r="FEY40" s="191"/>
      <c r="FEZ40" s="191"/>
      <c r="FFB40" s="191"/>
      <c r="FFC40" s="191"/>
      <c r="FFD40" s="191"/>
      <c r="FFF40" s="191"/>
      <c r="FFG40" s="191"/>
      <c r="FFH40" s="191"/>
      <c r="FFJ40" s="191"/>
      <c r="FFK40" s="191"/>
      <c r="FFL40" s="191"/>
      <c r="FFN40" s="191"/>
      <c r="FFO40" s="191"/>
      <c r="FFP40" s="191"/>
      <c r="FFR40" s="191"/>
      <c r="FFS40" s="191"/>
      <c r="FFT40" s="191"/>
      <c r="FFV40" s="191"/>
      <c r="FFW40" s="191"/>
      <c r="FFX40" s="191"/>
      <c r="FFZ40" s="191"/>
      <c r="FGA40" s="191"/>
      <c r="FGB40" s="191"/>
      <c r="FGD40" s="191"/>
      <c r="FGE40" s="191"/>
      <c r="FGF40" s="191"/>
      <c r="FGH40" s="191"/>
      <c r="FGI40" s="191"/>
      <c r="FGJ40" s="191"/>
      <c r="FGL40" s="191"/>
      <c r="FGM40" s="191"/>
      <c r="FGN40" s="191"/>
      <c r="FGP40" s="191"/>
      <c r="FGQ40" s="191"/>
      <c r="FGR40" s="191"/>
      <c r="FGT40" s="191"/>
      <c r="FGU40" s="191"/>
      <c r="FGV40" s="191"/>
      <c r="FGX40" s="191"/>
      <c r="FGY40" s="191"/>
      <c r="FGZ40" s="191"/>
      <c r="FHB40" s="191"/>
      <c r="FHC40" s="191"/>
      <c r="FHD40" s="191"/>
      <c r="FHF40" s="191"/>
      <c r="FHG40" s="191"/>
      <c r="FHH40" s="191"/>
      <c r="FHJ40" s="191"/>
      <c r="FHK40" s="191"/>
      <c r="FHL40" s="191"/>
      <c r="FHN40" s="191"/>
      <c r="FHO40" s="191"/>
      <c r="FHP40" s="191"/>
      <c r="FHR40" s="191"/>
      <c r="FHS40" s="191"/>
      <c r="FHT40" s="191"/>
      <c r="FHV40" s="191"/>
      <c r="FHW40" s="191"/>
      <c r="FHX40" s="191"/>
      <c r="FHZ40" s="191"/>
      <c r="FIA40" s="191"/>
      <c r="FIB40" s="191"/>
      <c r="FID40" s="191"/>
      <c r="FIE40" s="191"/>
      <c r="FIF40" s="191"/>
      <c r="FIH40" s="191"/>
      <c r="FII40" s="191"/>
      <c r="FIJ40" s="191"/>
      <c r="FIL40" s="191"/>
      <c r="FIM40" s="191"/>
      <c r="FIN40" s="191"/>
      <c r="FIP40" s="191"/>
      <c r="FIQ40" s="191"/>
      <c r="FIR40" s="191"/>
      <c r="FIT40" s="191"/>
      <c r="FIU40" s="191"/>
      <c r="FIV40" s="191"/>
      <c r="FIX40" s="191"/>
      <c r="FIY40" s="191"/>
      <c r="FIZ40" s="191"/>
      <c r="FJB40" s="191"/>
      <c r="FJC40" s="191"/>
      <c r="FJD40" s="191"/>
      <c r="FJF40" s="191"/>
      <c r="FJG40" s="191"/>
      <c r="FJH40" s="191"/>
      <c r="FJJ40" s="191"/>
      <c r="FJK40" s="191"/>
      <c r="FJL40" s="191"/>
      <c r="FJN40" s="191"/>
      <c r="FJO40" s="191"/>
      <c r="FJP40" s="191"/>
      <c r="FJR40" s="191"/>
      <c r="FJS40" s="191"/>
      <c r="FJT40" s="191"/>
      <c r="FJV40" s="191"/>
      <c r="FJW40" s="191"/>
      <c r="FJX40" s="191"/>
      <c r="FJZ40" s="191"/>
      <c r="FKA40" s="191"/>
      <c r="FKB40" s="191"/>
      <c r="FKD40" s="191"/>
      <c r="FKE40" s="191"/>
      <c r="FKF40" s="191"/>
      <c r="FKH40" s="191"/>
      <c r="FKI40" s="191"/>
      <c r="FKJ40" s="191"/>
      <c r="FKL40" s="191"/>
      <c r="FKM40" s="191"/>
      <c r="FKN40" s="191"/>
      <c r="FKP40" s="191"/>
      <c r="FKQ40" s="191"/>
      <c r="FKR40" s="191"/>
      <c r="FKT40" s="191"/>
      <c r="FKU40" s="191"/>
      <c r="FKV40" s="191"/>
      <c r="FKX40" s="191"/>
      <c r="FKY40" s="191"/>
      <c r="FKZ40" s="191"/>
      <c r="FLB40" s="191"/>
      <c r="FLC40" s="191"/>
      <c r="FLD40" s="191"/>
      <c r="FLF40" s="191"/>
      <c r="FLG40" s="191"/>
      <c r="FLH40" s="191"/>
      <c r="FLJ40" s="191"/>
      <c r="FLK40" s="191"/>
      <c r="FLL40" s="191"/>
      <c r="FLN40" s="191"/>
      <c r="FLO40" s="191"/>
      <c r="FLP40" s="191"/>
      <c r="FLR40" s="191"/>
      <c r="FLS40" s="191"/>
      <c r="FLT40" s="191"/>
      <c r="FLV40" s="191"/>
      <c r="FLW40" s="191"/>
      <c r="FLX40" s="191"/>
      <c r="FLZ40" s="191"/>
      <c r="FMA40" s="191"/>
      <c r="FMB40" s="191"/>
      <c r="FMD40" s="191"/>
      <c r="FME40" s="191"/>
      <c r="FMF40" s="191"/>
      <c r="FMH40" s="191"/>
      <c r="FMI40" s="191"/>
      <c r="FMJ40" s="191"/>
      <c r="FML40" s="191"/>
      <c r="FMM40" s="191"/>
      <c r="FMN40" s="191"/>
      <c r="FMP40" s="191"/>
      <c r="FMQ40" s="191"/>
      <c r="FMR40" s="191"/>
      <c r="FMT40" s="191"/>
      <c r="FMU40" s="191"/>
      <c r="FMV40" s="191"/>
      <c r="FMX40" s="191"/>
      <c r="FMY40" s="191"/>
      <c r="FMZ40" s="191"/>
      <c r="FNB40" s="191"/>
      <c r="FNC40" s="191"/>
      <c r="FND40" s="191"/>
      <c r="FNF40" s="191"/>
      <c r="FNG40" s="191"/>
      <c r="FNH40" s="191"/>
      <c r="FNJ40" s="191"/>
      <c r="FNK40" s="191"/>
      <c r="FNL40" s="191"/>
      <c r="FNN40" s="191"/>
      <c r="FNO40" s="191"/>
      <c r="FNP40" s="191"/>
      <c r="FNR40" s="191"/>
      <c r="FNS40" s="191"/>
      <c r="FNT40" s="191"/>
      <c r="FNV40" s="191"/>
      <c r="FNW40" s="191"/>
      <c r="FNX40" s="191"/>
      <c r="FNZ40" s="191"/>
      <c r="FOA40" s="191"/>
      <c r="FOB40" s="191"/>
      <c r="FOD40" s="191"/>
      <c r="FOE40" s="191"/>
      <c r="FOF40" s="191"/>
      <c r="FOH40" s="191"/>
      <c r="FOI40" s="191"/>
      <c r="FOJ40" s="191"/>
      <c r="FOL40" s="191"/>
      <c r="FOM40" s="191"/>
      <c r="FON40" s="191"/>
      <c r="FOP40" s="191"/>
      <c r="FOQ40" s="191"/>
      <c r="FOR40" s="191"/>
      <c r="FOT40" s="191"/>
      <c r="FOU40" s="191"/>
      <c r="FOV40" s="191"/>
      <c r="FOX40" s="191"/>
      <c r="FOY40" s="191"/>
      <c r="FOZ40" s="191"/>
      <c r="FPB40" s="191"/>
      <c r="FPC40" s="191"/>
      <c r="FPD40" s="191"/>
      <c r="FPF40" s="191"/>
      <c r="FPG40" s="191"/>
      <c r="FPH40" s="191"/>
      <c r="FPJ40" s="191"/>
      <c r="FPK40" s="191"/>
      <c r="FPL40" s="191"/>
      <c r="FPN40" s="191"/>
      <c r="FPO40" s="191"/>
      <c r="FPP40" s="191"/>
      <c r="FPR40" s="191"/>
      <c r="FPS40" s="191"/>
      <c r="FPT40" s="191"/>
      <c r="FPV40" s="191"/>
      <c r="FPW40" s="191"/>
      <c r="FPX40" s="191"/>
      <c r="FPZ40" s="191"/>
      <c r="FQA40" s="191"/>
      <c r="FQB40" s="191"/>
      <c r="FQD40" s="191"/>
      <c r="FQE40" s="191"/>
      <c r="FQF40" s="191"/>
      <c r="FQH40" s="191"/>
      <c r="FQI40" s="191"/>
      <c r="FQJ40" s="191"/>
      <c r="FQL40" s="191"/>
      <c r="FQM40" s="191"/>
      <c r="FQN40" s="191"/>
      <c r="FQP40" s="191"/>
      <c r="FQQ40" s="191"/>
      <c r="FQR40" s="191"/>
      <c r="FQT40" s="191"/>
      <c r="FQU40" s="191"/>
      <c r="FQV40" s="191"/>
      <c r="FQX40" s="191"/>
      <c r="FQY40" s="191"/>
      <c r="FQZ40" s="191"/>
      <c r="FRB40" s="191"/>
      <c r="FRC40" s="191"/>
      <c r="FRD40" s="191"/>
      <c r="FRF40" s="191"/>
      <c r="FRG40" s="191"/>
      <c r="FRH40" s="191"/>
      <c r="FRJ40" s="191"/>
      <c r="FRK40" s="191"/>
      <c r="FRL40" s="191"/>
      <c r="FRN40" s="191"/>
      <c r="FRO40" s="191"/>
      <c r="FRP40" s="191"/>
      <c r="FRR40" s="191"/>
      <c r="FRS40" s="191"/>
      <c r="FRT40" s="191"/>
      <c r="FRV40" s="191"/>
      <c r="FRW40" s="191"/>
      <c r="FRX40" s="191"/>
      <c r="FRZ40" s="191"/>
      <c r="FSA40" s="191"/>
      <c r="FSB40" s="191"/>
      <c r="FSD40" s="191"/>
      <c r="FSE40" s="191"/>
      <c r="FSF40" s="191"/>
      <c r="FSH40" s="191"/>
      <c r="FSI40" s="191"/>
      <c r="FSJ40" s="191"/>
      <c r="FSL40" s="191"/>
      <c r="FSM40" s="191"/>
      <c r="FSN40" s="191"/>
      <c r="FSP40" s="191"/>
      <c r="FSQ40" s="191"/>
      <c r="FSR40" s="191"/>
      <c r="FST40" s="191"/>
      <c r="FSU40" s="191"/>
      <c r="FSV40" s="191"/>
      <c r="FSX40" s="191"/>
      <c r="FSY40" s="191"/>
      <c r="FSZ40" s="191"/>
      <c r="FTB40" s="191"/>
      <c r="FTC40" s="191"/>
      <c r="FTD40" s="191"/>
      <c r="FTF40" s="191"/>
      <c r="FTG40" s="191"/>
      <c r="FTH40" s="191"/>
      <c r="FTJ40" s="191"/>
      <c r="FTK40" s="191"/>
      <c r="FTL40" s="191"/>
      <c r="FTN40" s="191"/>
      <c r="FTO40" s="191"/>
      <c r="FTP40" s="191"/>
      <c r="FTR40" s="191"/>
      <c r="FTS40" s="191"/>
      <c r="FTT40" s="191"/>
      <c r="FTV40" s="191"/>
      <c r="FTW40" s="191"/>
      <c r="FTX40" s="191"/>
      <c r="FTZ40" s="191"/>
      <c r="FUA40" s="191"/>
      <c r="FUB40" s="191"/>
      <c r="FUD40" s="191"/>
      <c r="FUE40" s="191"/>
      <c r="FUF40" s="191"/>
      <c r="FUH40" s="191"/>
      <c r="FUI40" s="191"/>
      <c r="FUJ40" s="191"/>
      <c r="FUL40" s="191"/>
      <c r="FUM40" s="191"/>
      <c r="FUN40" s="191"/>
      <c r="FUP40" s="191"/>
      <c r="FUQ40" s="191"/>
      <c r="FUR40" s="191"/>
      <c r="FUT40" s="191"/>
      <c r="FUU40" s="191"/>
      <c r="FUV40" s="191"/>
      <c r="FUX40" s="191"/>
      <c r="FUY40" s="191"/>
      <c r="FUZ40" s="191"/>
      <c r="FVB40" s="191"/>
      <c r="FVC40" s="191"/>
      <c r="FVD40" s="191"/>
      <c r="FVF40" s="191"/>
      <c r="FVG40" s="191"/>
      <c r="FVH40" s="191"/>
      <c r="FVJ40" s="191"/>
      <c r="FVK40" s="191"/>
      <c r="FVL40" s="191"/>
      <c r="FVN40" s="191"/>
      <c r="FVO40" s="191"/>
      <c r="FVP40" s="191"/>
      <c r="FVR40" s="191"/>
      <c r="FVS40" s="191"/>
      <c r="FVT40" s="191"/>
      <c r="FVV40" s="191"/>
      <c r="FVW40" s="191"/>
      <c r="FVX40" s="191"/>
      <c r="FVZ40" s="191"/>
      <c r="FWA40" s="191"/>
      <c r="FWB40" s="191"/>
      <c r="FWD40" s="191"/>
      <c r="FWE40" s="191"/>
      <c r="FWF40" s="191"/>
      <c r="FWH40" s="191"/>
      <c r="FWI40" s="191"/>
      <c r="FWJ40" s="191"/>
      <c r="FWL40" s="191"/>
      <c r="FWM40" s="191"/>
      <c r="FWN40" s="191"/>
      <c r="FWP40" s="191"/>
      <c r="FWQ40" s="191"/>
      <c r="FWR40" s="191"/>
      <c r="FWT40" s="191"/>
      <c r="FWU40" s="191"/>
      <c r="FWV40" s="191"/>
      <c r="FWX40" s="191"/>
      <c r="FWY40" s="191"/>
      <c r="FWZ40" s="191"/>
      <c r="FXB40" s="191"/>
      <c r="FXC40" s="191"/>
      <c r="FXD40" s="191"/>
      <c r="FXF40" s="191"/>
      <c r="FXG40" s="191"/>
      <c r="FXH40" s="191"/>
      <c r="FXJ40" s="191"/>
      <c r="FXK40" s="191"/>
      <c r="FXL40" s="191"/>
      <c r="FXN40" s="191"/>
      <c r="FXO40" s="191"/>
      <c r="FXP40" s="191"/>
      <c r="FXR40" s="191"/>
      <c r="FXS40" s="191"/>
      <c r="FXT40" s="191"/>
      <c r="FXV40" s="191"/>
      <c r="FXW40" s="191"/>
      <c r="FXX40" s="191"/>
      <c r="FXZ40" s="191"/>
      <c r="FYA40" s="191"/>
      <c r="FYB40" s="191"/>
      <c r="FYD40" s="191"/>
      <c r="FYE40" s="191"/>
      <c r="FYF40" s="191"/>
      <c r="FYH40" s="191"/>
      <c r="FYI40" s="191"/>
      <c r="FYJ40" s="191"/>
      <c r="FYL40" s="191"/>
      <c r="FYM40" s="191"/>
      <c r="FYN40" s="191"/>
      <c r="FYP40" s="191"/>
      <c r="FYQ40" s="191"/>
      <c r="FYR40" s="191"/>
      <c r="FYT40" s="191"/>
      <c r="FYU40" s="191"/>
      <c r="FYV40" s="191"/>
      <c r="FYX40" s="191"/>
      <c r="FYY40" s="191"/>
      <c r="FYZ40" s="191"/>
      <c r="FZB40" s="191"/>
      <c r="FZC40" s="191"/>
      <c r="FZD40" s="191"/>
      <c r="FZF40" s="191"/>
      <c r="FZG40" s="191"/>
      <c r="FZH40" s="191"/>
      <c r="FZJ40" s="191"/>
      <c r="FZK40" s="191"/>
      <c r="FZL40" s="191"/>
      <c r="FZN40" s="191"/>
      <c r="FZO40" s="191"/>
      <c r="FZP40" s="191"/>
      <c r="FZR40" s="191"/>
      <c r="FZS40" s="191"/>
      <c r="FZT40" s="191"/>
      <c r="FZV40" s="191"/>
      <c r="FZW40" s="191"/>
      <c r="FZX40" s="191"/>
      <c r="FZZ40" s="191"/>
      <c r="GAA40" s="191"/>
      <c r="GAB40" s="191"/>
      <c r="GAD40" s="191"/>
      <c r="GAE40" s="191"/>
      <c r="GAF40" s="191"/>
      <c r="GAH40" s="191"/>
      <c r="GAI40" s="191"/>
      <c r="GAJ40" s="191"/>
      <c r="GAL40" s="191"/>
      <c r="GAM40" s="191"/>
      <c r="GAN40" s="191"/>
      <c r="GAP40" s="191"/>
      <c r="GAQ40" s="191"/>
      <c r="GAR40" s="191"/>
      <c r="GAT40" s="191"/>
      <c r="GAU40" s="191"/>
      <c r="GAV40" s="191"/>
      <c r="GAX40" s="191"/>
      <c r="GAY40" s="191"/>
      <c r="GAZ40" s="191"/>
      <c r="GBB40" s="191"/>
      <c r="GBC40" s="191"/>
      <c r="GBD40" s="191"/>
      <c r="GBF40" s="191"/>
      <c r="GBG40" s="191"/>
      <c r="GBH40" s="191"/>
      <c r="GBJ40" s="191"/>
      <c r="GBK40" s="191"/>
      <c r="GBL40" s="191"/>
      <c r="GBN40" s="191"/>
      <c r="GBO40" s="191"/>
      <c r="GBP40" s="191"/>
      <c r="GBR40" s="191"/>
      <c r="GBS40" s="191"/>
      <c r="GBT40" s="191"/>
      <c r="GBV40" s="191"/>
      <c r="GBW40" s="191"/>
      <c r="GBX40" s="191"/>
      <c r="GBZ40" s="191"/>
      <c r="GCA40" s="191"/>
      <c r="GCB40" s="191"/>
      <c r="GCD40" s="191"/>
      <c r="GCE40" s="191"/>
      <c r="GCF40" s="191"/>
      <c r="GCH40" s="191"/>
      <c r="GCI40" s="191"/>
      <c r="GCJ40" s="191"/>
      <c r="GCL40" s="191"/>
      <c r="GCM40" s="191"/>
      <c r="GCN40" s="191"/>
      <c r="GCP40" s="191"/>
      <c r="GCQ40" s="191"/>
      <c r="GCR40" s="191"/>
      <c r="GCT40" s="191"/>
      <c r="GCU40" s="191"/>
      <c r="GCV40" s="191"/>
      <c r="GCX40" s="191"/>
      <c r="GCY40" s="191"/>
      <c r="GCZ40" s="191"/>
      <c r="GDB40" s="191"/>
      <c r="GDC40" s="191"/>
      <c r="GDD40" s="191"/>
      <c r="GDF40" s="191"/>
      <c r="GDG40" s="191"/>
      <c r="GDH40" s="191"/>
      <c r="GDJ40" s="191"/>
      <c r="GDK40" s="191"/>
      <c r="GDL40" s="191"/>
      <c r="GDN40" s="191"/>
      <c r="GDO40" s="191"/>
      <c r="GDP40" s="191"/>
      <c r="GDR40" s="191"/>
      <c r="GDS40" s="191"/>
      <c r="GDT40" s="191"/>
      <c r="GDV40" s="191"/>
      <c r="GDW40" s="191"/>
      <c r="GDX40" s="191"/>
      <c r="GDZ40" s="191"/>
      <c r="GEA40" s="191"/>
      <c r="GEB40" s="191"/>
      <c r="GED40" s="191"/>
      <c r="GEE40" s="191"/>
      <c r="GEF40" s="191"/>
      <c r="GEH40" s="191"/>
      <c r="GEI40" s="191"/>
      <c r="GEJ40" s="191"/>
      <c r="GEL40" s="191"/>
      <c r="GEM40" s="191"/>
      <c r="GEN40" s="191"/>
      <c r="GEP40" s="191"/>
      <c r="GEQ40" s="191"/>
      <c r="GER40" s="191"/>
      <c r="GET40" s="191"/>
      <c r="GEU40" s="191"/>
      <c r="GEV40" s="191"/>
      <c r="GEX40" s="191"/>
      <c r="GEY40" s="191"/>
      <c r="GEZ40" s="191"/>
      <c r="GFB40" s="191"/>
      <c r="GFC40" s="191"/>
      <c r="GFD40" s="191"/>
      <c r="GFF40" s="191"/>
      <c r="GFG40" s="191"/>
      <c r="GFH40" s="191"/>
      <c r="GFJ40" s="191"/>
      <c r="GFK40" s="191"/>
      <c r="GFL40" s="191"/>
      <c r="GFN40" s="191"/>
      <c r="GFO40" s="191"/>
      <c r="GFP40" s="191"/>
      <c r="GFR40" s="191"/>
      <c r="GFS40" s="191"/>
      <c r="GFT40" s="191"/>
      <c r="GFV40" s="191"/>
      <c r="GFW40" s="191"/>
      <c r="GFX40" s="191"/>
      <c r="GFZ40" s="191"/>
      <c r="GGA40" s="191"/>
      <c r="GGB40" s="191"/>
      <c r="GGD40" s="191"/>
      <c r="GGE40" s="191"/>
      <c r="GGF40" s="191"/>
      <c r="GGH40" s="191"/>
      <c r="GGI40" s="191"/>
      <c r="GGJ40" s="191"/>
      <c r="GGL40" s="191"/>
      <c r="GGM40" s="191"/>
      <c r="GGN40" s="191"/>
      <c r="GGP40" s="191"/>
      <c r="GGQ40" s="191"/>
      <c r="GGR40" s="191"/>
      <c r="GGT40" s="191"/>
      <c r="GGU40" s="191"/>
      <c r="GGV40" s="191"/>
      <c r="GGX40" s="191"/>
      <c r="GGY40" s="191"/>
      <c r="GGZ40" s="191"/>
      <c r="GHB40" s="191"/>
      <c r="GHC40" s="191"/>
      <c r="GHD40" s="191"/>
      <c r="GHF40" s="191"/>
      <c r="GHG40" s="191"/>
      <c r="GHH40" s="191"/>
      <c r="GHJ40" s="191"/>
      <c r="GHK40" s="191"/>
      <c r="GHL40" s="191"/>
      <c r="GHN40" s="191"/>
      <c r="GHO40" s="191"/>
      <c r="GHP40" s="191"/>
      <c r="GHR40" s="191"/>
      <c r="GHS40" s="191"/>
      <c r="GHT40" s="191"/>
      <c r="GHV40" s="191"/>
      <c r="GHW40" s="191"/>
      <c r="GHX40" s="191"/>
      <c r="GHZ40" s="191"/>
      <c r="GIA40" s="191"/>
      <c r="GIB40" s="191"/>
      <c r="GID40" s="191"/>
      <c r="GIE40" s="191"/>
      <c r="GIF40" s="191"/>
      <c r="GIH40" s="191"/>
      <c r="GII40" s="191"/>
      <c r="GIJ40" s="191"/>
      <c r="GIL40" s="191"/>
      <c r="GIM40" s="191"/>
      <c r="GIN40" s="191"/>
      <c r="GIP40" s="191"/>
      <c r="GIQ40" s="191"/>
      <c r="GIR40" s="191"/>
      <c r="GIT40" s="191"/>
      <c r="GIU40" s="191"/>
      <c r="GIV40" s="191"/>
      <c r="GIX40" s="191"/>
      <c r="GIY40" s="191"/>
      <c r="GIZ40" s="191"/>
      <c r="GJB40" s="191"/>
      <c r="GJC40" s="191"/>
      <c r="GJD40" s="191"/>
      <c r="GJF40" s="191"/>
      <c r="GJG40" s="191"/>
      <c r="GJH40" s="191"/>
      <c r="GJJ40" s="191"/>
      <c r="GJK40" s="191"/>
      <c r="GJL40" s="191"/>
      <c r="GJN40" s="191"/>
      <c r="GJO40" s="191"/>
      <c r="GJP40" s="191"/>
      <c r="GJR40" s="191"/>
      <c r="GJS40" s="191"/>
      <c r="GJT40" s="191"/>
      <c r="GJV40" s="191"/>
      <c r="GJW40" s="191"/>
      <c r="GJX40" s="191"/>
      <c r="GJZ40" s="191"/>
      <c r="GKA40" s="191"/>
      <c r="GKB40" s="191"/>
      <c r="GKD40" s="191"/>
      <c r="GKE40" s="191"/>
      <c r="GKF40" s="191"/>
      <c r="GKH40" s="191"/>
      <c r="GKI40" s="191"/>
      <c r="GKJ40" s="191"/>
      <c r="GKL40" s="191"/>
      <c r="GKM40" s="191"/>
      <c r="GKN40" s="191"/>
      <c r="GKP40" s="191"/>
      <c r="GKQ40" s="191"/>
      <c r="GKR40" s="191"/>
      <c r="GKT40" s="191"/>
      <c r="GKU40" s="191"/>
      <c r="GKV40" s="191"/>
      <c r="GKX40" s="191"/>
      <c r="GKY40" s="191"/>
      <c r="GKZ40" s="191"/>
      <c r="GLB40" s="191"/>
      <c r="GLC40" s="191"/>
      <c r="GLD40" s="191"/>
      <c r="GLF40" s="191"/>
      <c r="GLG40" s="191"/>
      <c r="GLH40" s="191"/>
      <c r="GLJ40" s="191"/>
      <c r="GLK40" s="191"/>
      <c r="GLL40" s="191"/>
      <c r="GLN40" s="191"/>
      <c r="GLO40" s="191"/>
      <c r="GLP40" s="191"/>
      <c r="GLR40" s="191"/>
      <c r="GLS40" s="191"/>
      <c r="GLT40" s="191"/>
      <c r="GLV40" s="191"/>
      <c r="GLW40" s="191"/>
      <c r="GLX40" s="191"/>
      <c r="GLZ40" s="191"/>
      <c r="GMA40" s="191"/>
      <c r="GMB40" s="191"/>
      <c r="GMD40" s="191"/>
      <c r="GME40" s="191"/>
      <c r="GMF40" s="191"/>
      <c r="GMH40" s="191"/>
      <c r="GMI40" s="191"/>
      <c r="GMJ40" s="191"/>
      <c r="GML40" s="191"/>
      <c r="GMM40" s="191"/>
      <c r="GMN40" s="191"/>
      <c r="GMP40" s="191"/>
      <c r="GMQ40" s="191"/>
      <c r="GMR40" s="191"/>
      <c r="GMT40" s="191"/>
      <c r="GMU40" s="191"/>
      <c r="GMV40" s="191"/>
      <c r="GMX40" s="191"/>
      <c r="GMY40" s="191"/>
      <c r="GMZ40" s="191"/>
      <c r="GNB40" s="191"/>
      <c r="GNC40" s="191"/>
      <c r="GND40" s="191"/>
      <c r="GNF40" s="191"/>
      <c r="GNG40" s="191"/>
      <c r="GNH40" s="191"/>
      <c r="GNJ40" s="191"/>
      <c r="GNK40" s="191"/>
      <c r="GNL40" s="191"/>
      <c r="GNN40" s="191"/>
      <c r="GNO40" s="191"/>
      <c r="GNP40" s="191"/>
      <c r="GNR40" s="191"/>
      <c r="GNS40" s="191"/>
      <c r="GNT40" s="191"/>
      <c r="GNV40" s="191"/>
      <c r="GNW40" s="191"/>
      <c r="GNX40" s="191"/>
      <c r="GNZ40" s="191"/>
      <c r="GOA40" s="191"/>
      <c r="GOB40" s="191"/>
      <c r="GOD40" s="191"/>
      <c r="GOE40" s="191"/>
      <c r="GOF40" s="191"/>
      <c r="GOH40" s="191"/>
      <c r="GOI40" s="191"/>
      <c r="GOJ40" s="191"/>
      <c r="GOL40" s="191"/>
      <c r="GOM40" s="191"/>
      <c r="GON40" s="191"/>
      <c r="GOP40" s="191"/>
      <c r="GOQ40" s="191"/>
      <c r="GOR40" s="191"/>
      <c r="GOT40" s="191"/>
      <c r="GOU40" s="191"/>
      <c r="GOV40" s="191"/>
      <c r="GOX40" s="191"/>
      <c r="GOY40" s="191"/>
      <c r="GOZ40" s="191"/>
      <c r="GPB40" s="191"/>
      <c r="GPC40" s="191"/>
      <c r="GPD40" s="191"/>
      <c r="GPF40" s="191"/>
      <c r="GPG40" s="191"/>
      <c r="GPH40" s="191"/>
      <c r="GPJ40" s="191"/>
      <c r="GPK40" s="191"/>
      <c r="GPL40" s="191"/>
      <c r="GPN40" s="191"/>
      <c r="GPO40" s="191"/>
      <c r="GPP40" s="191"/>
      <c r="GPR40" s="191"/>
      <c r="GPS40" s="191"/>
      <c r="GPT40" s="191"/>
      <c r="GPV40" s="191"/>
      <c r="GPW40" s="191"/>
      <c r="GPX40" s="191"/>
      <c r="GPZ40" s="191"/>
      <c r="GQA40" s="191"/>
      <c r="GQB40" s="191"/>
      <c r="GQD40" s="191"/>
      <c r="GQE40" s="191"/>
      <c r="GQF40" s="191"/>
      <c r="GQH40" s="191"/>
      <c r="GQI40" s="191"/>
      <c r="GQJ40" s="191"/>
      <c r="GQL40" s="191"/>
      <c r="GQM40" s="191"/>
      <c r="GQN40" s="191"/>
      <c r="GQP40" s="191"/>
      <c r="GQQ40" s="191"/>
      <c r="GQR40" s="191"/>
      <c r="GQT40" s="191"/>
      <c r="GQU40" s="191"/>
      <c r="GQV40" s="191"/>
      <c r="GQX40" s="191"/>
      <c r="GQY40" s="191"/>
      <c r="GQZ40" s="191"/>
      <c r="GRB40" s="191"/>
      <c r="GRC40" s="191"/>
      <c r="GRD40" s="191"/>
      <c r="GRF40" s="191"/>
      <c r="GRG40" s="191"/>
      <c r="GRH40" s="191"/>
      <c r="GRJ40" s="191"/>
      <c r="GRK40" s="191"/>
      <c r="GRL40" s="191"/>
      <c r="GRN40" s="191"/>
      <c r="GRO40" s="191"/>
      <c r="GRP40" s="191"/>
      <c r="GRR40" s="191"/>
      <c r="GRS40" s="191"/>
      <c r="GRT40" s="191"/>
      <c r="GRV40" s="191"/>
      <c r="GRW40" s="191"/>
      <c r="GRX40" s="191"/>
      <c r="GRZ40" s="191"/>
      <c r="GSA40" s="191"/>
      <c r="GSB40" s="191"/>
      <c r="GSD40" s="191"/>
      <c r="GSE40" s="191"/>
      <c r="GSF40" s="191"/>
      <c r="GSH40" s="191"/>
      <c r="GSI40" s="191"/>
      <c r="GSJ40" s="191"/>
      <c r="GSL40" s="191"/>
      <c r="GSM40" s="191"/>
      <c r="GSN40" s="191"/>
      <c r="GSP40" s="191"/>
      <c r="GSQ40" s="191"/>
      <c r="GSR40" s="191"/>
      <c r="GST40" s="191"/>
      <c r="GSU40" s="191"/>
      <c r="GSV40" s="191"/>
      <c r="GSX40" s="191"/>
      <c r="GSY40" s="191"/>
      <c r="GSZ40" s="191"/>
      <c r="GTB40" s="191"/>
      <c r="GTC40" s="191"/>
      <c r="GTD40" s="191"/>
      <c r="GTF40" s="191"/>
      <c r="GTG40" s="191"/>
      <c r="GTH40" s="191"/>
      <c r="GTJ40" s="191"/>
      <c r="GTK40" s="191"/>
      <c r="GTL40" s="191"/>
      <c r="GTN40" s="191"/>
      <c r="GTO40" s="191"/>
      <c r="GTP40" s="191"/>
      <c r="GTR40" s="191"/>
      <c r="GTS40" s="191"/>
      <c r="GTT40" s="191"/>
      <c r="GTV40" s="191"/>
      <c r="GTW40" s="191"/>
      <c r="GTX40" s="191"/>
      <c r="GTZ40" s="191"/>
      <c r="GUA40" s="191"/>
      <c r="GUB40" s="191"/>
      <c r="GUD40" s="191"/>
      <c r="GUE40" s="191"/>
      <c r="GUF40" s="191"/>
      <c r="GUH40" s="191"/>
      <c r="GUI40" s="191"/>
      <c r="GUJ40" s="191"/>
      <c r="GUL40" s="191"/>
      <c r="GUM40" s="191"/>
      <c r="GUN40" s="191"/>
      <c r="GUP40" s="191"/>
      <c r="GUQ40" s="191"/>
      <c r="GUR40" s="191"/>
      <c r="GUT40" s="191"/>
      <c r="GUU40" s="191"/>
      <c r="GUV40" s="191"/>
      <c r="GUX40" s="191"/>
      <c r="GUY40" s="191"/>
      <c r="GUZ40" s="191"/>
      <c r="GVB40" s="191"/>
      <c r="GVC40" s="191"/>
      <c r="GVD40" s="191"/>
      <c r="GVF40" s="191"/>
      <c r="GVG40" s="191"/>
      <c r="GVH40" s="191"/>
      <c r="GVJ40" s="191"/>
      <c r="GVK40" s="191"/>
      <c r="GVL40" s="191"/>
      <c r="GVN40" s="191"/>
      <c r="GVO40" s="191"/>
      <c r="GVP40" s="191"/>
      <c r="GVR40" s="191"/>
      <c r="GVS40" s="191"/>
      <c r="GVT40" s="191"/>
      <c r="GVV40" s="191"/>
      <c r="GVW40" s="191"/>
      <c r="GVX40" s="191"/>
      <c r="GVZ40" s="191"/>
      <c r="GWA40" s="191"/>
      <c r="GWB40" s="191"/>
      <c r="GWD40" s="191"/>
      <c r="GWE40" s="191"/>
      <c r="GWF40" s="191"/>
      <c r="GWH40" s="191"/>
      <c r="GWI40" s="191"/>
      <c r="GWJ40" s="191"/>
      <c r="GWL40" s="191"/>
      <c r="GWM40" s="191"/>
      <c r="GWN40" s="191"/>
      <c r="GWP40" s="191"/>
      <c r="GWQ40" s="191"/>
      <c r="GWR40" s="191"/>
      <c r="GWT40" s="191"/>
      <c r="GWU40" s="191"/>
      <c r="GWV40" s="191"/>
      <c r="GWX40" s="191"/>
      <c r="GWY40" s="191"/>
      <c r="GWZ40" s="191"/>
      <c r="GXB40" s="191"/>
      <c r="GXC40" s="191"/>
      <c r="GXD40" s="191"/>
      <c r="GXF40" s="191"/>
      <c r="GXG40" s="191"/>
      <c r="GXH40" s="191"/>
      <c r="GXJ40" s="191"/>
      <c r="GXK40" s="191"/>
      <c r="GXL40" s="191"/>
      <c r="GXN40" s="191"/>
      <c r="GXO40" s="191"/>
      <c r="GXP40" s="191"/>
      <c r="GXR40" s="191"/>
      <c r="GXS40" s="191"/>
      <c r="GXT40" s="191"/>
      <c r="GXV40" s="191"/>
      <c r="GXW40" s="191"/>
      <c r="GXX40" s="191"/>
      <c r="GXZ40" s="191"/>
      <c r="GYA40" s="191"/>
      <c r="GYB40" s="191"/>
      <c r="GYD40" s="191"/>
      <c r="GYE40" s="191"/>
      <c r="GYF40" s="191"/>
      <c r="GYH40" s="191"/>
      <c r="GYI40" s="191"/>
      <c r="GYJ40" s="191"/>
      <c r="GYL40" s="191"/>
      <c r="GYM40" s="191"/>
      <c r="GYN40" s="191"/>
      <c r="GYP40" s="191"/>
      <c r="GYQ40" s="191"/>
      <c r="GYR40" s="191"/>
      <c r="GYT40" s="191"/>
      <c r="GYU40" s="191"/>
      <c r="GYV40" s="191"/>
      <c r="GYX40" s="191"/>
      <c r="GYY40" s="191"/>
      <c r="GYZ40" s="191"/>
      <c r="GZB40" s="191"/>
      <c r="GZC40" s="191"/>
      <c r="GZD40" s="191"/>
      <c r="GZF40" s="191"/>
      <c r="GZG40" s="191"/>
      <c r="GZH40" s="191"/>
      <c r="GZJ40" s="191"/>
      <c r="GZK40" s="191"/>
      <c r="GZL40" s="191"/>
      <c r="GZN40" s="191"/>
      <c r="GZO40" s="191"/>
      <c r="GZP40" s="191"/>
      <c r="GZR40" s="191"/>
      <c r="GZS40" s="191"/>
      <c r="GZT40" s="191"/>
      <c r="GZV40" s="191"/>
      <c r="GZW40" s="191"/>
      <c r="GZX40" s="191"/>
      <c r="GZZ40" s="191"/>
      <c r="HAA40" s="191"/>
      <c r="HAB40" s="191"/>
      <c r="HAD40" s="191"/>
      <c r="HAE40" s="191"/>
      <c r="HAF40" s="191"/>
      <c r="HAH40" s="191"/>
      <c r="HAI40" s="191"/>
      <c r="HAJ40" s="191"/>
      <c r="HAL40" s="191"/>
      <c r="HAM40" s="191"/>
      <c r="HAN40" s="191"/>
      <c r="HAP40" s="191"/>
      <c r="HAQ40" s="191"/>
      <c r="HAR40" s="191"/>
      <c r="HAT40" s="191"/>
      <c r="HAU40" s="191"/>
      <c r="HAV40" s="191"/>
      <c r="HAX40" s="191"/>
      <c r="HAY40" s="191"/>
      <c r="HAZ40" s="191"/>
      <c r="HBB40" s="191"/>
      <c r="HBC40" s="191"/>
      <c r="HBD40" s="191"/>
      <c r="HBF40" s="191"/>
      <c r="HBG40" s="191"/>
      <c r="HBH40" s="191"/>
      <c r="HBJ40" s="191"/>
      <c r="HBK40" s="191"/>
      <c r="HBL40" s="191"/>
      <c r="HBN40" s="191"/>
      <c r="HBO40" s="191"/>
      <c r="HBP40" s="191"/>
      <c r="HBR40" s="191"/>
      <c r="HBS40" s="191"/>
      <c r="HBT40" s="191"/>
      <c r="HBV40" s="191"/>
      <c r="HBW40" s="191"/>
      <c r="HBX40" s="191"/>
      <c r="HBZ40" s="191"/>
      <c r="HCA40" s="191"/>
      <c r="HCB40" s="191"/>
      <c r="HCD40" s="191"/>
      <c r="HCE40" s="191"/>
      <c r="HCF40" s="191"/>
      <c r="HCH40" s="191"/>
      <c r="HCI40" s="191"/>
      <c r="HCJ40" s="191"/>
      <c r="HCL40" s="191"/>
      <c r="HCM40" s="191"/>
      <c r="HCN40" s="191"/>
      <c r="HCP40" s="191"/>
      <c r="HCQ40" s="191"/>
      <c r="HCR40" s="191"/>
      <c r="HCT40" s="191"/>
      <c r="HCU40" s="191"/>
      <c r="HCV40" s="191"/>
      <c r="HCX40" s="191"/>
      <c r="HCY40" s="191"/>
      <c r="HCZ40" s="191"/>
      <c r="HDB40" s="191"/>
      <c r="HDC40" s="191"/>
      <c r="HDD40" s="191"/>
      <c r="HDF40" s="191"/>
      <c r="HDG40" s="191"/>
      <c r="HDH40" s="191"/>
      <c r="HDJ40" s="191"/>
      <c r="HDK40" s="191"/>
      <c r="HDL40" s="191"/>
      <c r="HDN40" s="191"/>
      <c r="HDO40" s="191"/>
      <c r="HDP40" s="191"/>
      <c r="HDR40" s="191"/>
      <c r="HDS40" s="191"/>
      <c r="HDT40" s="191"/>
      <c r="HDV40" s="191"/>
      <c r="HDW40" s="191"/>
      <c r="HDX40" s="191"/>
      <c r="HDZ40" s="191"/>
      <c r="HEA40" s="191"/>
      <c r="HEB40" s="191"/>
      <c r="HED40" s="191"/>
      <c r="HEE40" s="191"/>
      <c r="HEF40" s="191"/>
      <c r="HEH40" s="191"/>
      <c r="HEI40" s="191"/>
      <c r="HEJ40" s="191"/>
      <c r="HEL40" s="191"/>
      <c r="HEM40" s="191"/>
      <c r="HEN40" s="191"/>
      <c r="HEP40" s="191"/>
      <c r="HEQ40" s="191"/>
      <c r="HER40" s="191"/>
      <c r="HET40" s="191"/>
      <c r="HEU40" s="191"/>
      <c r="HEV40" s="191"/>
      <c r="HEX40" s="191"/>
      <c r="HEY40" s="191"/>
      <c r="HEZ40" s="191"/>
      <c r="HFB40" s="191"/>
      <c r="HFC40" s="191"/>
      <c r="HFD40" s="191"/>
      <c r="HFF40" s="191"/>
      <c r="HFG40" s="191"/>
      <c r="HFH40" s="191"/>
      <c r="HFJ40" s="191"/>
      <c r="HFK40" s="191"/>
      <c r="HFL40" s="191"/>
      <c r="HFN40" s="191"/>
      <c r="HFO40" s="191"/>
      <c r="HFP40" s="191"/>
      <c r="HFR40" s="191"/>
      <c r="HFS40" s="191"/>
      <c r="HFT40" s="191"/>
      <c r="HFV40" s="191"/>
      <c r="HFW40" s="191"/>
      <c r="HFX40" s="191"/>
      <c r="HFZ40" s="191"/>
      <c r="HGA40" s="191"/>
      <c r="HGB40" s="191"/>
      <c r="HGD40" s="191"/>
      <c r="HGE40" s="191"/>
      <c r="HGF40" s="191"/>
      <c r="HGH40" s="191"/>
      <c r="HGI40" s="191"/>
      <c r="HGJ40" s="191"/>
      <c r="HGL40" s="191"/>
      <c r="HGM40" s="191"/>
      <c r="HGN40" s="191"/>
      <c r="HGP40" s="191"/>
      <c r="HGQ40" s="191"/>
      <c r="HGR40" s="191"/>
      <c r="HGT40" s="191"/>
      <c r="HGU40" s="191"/>
      <c r="HGV40" s="191"/>
      <c r="HGX40" s="191"/>
      <c r="HGY40" s="191"/>
      <c r="HGZ40" s="191"/>
      <c r="HHB40" s="191"/>
      <c r="HHC40" s="191"/>
      <c r="HHD40" s="191"/>
      <c r="HHF40" s="191"/>
      <c r="HHG40" s="191"/>
      <c r="HHH40" s="191"/>
      <c r="HHJ40" s="191"/>
      <c r="HHK40" s="191"/>
      <c r="HHL40" s="191"/>
      <c r="HHN40" s="191"/>
      <c r="HHO40" s="191"/>
      <c r="HHP40" s="191"/>
      <c r="HHR40" s="191"/>
      <c r="HHS40" s="191"/>
      <c r="HHT40" s="191"/>
      <c r="HHV40" s="191"/>
      <c r="HHW40" s="191"/>
      <c r="HHX40" s="191"/>
      <c r="HHZ40" s="191"/>
      <c r="HIA40" s="191"/>
      <c r="HIB40" s="191"/>
      <c r="HID40" s="191"/>
      <c r="HIE40" s="191"/>
      <c r="HIF40" s="191"/>
      <c r="HIH40" s="191"/>
      <c r="HII40" s="191"/>
      <c r="HIJ40" s="191"/>
      <c r="HIL40" s="191"/>
      <c r="HIM40" s="191"/>
      <c r="HIN40" s="191"/>
      <c r="HIP40" s="191"/>
      <c r="HIQ40" s="191"/>
      <c r="HIR40" s="191"/>
      <c r="HIT40" s="191"/>
      <c r="HIU40" s="191"/>
      <c r="HIV40" s="191"/>
      <c r="HIX40" s="191"/>
      <c r="HIY40" s="191"/>
      <c r="HIZ40" s="191"/>
      <c r="HJB40" s="191"/>
      <c r="HJC40" s="191"/>
      <c r="HJD40" s="191"/>
      <c r="HJF40" s="191"/>
      <c r="HJG40" s="191"/>
      <c r="HJH40" s="191"/>
      <c r="HJJ40" s="191"/>
      <c r="HJK40" s="191"/>
      <c r="HJL40" s="191"/>
      <c r="HJN40" s="191"/>
      <c r="HJO40" s="191"/>
      <c r="HJP40" s="191"/>
      <c r="HJR40" s="191"/>
      <c r="HJS40" s="191"/>
      <c r="HJT40" s="191"/>
      <c r="HJV40" s="191"/>
      <c r="HJW40" s="191"/>
      <c r="HJX40" s="191"/>
      <c r="HJZ40" s="191"/>
      <c r="HKA40" s="191"/>
      <c r="HKB40" s="191"/>
      <c r="HKD40" s="191"/>
      <c r="HKE40" s="191"/>
      <c r="HKF40" s="191"/>
      <c r="HKH40" s="191"/>
      <c r="HKI40" s="191"/>
      <c r="HKJ40" s="191"/>
      <c r="HKL40" s="191"/>
      <c r="HKM40" s="191"/>
      <c r="HKN40" s="191"/>
      <c r="HKP40" s="191"/>
      <c r="HKQ40" s="191"/>
      <c r="HKR40" s="191"/>
      <c r="HKT40" s="191"/>
      <c r="HKU40" s="191"/>
      <c r="HKV40" s="191"/>
      <c r="HKX40" s="191"/>
      <c r="HKY40" s="191"/>
      <c r="HKZ40" s="191"/>
      <c r="HLB40" s="191"/>
      <c r="HLC40" s="191"/>
      <c r="HLD40" s="191"/>
      <c r="HLF40" s="191"/>
      <c r="HLG40" s="191"/>
      <c r="HLH40" s="191"/>
      <c r="HLJ40" s="191"/>
      <c r="HLK40" s="191"/>
      <c r="HLL40" s="191"/>
      <c r="HLN40" s="191"/>
      <c r="HLO40" s="191"/>
      <c r="HLP40" s="191"/>
      <c r="HLR40" s="191"/>
      <c r="HLS40" s="191"/>
      <c r="HLT40" s="191"/>
      <c r="HLV40" s="191"/>
      <c r="HLW40" s="191"/>
      <c r="HLX40" s="191"/>
      <c r="HLZ40" s="191"/>
      <c r="HMA40" s="191"/>
      <c r="HMB40" s="191"/>
      <c r="HMD40" s="191"/>
      <c r="HME40" s="191"/>
      <c r="HMF40" s="191"/>
      <c r="HMH40" s="191"/>
      <c r="HMI40" s="191"/>
      <c r="HMJ40" s="191"/>
      <c r="HML40" s="191"/>
      <c r="HMM40" s="191"/>
      <c r="HMN40" s="191"/>
      <c r="HMP40" s="191"/>
      <c r="HMQ40" s="191"/>
      <c r="HMR40" s="191"/>
      <c r="HMT40" s="191"/>
      <c r="HMU40" s="191"/>
      <c r="HMV40" s="191"/>
      <c r="HMX40" s="191"/>
      <c r="HMY40" s="191"/>
      <c r="HMZ40" s="191"/>
      <c r="HNB40" s="191"/>
      <c r="HNC40" s="191"/>
      <c r="HND40" s="191"/>
      <c r="HNF40" s="191"/>
      <c r="HNG40" s="191"/>
      <c r="HNH40" s="191"/>
      <c r="HNJ40" s="191"/>
      <c r="HNK40" s="191"/>
      <c r="HNL40" s="191"/>
      <c r="HNN40" s="191"/>
      <c r="HNO40" s="191"/>
      <c r="HNP40" s="191"/>
      <c r="HNR40" s="191"/>
      <c r="HNS40" s="191"/>
      <c r="HNT40" s="191"/>
      <c r="HNV40" s="191"/>
      <c r="HNW40" s="191"/>
      <c r="HNX40" s="191"/>
      <c r="HNZ40" s="191"/>
      <c r="HOA40" s="191"/>
      <c r="HOB40" s="191"/>
      <c r="HOD40" s="191"/>
      <c r="HOE40" s="191"/>
      <c r="HOF40" s="191"/>
      <c r="HOH40" s="191"/>
      <c r="HOI40" s="191"/>
      <c r="HOJ40" s="191"/>
      <c r="HOL40" s="191"/>
      <c r="HOM40" s="191"/>
      <c r="HON40" s="191"/>
      <c r="HOP40" s="191"/>
      <c r="HOQ40" s="191"/>
      <c r="HOR40" s="191"/>
      <c r="HOT40" s="191"/>
      <c r="HOU40" s="191"/>
      <c r="HOV40" s="191"/>
      <c r="HOX40" s="191"/>
      <c r="HOY40" s="191"/>
      <c r="HOZ40" s="191"/>
      <c r="HPB40" s="191"/>
      <c r="HPC40" s="191"/>
      <c r="HPD40" s="191"/>
      <c r="HPF40" s="191"/>
      <c r="HPG40" s="191"/>
      <c r="HPH40" s="191"/>
      <c r="HPJ40" s="191"/>
      <c r="HPK40" s="191"/>
      <c r="HPL40" s="191"/>
      <c r="HPN40" s="191"/>
      <c r="HPO40" s="191"/>
      <c r="HPP40" s="191"/>
      <c r="HPR40" s="191"/>
      <c r="HPS40" s="191"/>
      <c r="HPT40" s="191"/>
      <c r="HPV40" s="191"/>
      <c r="HPW40" s="191"/>
      <c r="HPX40" s="191"/>
      <c r="HPZ40" s="191"/>
      <c r="HQA40" s="191"/>
      <c r="HQB40" s="191"/>
      <c r="HQD40" s="191"/>
      <c r="HQE40" s="191"/>
      <c r="HQF40" s="191"/>
      <c r="HQH40" s="191"/>
      <c r="HQI40" s="191"/>
      <c r="HQJ40" s="191"/>
      <c r="HQL40" s="191"/>
      <c r="HQM40" s="191"/>
      <c r="HQN40" s="191"/>
      <c r="HQP40" s="191"/>
      <c r="HQQ40" s="191"/>
      <c r="HQR40" s="191"/>
      <c r="HQT40" s="191"/>
      <c r="HQU40" s="191"/>
      <c r="HQV40" s="191"/>
      <c r="HQX40" s="191"/>
      <c r="HQY40" s="191"/>
      <c r="HQZ40" s="191"/>
      <c r="HRB40" s="191"/>
      <c r="HRC40" s="191"/>
      <c r="HRD40" s="191"/>
      <c r="HRF40" s="191"/>
      <c r="HRG40" s="191"/>
      <c r="HRH40" s="191"/>
      <c r="HRJ40" s="191"/>
      <c r="HRK40" s="191"/>
      <c r="HRL40" s="191"/>
      <c r="HRN40" s="191"/>
      <c r="HRO40" s="191"/>
      <c r="HRP40" s="191"/>
      <c r="HRR40" s="191"/>
      <c r="HRS40" s="191"/>
      <c r="HRT40" s="191"/>
      <c r="HRV40" s="191"/>
      <c r="HRW40" s="191"/>
      <c r="HRX40" s="191"/>
      <c r="HRZ40" s="191"/>
      <c r="HSA40" s="191"/>
      <c r="HSB40" s="191"/>
      <c r="HSD40" s="191"/>
      <c r="HSE40" s="191"/>
      <c r="HSF40" s="191"/>
      <c r="HSH40" s="191"/>
      <c r="HSI40" s="191"/>
      <c r="HSJ40" s="191"/>
      <c r="HSL40" s="191"/>
      <c r="HSM40" s="191"/>
      <c r="HSN40" s="191"/>
      <c r="HSP40" s="191"/>
      <c r="HSQ40" s="191"/>
      <c r="HSR40" s="191"/>
      <c r="HST40" s="191"/>
      <c r="HSU40" s="191"/>
      <c r="HSV40" s="191"/>
      <c r="HSX40" s="191"/>
      <c r="HSY40" s="191"/>
      <c r="HSZ40" s="191"/>
      <c r="HTB40" s="191"/>
      <c r="HTC40" s="191"/>
      <c r="HTD40" s="191"/>
      <c r="HTF40" s="191"/>
      <c r="HTG40" s="191"/>
      <c r="HTH40" s="191"/>
      <c r="HTJ40" s="191"/>
      <c r="HTK40" s="191"/>
      <c r="HTL40" s="191"/>
      <c r="HTN40" s="191"/>
      <c r="HTO40" s="191"/>
      <c r="HTP40" s="191"/>
      <c r="HTR40" s="191"/>
      <c r="HTS40" s="191"/>
      <c r="HTT40" s="191"/>
      <c r="HTV40" s="191"/>
      <c r="HTW40" s="191"/>
      <c r="HTX40" s="191"/>
      <c r="HTZ40" s="191"/>
      <c r="HUA40" s="191"/>
      <c r="HUB40" s="191"/>
      <c r="HUD40" s="191"/>
      <c r="HUE40" s="191"/>
      <c r="HUF40" s="191"/>
      <c r="HUH40" s="191"/>
      <c r="HUI40" s="191"/>
      <c r="HUJ40" s="191"/>
      <c r="HUL40" s="191"/>
      <c r="HUM40" s="191"/>
      <c r="HUN40" s="191"/>
      <c r="HUP40" s="191"/>
      <c r="HUQ40" s="191"/>
      <c r="HUR40" s="191"/>
      <c r="HUT40" s="191"/>
      <c r="HUU40" s="191"/>
      <c r="HUV40" s="191"/>
      <c r="HUX40" s="191"/>
      <c r="HUY40" s="191"/>
      <c r="HUZ40" s="191"/>
      <c r="HVB40" s="191"/>
      <c r="HVC40" s="191"/>
      <c r="HVD40" s="191"/>
      <c r="HVF40" s="191"/>
      <c r="HVG40" s="191"/>
      <c r="HVH40" s="191"/>
      <c r="HVJ40" s="191"/>
      <c r="HVK40" s="191"/>
      <c r="HVL40" s="191"/>
      <c r="HVN40" s="191"/>
      <c r="HVO40" s="191"/>
      <c r="HVP40" s="191"/>
      <c r="HVR40" s="191"/>
      <c r="HVS40" s="191"/>
      <c r="HVT40" s="191"/>
      <c r="HVV40" s="191"/>
      <c r="HVW40" s="191"/>
      <c r="HVX40" s="191"/>
      <c r="HVZ40" s="191"/>
      <c r="HWA40" s="191"/>
      <c r="HWB40" s="191"/>
      <c r="HWD40" s="191"/>
      <c r="HWE40" s="191"/>
      <c r="HWF40" s="191"/>
      <c r="HWH40" s="191"/>
      <c r="HWI40" s="191"/>
      <c r="HWJ40" s="191"/>
      <c r="HWL40" s="191"/>
      <c r="HWM40" s="191"/>
      <c r="HWN40" s="191"/>
      <c r="HWP40" s="191"/>
      <c r="HWQ40" s="191"/>
      <c r="HWR40" s="191"/>
      <c r="HWT40" s="191"/>
      <c r="HWU40" s="191"/>
      <c r="HWV40" s="191"/>
      <c r="HWX40" s="191"/>
      <c r="HWY40" s="191"/>
      <c r="HWZ40" s="191"/>
      <c r="HXB40" s="191"/>
      <c r="HXC40" s="191"/>
      <c r="HXD40" s="191"/>
      <c r="HXF40" s="191"/>
      <c r="HXG40" s="191"/>
      <c r="HXH40" s="191"/>
      <c r="HXJ40" s="191"/>
      <c r="HXK40" s="191"/>
      <c r="HXL40" s="191"/>
      <c r="HXN40" s="191"/>
      <c r="HXO40" s="191"/>
      <c r="HXP40" s="191"/>
      <c r="HXR40" s="191"/>
      <c r="HXS40" s="191"/>
      <c r="HXT40" s="191"/>
      <c r="HXV40" s="191"/>
      <c r="HXW40" s="191"/>
      <c r="HXX40" s="191"/>
      <c r="HXZ40" s="191"/>
      <c r="HYA40" s="191"/>
      <c r="HYB40" s="191"/>
      <c r="HYD40" s="191"/>
      <c r="HYE40" s="191"/>
      <c r="HYF40" s="191"/>
      <c r="HYH40" s="191"/>
      <c r="HYI40" s="191"/>
      <c r="HYJ40" s="191"/>
      <c r="HYL40" s="191"/>
      <c r="HYM40" s="191"/>
      <c r="HYN40" s="191"/>
      <c r="HYP40" s="191"/>
      <c r="HYQ40" s="191"/>
      <c r="HYR40" s="191"/>
      <c r="HYT40" s="191"/>
      <c r="HYU40" s="191"/>
      <c r="HYV40" s="191"/>
      <c r="HYX40" s="191"/>
      <c r="HYY40" s="191"/>
      <c r="HYZ40" s="191"/>
      <c r="HZB40" s="191"/>
      <c r="HZC40" s="191"/>
      <c r="HZD40" s="191"/>
      <c r="HZF40" s="191"/>
      <c r="HZG40" s="191"/>
      <c r="HZH40" s="191"/>
      <c r="HZJ40" s="191"/>
      <c r="HZK40" s="191"/>
      <c r="HZL40" s="191"/>
      <c r="HZN40" s="191"/>
      <c r="HZO40" s="191"/>
      <c r="HZP40" s="191"/>
      <c r="HZR40" s="191"/>
      <c r="HZS40" s="191"/>
      <c r="HZT40" s="191"/>
      <c r="HZV40" s="191"/>
      <c r="HZW40" s="191"/>
      <c r="HZX40" s="191"/>
      <c r="HZZ40" s="191"/>
      <c r="IAA40" s="191"/>
      <c r="IAB40" s="191"/>
      <c r="IAD40" s="191"/>
      <c r="IAE40" s="191"/>
      <c r="IAF40" s="191"/>
      <c r="IAH40" s="191"/>
      <c r="IAI40" s="191"/>
      <c r="IAJ40" s="191"/>
      <c r="IAL40" s="191"/>
      <c r="IAM40" s="191"/>
      <c r="IAN40" s="191"/>
      <c r="IAP40" s="191"/>
      <c r="IAQ40" s="191"/>
      <c r="IAR40" s="191"/>
      <c r="IAT40" s="191"/>
      <c r="IAU40" s="191"/>
      <c r="IAV40" s="191"/>
      <c r="IAX40" s="191"/>
      <c r="IAY40" s="191"/>
      <c r="IAZ40" s="191"/>
      <c r="IBB40" s="191"/>
      <c r="IBC40" s="191"/>
      <c r="IBD40" s="191"/>
      <c r="IBF40" s="191"/>
      <c r="IBG40" s="191"/>
      <c r="IBH40" s="191"/>
      <c r="IBJ40" s="191"/>
      <c r="IBK40" s="191"/>
      <c r="IBL40" s="191"/>
      <c r="IBN40" s="191"/>
      <c r="IBO40" s="191"/>
      <c r="IBP40" s="191"/>
      <c r="IBR40" s="191"/>
      <c r="IBS40" s="191"/>
      <c r="IBT40" s="191"/>
      <c r="IBV40" s="191"/>
      <c r="IBW40" s="191"/>
      <c r="IBX40" s="191"/>
      <c r="IBZ40" s="191"/>
      <c r="ICA40" s="191"/>
      <c r="ICB40" s="191"/>
      <c r="ICD40" s="191"/>
      <c r="ICE40" s="191"/>
      <c r="ICF40" s="191"/>
      <c r="ICH40" s="191"/>
      <c r="ICI40" s="191"/>
      <c r="ICJ40" s="191"/>
      <c r="ICL40" s="191"/>
      <c r="ICM40" s="191"/>
      <c r="ICN40" s="191"/>
      <c r="ICP40" s="191"/>
      <c r="ICQ40" s="191"/>
      <c r="ICR40" s="191"/>
      <c r="ICT40" s="191"/>
      <c r="ICU40" s="191"/>
      <c r="ICV40" s="191"/>
      <c r="ICX40" s="191"/>
      <c r="ICY40" s="191"/>
      <c r="ICZ40" s="191"/>
      <c r="IDB40" s="191"/>
      <c r="IDC40" s="191"/>
      <c r="IDD40" s="191"/>
      <c r="IDF40" s="191"/>
      <c r="IDG40" s="191"/>
      <c r="IDH40" s="191"/>
      <c r="IDJ40" s="191"/>
      <c r="IDK40" s="191"/>
      <c r="IDL40" s="191"/>
      <c r="IDN40" s="191"/>
      <c r="IDO40" s="191"/>
      <c r="IDP40" s="191"/>
      <c r="IDR40" s="191"/>
      <c r="IDS40" s="191"/>
      <c r="IDT40" s="191"/>
      <c r="IDV40" s="191"/>
      <c r="IDW40" s="191"/>
      <c r="IDX40" s="191"/>
      <c r="IDZ40" s="191"/>
      <c r="IEA40" s="191"/>
      <c r="IEB40" s="191"/>
      <c r="IED40" s="191"/>
      <c r="IEE40" s="191"/>
      <c r="IEF40" s="191"/>
      <c r="IEH40" s="191"/>
      <c r="IEI40" s="191"/>
      <c r="IEJ40" s="191"/>
      <c r="IEL40" s="191"/>
      <c r="IEM40" s="191"/>
      <c r="IEN40" s="191"/>
      <c r="IEP40" s="191"/>
      <c r="IEQ40" s="191"/>
      <c r="IER40" s="191"/>
      <c r="IET40" s="191"/>
      <c r="IEU40" s="191"/>
      <c r="IEV40" s="191"/>
      <c r="IEX40" s="191"/>
      <c r="IEY40" s="191"/>
      <c r="IEZ40" s="191"/>
      <c r="IFB40" s="191"/>
      <c r="IFC40" s="191"/>
      <c r="IFD40" s="191"/>
      <c r="IFF40" s="191"/>
      <c r="IFG40" s="191"/>
      <c r="IFH40" s="191"/>
      <c r="IFJ40" s="191"/>
      <c r="IFK40" s="191"/>
      <c r="IFL40" s="191"/>
      <c r="IFN40" s="191"/>
      <c r="IFO40" s="191"/>
      <c r="IFP40" s="191"/>
      <c r="IFR40" s="191"/>
      <c r="IFS40" s="191"/>
      <c r="IFT40" s="191"/>
      <c r="IFV40" s="191"/>
      <c r="IFW40" s="191"/>
      <c r="IFX40" s="191"/>
      <c r="IFZ40" s="191"/>
      <c r="IGA40" s="191"/>
      <c r="IGB40" s="191"/>
      <c r="IGD40" s="191"/>
      <c r="IGE40" s="191"/>
      <c r="IGF40" s="191"/>
      <c r="IGH40" s="191"/>
      <c r="IGI40" s="191"/>
      <c r="IGJ40" s="191"/>
      <c r="IGL40" s="191"/>
      <c r="IGM40" s="191"/>
      <c r="IGN40" s="191"/>
      <c r="IGP40" s="191"/>
      <c r="IGQ40" s="191"/>
      <c r="IGR40" s="191"/>
      <c r="IGT40" s="191"/>
      <c r="IGU40" s="191"/>
      <c r="IGV40" s="191"/>
      <c r="IGX40" s="191"/>
      <c r="IGY40" s="191"/>
      <c r="IGZ40" s="191"/>
      <c r="IHB40" s="191"/>
      <c r="IHC40" s="191"/>
      <c r="IHD40" s="191"/>
      <c r="IHF40" s="191"/>
      <c r="IHG40" s="191"/>
      <c r="IHH40" s="191"/>
      <c r="IHJ40" s="191"/>
      <c r="IHK40" s="191"/>
      <c r="IHL40" s="191"/>
      <c r="IHN40" s="191"/>
      <c r="IHO40" s="191"/>
      <c r="IHP40" s="191"/>
      <c r="IHR40" s="191"/>
      <c r="IHS40" s="191"/>
      <c r="IHT40" s="191"/>
      <c r="IHV40" s="191"/>
      <c r="IHW40" s="191"/>
      <c r="IHX40" s="191"/>
      <c r="IHZ40" s="191"/>
      <c r="IIA40" s="191"/>
      <c r="IIB40" s="191"/>
      <c r="IID40" s="191"/>
      <c r="IIE40" s="191"/>
      <c r="IIF40" s="191"/>
      <c r="IIH40" s="191"/>
      <c r="III40" s="191"/>
      <c r="IIJ40" s="191"/>
      <c r="IIL40" s="191"/>
      <c r="IIM40" s="191"/>
      <c r="IIN40" s="191"/>
      <c r="IIP40" s="191"/>
      <c r="IIQ40" s="191"/>
      <c r="IIR40" s="191"/>
      <c r="IIT40" s="191"/>
      <c r="IIU40" s="191"/>
      <c r="IIV40" s="191"/>
      <c r="IIX40" s="191"/>
      <c r="IIY40" s="191"/>
      <c r="IIZ40" s="191"/>
      <c r="IJB40" s="191"/>
      <c r="IJC40" s="191"/>
      <c r="IJD40" s="191"/>
      <c r="IJF40" s="191"/>
      <c r="IJG40" s="191"/>
      <c r="IJH40" s="191"/>
      <c r="IJJ40" s="191"/>
      <c r="IJK40" s="191"/>
      <c r="IJL40" s="191"/>
      <c r="IJN40" s="191"/>
      <c r="IJO40" s="191"/>
      <c r="IJP40" s="191"/>
      <c r="IJR40" s="191"/>
      <c r="IJS40" s="191"/>
      <c r="IJT40" s="191"/>
      <c r="IJV40" s="191"/>
      <c r="IJW40" s="191"/>
      <c r="IJX40" s="191"/>
      <c r="IJZ40" s="191"/>
      <c r="IKA40" s="191"/>
      <c r="IKB40" s="191"/>
      <c r="IKD40" s="191"/>
      <c r="IKE40" s="191"/>
      <c r="IKF40" s="191"/>
      <c r="IKH40" s="191"/>
      <c r="IKI40" s="191"/>
      <c r="IKJ40" s="191"/>
      <c r="IKL40" s="191"/>
      <c r="IKM40" s="191"/>
      <c r="IKN40" s="191"/>
      <c r="IKP40" s="191"/>
      <c r="IKQ40" s="191"/>
      <c r="IKR40" s="191"/>
      <c r="IKT40" s="191"/>
      <c r="IKU40" s="191"/>
      <c r="IKV40" s="191"/>
      <c r="IKX40" s="191"/>
      <c r="IKY40" s="191"/>
      <c r="IKZ40" s="191"/>
      <c r="ILB40" s="191"/>
      <c r="ILC40" s="191"/>
      <c r="ILD40" s="191"/>
      <c r="ILF40" s="191"/>
      <c r="ILG40" s="191"/>
      <c r="ILH40" s="191"/>
      <c r="ILJ40" s="191"/>
      <c r="ILK40" s="191"/>
      <c r="ILL40" s="191"/>
      <c r="ILN40" s="191"/>
      <c r="ILO40" s="191"/>
      <c r="ILP40" s="191"/>
      <c r="ILR40" s="191"/>
      <c r="ILS40" s="191"/>
      <c r="ILT40" s="191"/>
      <c r="ILV40" s="191"/>
      <c r="ILW40" s="191"/>
      <c r="ILX40" s="191"/>
      <c r="ILZ40" s="191"/>
      <c r="IMA40" s="191"/>
      <c r="IMB40" s="191"/>
      <c r="IMD40" s="191"/>
      <c r="IME40" s="191"/>
      <c r="IMF40" s="191"/>
      <c r="IMH40" s="191"/>
      <c r="IMI40" s="191"/>
      <c r="IMJ40" s="191"/>
      <c r="IML40" s="191"/>
      <c r="IMM40" s="191"/>
      <c r="IMN40" s="191"/>
      <c r="IMP40" s="191"/>
      <c r="IMQ40" s="191"/>
      <c r="IMR40" s="191"/>
      <c r="IMT40" s="191"/>
      <c r="IMU40" s="191"/>
      <c r="IMV40" s="191"/>
      <c r="IMX40" s="191"/>
      <c r="IMY40" s="191"/>
      <c r="IMZ40" s="191"/>
      <c r="INB40" s="191"/>
      <c r="INC40" s="191"/>
      <c r="IND40" s="191"/>
      <c r="INF40" s="191"/>
      <c r="ING40" s="191"/>
      <c r="INH40" s="191"/>
      <c r="INJ40" s="191"/>
      <c r="INK40" s="191"/>
      <c r="INL40" s="191"/>
      <c r="INN40" s="191"/>
      <c r="INO40" s="191"/>
      <c r="INP40" s="191"/>
      <c r="INR40" s="191"/>
      <c r="INS40" s="191"/>
      <c r="INT40" s="191"/>
      <c r="INV40" s="191"/>
      <c r="INW40" s="191"/>
      <c r="INX40" s="191"/>
      <c r="INZ40" s="191"/>
      <c r="IOA40" s="191"/>
      <c r="IOB40" s="191"/>
      <c r="IOD40" s="191"/>
      <c r="IOE40" s="191"/>
      <c r="IOF40" s="191"/>
      <c r="IOH40" s="191"/>
      <c r="IOI40" s="191"/>
      <c r="IOJ40" s="191"/>
      <c r="IOL40" s="191"/>
      <c r="IOM40" s="191"/>
      <c r="ION40" s="191"/>
      <c r="IOP40" s="191"/>
      <c r="IOQ40" s="191"/>
      <c r="IOR40" s="191"/>
      <c r="IOT40" s="191"/>
      <c r="IOU40" s="191"/>
      <c r="IOV40" s="191"/>
      <c r="IOX40" s="191"/>
      <c r="IOY40" s="191"/>
      <c r="IOZ40" s="191"/>
      <c r="IPB40" s="191"/>
      <c r="IPC40" s="191"/>
      <c r="IPD40" s="191"/>
      <c r="IPF40" s="191"/>
      <c r="IPG40" s="191"/>
      <c r="IPH40" s="191"/>
      <c r="IPJ40" s="191"/>
      <c r="IPK40" s="191"/>
      <c r="IPL40" s="191"/>
      <c r="IPN40" s="191"/>
      <c r="IPO40" s="191"/>
      <c r="IPP40" s="191"/>
      <c r="IPR40" s="191"/>
      <c r="IPS40" s="191"/>
      <c r="IPT40" s="191"/>
      <c r="IPV40" s="191"/>
      <c r="IPW40" s="191"/>
      <c r="IPX40" s="191"/>
      <c r="IPZ40" s="191"/>
      <c r="IQA40" s="191"/>
      <c r="IQB40" s="191"/>
      <c r="IQD40" s="191"/>
      <c r="IQE40" s="191"/>
      <c r="IQF40" s="191"/>
      <c r="IQH40" s="191"/>
      <c r="IQI40" s="191"/>
      <c r="IQJ40" s="191"/>
      <c r="IQL40" s="191"/>
      <c r="IQM40" s="191"/>
      <c r="IQN40" s="191"/>
      <c r="IQP40" s="191"/>
      <c r="IQQ40" s="191"/>
      <c r="IQR40" s="191"/>
      <c r="IQT40" s="191"/>
      <c r="IQU40" s="191"/>
      <c r="IQV40" s="191"/>
      <c r="IQX40" s="191"/>
      <c r="IQY40" s="191"/>
      <c r="IQZ40" s="191"/>
      <c r="IRB40" s="191"/>
      <c r="IRC40" s="191"/>
      <c r="IRD40" s="191"/>
      <c r="IRF40" s="191"/>
      <c r="IRG40" s="191"/>
      <c r="IRH40" s="191"/>
      <c r="IRJ40" s="191"/>
      <c r="IRK40" s="191"/>
      <c r="IRL40" s="191"/>
      <c r="IRN40" s="191"/>
      <c r="IRO40" s="191"/>
      <c r="IRP40" s="191"/>
      <c r="IRR40" s="191"/>
      <c r="IRS40" s="191"/>
      <c r="IRT40" s="191"/>
      <c r="IRV40" s="191"/>
      <c r="IRW40" s="191"/>
      <c r="IRX40" s="191"/>
      <c r="IRZ40" s="191"/>
      <c r="ISA40" s="191"/>
      <c r="ISB40" s="191"/>
      <c r="ISD40" s="191"/>
      <c r="ISE40" s="191"/>
      <c r="ISF40" s="191"/>
      <c r="ISH40" s="191"/>
      <c r="ISI40" s="191"/>
      <c r="ISJ40" s="191"/>
      <c r="ISL40" s="191"/>
      <c r="ISM40" s="191"/>
      <c r="ISN40" s="191"/>
      <c r="ISP40" s="191"/>
      <c r="ISQ40" s="191"/>
      <c r="ISR40" s="191"/>
      <c r="IST40" s="191"/>
      <c r="ISU40" s="191"/>
      <c r="ISV40" s="191"/>
      <c r="ISX40" s="191"/>
      <c r="ISY40" s="191"/>
      <c r="ISZ40" s="191"/>
      <c r="ITB40" s="191"/>
      <c r="ITC40" s="191"/>
      <c r="ITD40" s="191"/>
      <c r="ITF40" s="191"/>
      <c r="ITG40" s="191"/>
      <c r="ITH40" s="191"/>
      <c r="ITJ40" s="191"/>
      <c r="ITK40" s="191"/>
      <c r="ITL40" s="191"/>
      <c r="ITN40" s="191"/>
      <c r="ITO40" s="191"/>
      <c r="ITP40" s="191"/>
      <c r="ITR40" s="191"/>
      <c r="ITS40" s="191"/>
      <c r="ITT40" s="191"/>
      <c r="ITV40" s="191"/>
      <c r="ITW40" s="191"/>
      <c r="ITX40" s="191"/>
      <c r="ITZ40" s="191"/>
      <c r="IUA40" s="191"/>
      <c r="IUB40" s="191"/>
      <c r="IUD40" s="191"/>
      <c r="IUE40" s="191"/>
      <c r="IUF40" s="191"/>
      <c r="IUH40" s="191"/>
      <c r="IUI40" s="191"/>
      <c r="IUJ40" s="191"/>
      <c r="IUL40" s="191"/>
      <c r="IUM40" s="191"/>
      <c r="IUN40" s="191"/>
      <c r="IUP40" s="191"/>
      <c r="IUQ40" s="191"/>
      <c r="IUR40" s="191"/>
      <c r="IUT40" s="191"/>
      <c r="IUU40" s="191"/>
      <c r="IUV40" s="191"/>
      <c r="IUX40" s="191"/>
      <c r="IUY40" s="191"/>
      <c r="IUZ40" s="191"/>
      <c r="IVB40" s="191"/>
      <c r="IVC40" s="191"/>
      <c r="IVD40" s="191"/>
      <c r="IVF40" s="191"/>
      <c r="IVG40" s="191"/>
      <c r="IVH40" s="191"/>
      <c r="IVJ40" s="191"/>
      <c r="IVK40" s="191"/>
      <c r="IVL40" s="191"/>
      <c r="IVN40" s="191"/>
      <c r="IVO40" s="191"/>
      <c r="IVP40" s="191"/>
      <c r="IVR40" s="191"/>
      <c r="IVS40" s="191"/>
      <c r="IVT40" s="191"/>
      <c r="IVV40" s="191"/>
      <c r="IVW40" s="191"/>
      <c r="IVX40" s="191"/>
      <c r="IVZ40" s="191"/>
      <c r="IWA40" s="191"/>
      <c r="IWB40" s="191"/>
      <c r="IWD40" s="191"/>
      <c r="IWE40" s="191"/>
      <c r="IWF40" s="191"/>
      <c r="IWH40" s="191"/>
      <c r="IWI40" s="191"/>
      <c r="IWJ40" s="191"/>
      <c r="IWL40" s="191"/>
      <c r="IWM40" s="191"/>
      <c r="IWN40" s="191"/>
      <c r="IWP40" s="191"/>
      <c r="IWQ40" s="191"/>
      <c r="IWR40" s="191"/>
      <c r="IWT40" s="191"/>
      <c r="IWU40" s="191"/>
      <c r="IWV40" s="191"/>
      <c r="IWX40" s="191"/>
      <c r="IWY40" s="191"/>
      <c r="IWZ40" s="191"/>
      <c r="IXB40" s="191"/>
      <c r="IXC40" s="191"/>
      <c r="IXD40" s="191"/>
      <c r="IXF40" s="191"/>
      <c r="IXG40" s="191"/>
      <c r="IXH40" s="191"/>
      <c r="IXJ40" s="191"/>
      <c r="IXK40" s="191"/>
      <c r="IXL40" s="191"/>
      <c r="IXN40" s="191"/>
      <c r="IXO40" s="191"/>
      <c r="IXP40" s="191"/>
      <c r="IXR40" s="191"/>
      <c r="IXS40" s="191"/>
      <c r="IXT40" s="191"/>
      <c r="IXV40" s="191"/>
      <c r="IXW40" s="191"/>
      <c r="IXX40" s="191"/>
      <c r="IXZ40" s="191"/>
      <c r="IYA40" s="191"/>
      <c r="IYB40" s="191"/>
      <c r="IYD40" s="191"/>
      <c r="IYE40" s="191"/>
      <c r="IYF40" s="191"/>
      <c r="IYH40" s="191"/>
      <c r="IYI40" s="191"/>
      <c r="IYJ40" s="191"/>
      <c r="IYL40" s="191"/>
      <c r="IYM40" s="191"/>
      <c r="IYN40" s="191"/>
      <c r="IYP40" s="191"/>
      <c r="IYQ40" s="191"/>
      <c r="IYR40" s="191"/>
      <c r="IYT40" s="191"/>
      <c r="IYU40" s="191"/>
      <c r="IYV40" s="191"/>
      <c r="IYX40" s="191"/>
      <c r="IYY40" s="191"/>
      <c r="IYZ40" s="191"/>
      <c r="IZB40" s="191"/>
      <c r="IZC40" s="191"/>
      <c r="IZD40" s="191"/>
      <c r="IZF40" s="191"/>
      <c r="IZG40" s="191"/>
      <c r="IZH40" s="191"/>
      <c r="IZJ40" s="191"/>
      <c r="IZK40" s="191"/>
      <c r="IZL40" s="191"/>
      <c r="IZN40" s="191"/>
      <c r="IZO40" s="191"/>
      <c r="IZP40" s="191"/>
      <c r="IZR40" s="191"/>
      <c r="IZS40" s="191"/>
      <c r="IZT40" s="191"/>
      <c r="IZV40" s="191"/>
      <c r="IZW40" s="191"/>
      <c r="IZX40" s="191"/>
      <c r="IZZ40" s="191"/>
      <c r="JAA40" s="191"/>
      <c r="JAB40" s="191"/>
      <c r="JAD40" s="191"/>
      <c r="JAE40" s="191"/>
      <c r="JAF40" s="191"/>
      <c r="JAH40" s="191"/>
      <c r="JAI40" s="191"/>
      <c r="JAJ40" s="191"/>
      <c r="JAL40" s="191"/>
      <c r="JAM40" s="191"/>
      <c r="JAN40" s="191"/>
      <c r="JAP40" s="191"/>
      <c r="JAQ40" s="191"/>
      <c r="JAR40" s="191"/>
      <c r="JAT40" s="191"/>
      <c r="JAU40" s="191"/>
      <c r="JAV40" s="191"/>
      <c r="JAX40" s="191"/>
      <c r="JAY40" s="191"/>
      <c r="JAZ40" s="191"/>
      <c r="JBB40" s="191"/>
      <c r="JBC40" s="191"/>
      <c r="JBD40" s="191"/>
      <c r="JBF40" s="191"/>
      <c r="JBG40" s="191"/>
      <c r="JBH40" s="191"/>
      <c r="JBJ40" s="191"/>
      <c r="JBK40" s="191"/>
      <c r="JBL40" s="191"/>
      <c r="JBN40" s="191"/>
      <c r="JBO40" s="191"/>
      <c r="JBP40" s="191"/>
      <c r="JBR40" s="191"/>
      <c r="JBS40" s="191"/>
      <c r="JBT40" s="191"/>
      <c r="JBV40" s="191"/>
      <c r="JBW40" s="191"/>
      <c r="JBX40" s="191"/>
      <c r="JBZ40" s="191"/>
      <c r="JCA40" s="191"/>
      <c r="JCB40" s="191"/>
      <c r="JCD40" s="191"/>
      <c r="JCE40" s="191"/>
      <c r="JCF40" s="191"/>
      <c r="JCH40" s="191"/>
      <c r="JCI40" s="191"/>
      <c r="JCJ40" s="191"/>
      <c r="JCL40" s="191"/>
      <c r="JCM40" s="191"/>
      <c r="JCN40" s="191"/>
      <c r="JCP40" s="191"/>
      <c r="JCQ40" s="191"/>
      <c r="JCR40" s="191"/>
      <c r="JCT40" s="191"/>
      <c r="JCU40" s="191"/>
      <c r="JCV40" s="191"/>
      <c r="JCX40" s="191"/>
      <c r="JCY40" s="191"/>
      <c r="JCZ40" s="191"/>
      <c r="JDB40" s="191"/>
      <c r="JDC40" s="191"/>
      <c r="JDD40" s="191"/>
      <c r="JDF40" s="191"/>
      <c r="JDG40" s="191"/>
      <c r="JDH40" s="191"/>
      <c r="JDJ40" s="191"/>
      <c r="JDK40" s="191"/>
      <c r="JDL40" s="191"/>
      <c r="JDN40" s="191"/>
      <c r="JDO40" s="191"/>
      <c r="JDP40" s="191"/>
      <c r="JDR40" s="191"/>
      <c r="JDS40" s="191"/>
      <c r="JDT40" s="191"/>
      <c r="JDV40" s="191"/>
      <c r="JDW40" s="191"/>
      <c r="JDX40" s="191"/>
      <c r="JDZ40" s="191"/>
      <c r="JEA40" s="191"/>
      <c r="JEB40" s="191"/>
      <c r="JED40" s="191"/>
      <c r="JEE40" s="191"/>
      <c r="JEF40" s="191"/>
      <c r="JEH40" s="191"/>
      <c r="JEI40" s="191"/>
      <c r="JEJ40" s="191"/>
      <c r="JEL40" s="191"/>
      <c r="JEM40" s="191"/>
      <c r="JEN40" s="191"/>
      <c r="JEP40" s="191"/>
      <c r="JEQ40" s="191"/>
      <c r="JER40" s="191"/>
      <c r="JET40" s="191"/>
      <c r="JEU40" s="191"/>
      <c r="JEV40" s="191"/>
      <c r="JEX40" s="191"/>
      <c r="JEY40" s="191"/>
      <c r="JEZ40" s="191"/>
      <c r="JFB40" s="191"/>
      <c r="JFC40" s="191"/>
      <c r="JFD40" s="191"/>
      <c r="JFF40" s="191"/>
      <c r="JFG40" s="191"/>
      <c r="JFH40" s="191"/>
      <c r="JFJ40" s="191"/>
      <c r="JFK40" s="191"/>
      <c r="JFL40" s="191"/>
      <c r="JFN40" s="191"/>
      <c r="JFO40" s="191"/>
      <c r="JFP40" s="191"/>
      <c r="JFR40" s="191"/>
      <c r="JFS40" s="191"/>
      <c r="JFT40" s="191"/>
      <c r="JFV40" s="191"/>
      <c r="JFW40" s="191"/>
      <c r="JFX40" s="191"/>
      <c r="JFZ40" s="191"/>
      <c r="JGA40" s="191"/>
      <c r="JGB40" s="191"/>
      <c r="JGD40" s="191"/>
      <c r="JGE40" s="191"/>
      <c r="JGF40" s="191"/>
      <c r="JGH40" s="191"/>
      <c r="JGI40" s="191"/>
      <c r="JGJ40" s="191"/>
      <c r="JGL40" s="191"/>
      <c r="JGM40" s="191"/>
      <c r="JGN40" s="191"/>
      <c r="JGP40" s="191"/>
      <c r="JGQ40" s="191"/>
      <c r="JGR40" s="191"/>
      <c r="JGT40" s="191"/>
      <c r="JGU40" s="191"/>
      <c r="JGV40" s="191"/>
      <c r="JGX40" s="191"/>
      <c r="JGY40" s="191"/>
      <c r="JGZ40" s="191"/>
      <c r="JHB40" s="191"/>
      <c r="JHC40" s="191"/>
      <c r="JHD40" s="191"/>
      <c r="JHF40" s="191"/>
      <c r="JHG40" s="191"/>
      <c r="JHH40" s="191"/>
      <c r="JHJ40" s="191"/>
      <c r="JHK40" s="191"/>
      <c r="JHL40" s="191"/>
      <c r="JHN40" s="191"/>
      <c r="JHO40" s="191"/>
      <c r="JHP40" s="191"/>
      <c r="JHR40" s="191"/>
      <c r="JHS40" s="191"/>
      <c r="JHT40" s="191"/>
      <c r="JHV40" s="191"/>
      <c r="JHW40" s="191"/>
      <c r="JHX40" s="191"/>
      <c r="JHZ40" s="191"/>
      <c r="JIA40" s="191"/>
      <c r="JIB40" s="191"/>
      <c r="JID40" s="191"/>
      <c r="JIE40" s="191"/>
      <c r="JIF40" s="191"/>
      <c r="JIH40" s="191"/>
      <c r="JII40" s="191"/>
      <c r="JIJ40" s="191"/>
      <c r="JIL40" s="191"/>
      <c r="JIM40" s="191"/>
      <c r="JIN40" s="191"/>
      <c r="JIP40" s="191"/>
      <c r="JIQ40" s="191"/>
      <c r="JIR40" s="191"/>
      <c r="JIT40" s="191"/>
      <c r="JIU40" s="191"/>
      <c r="JIV40" s="191"/>
      <c r="JIX40" s="191"/>
      <c r="JIY40" s="191"/>
      <c r="JIZ40" s="191"/>
      <c r="JJB40" s="191"/>
      <c r="JJC40" s="191"/>
      <c r="JJD40" s="191"/>
      <c r="JJF40" s="191"/>
      <c r="JJG40" s="191"/>
      <c r="JJH40" s="191"/>
      <c r="JJJ40" s="191"/>
      <c r="JJK40" s="191"/>
      <c r="JJL40" s="191"/>
      <c r="JJN40" s="191"/>
      <c r="JJO40" s="191"/>
      <c r="JJP40" s="191"/>
      <c r="JJR40" s="191"/>
      <c r="JJS40" s="191"/>
      <c r="JJT40" s="191"/>
      <c r="JJV40" s="191"/>
      <c r="JJW40" s="191"/>
      <c r="JJX40" s="191"/>
      <c r="JJZ40" s="191"/>
      <c r="JKA40" s="191"/>
      <c r="JKB40" s="191"/>
      <c r="JKD40" s="191"/>
      <c r="JKE40" s="191"/>
      <c r="JKF40" s="191"/>
      <c r="JKH40" s="191"/>
      <c r="JKI40" s="191"/>
      <c r="JKJ40" s="191"/>
      <c r="JKL40" s="191"/>
      <c r="JKM40" s="191"/>
      <c r="JKN40" s="191"/>
      <c r="JKP40" s="191"/>
      <c r="JKQ40" s="191"/>
      <c r="JKR40" s="191"/>
      <c r="JKT40" s="191"/>
      <c r="JKU40" s="191"/>
      <c r="JKV40" s="191"/>
      <c r="JKX40" s="191"/>
      <c r="JKY40" s="191"/>
      <c r="JKZ40" s="191"/>
      <c r="JLB40" s="191"/>
      <c r="JLC40" s="191"/>
      <c r="JLD40" s="191"/>
      <c r="JLF40" s="191"/>
      <c r="JLG40" s="191"/>
      <c r="JLH40" s="191"/>
      <c r="JLJ40" s="191"/>
      <c r="JLK40" s="191"/>
      <c r="JLL40" s="191"/>
      <c r="JLN40" s="191"/>
      <c r="JLO40" s="191"/>
      <c r="JLP40" s="191"/>
      <c r="JLR40" s="191"/>
      <c r="JLS40" s="191"/>
      <c r="JLT40" s="191"/>
      <c r="JLV40" s="191"/>
      <c r="JLW40" s="191"/>
      <c r="JLX40" s="191"/>
      <c r="JLZ40" s="191"/>
      <c r="JMA40" s="191"/>
      <c r="JMB40" s="191"/>
      <c r="JMD40" s="191"/>
      <c r="JME40" s="191"/>
      <c r="JMF40" s="191"/>
      <c r="JMH40" s="191"/>
      <c r="JMI40" s="191"/>
      <c r="JMJ40" s="191"/>
      <c r="JML40" s="191"/>
      <c r="JMM40" s="191"/>
      <c r="JMN40" s="191"/>
      <c r="JMP40" s="191"/>
      <c r="JMQ40" s="191"/>
      <c r="JMR40" s="191"/>
      <c r="JMT40" s="191"/>
      <c r="JMU40" s="191"/>
      <c r="JMV40" s="191"/>
      <c r="JMX40" s="191"/>
      <c r="JMY40" s="191"/>
      <c r="JMZ40" s="191"/>
      <c r="JNB40" s="191"/>
      <c r="JNC40" s="191"/>
      <c r="JND40" s="191"/>
      <c r="JNF40" s="191"/>
      <c r="JNG40" s="191"/>
      <c r="JNH40" s="191"/>
      <c r="JNJ40" s="191"/>
      <c r="JNK40" s="191"/>
      <c r="JNL40" s="191"/>
      <c r="JNN40" s="191"/>
      <c r="JNO40" s="191"/>
      <c r="JNP40" s="191"/>
      <c r="JNR40" s="191"/>
      <c r="JNS40" s="191"/>
      <c r="JNT40" s="191"/>
      <c r="JNV40" s="191"/>
      <c r="JNW40" s="191"/>
      <c r="JNX40" s="191"/>
      <c r="JNZ40" s="191"/>
      <c r="JOA40" s="191"/>
      <c r="JOB40" s="191"/>
      <c r="JOD40" s="191"/>
      <c r="JOE40" s="191"/>
      <c r="JOF40" s="191"/>
      <c r="JOH40" s="191"/>
      <c r="JOI40" s="191"/>
      <c r="JOJ40" s="191"/>
      <c r="JOL40" s="191"/>
      <c r="JOM40" s="191"/>
      <c r="JON40" s="191"/>
      <c r="JOP40" s="191"/>
      <c r="JOQ40" s="191"/>
      <c r="JOR40" s="191"/>
      <c r="JOT40" s="191"/>
      <c r="JOU40" s="191"/>
      <c r="JOV40" s="191"/>
      <c r="JOX40" s="191"/>
      <c r="JOY40" s="191"/>
      <c r="JOZ40" s="191"/>
      <c r="JPB40" s="191"/>
      <c r="JPC40" s="191"/>
      <c r="JPD40" s="191"/>
      <c r="JPF40" s="191"/>
      <c r="JPG40" s="191"/>
      <c r="JPH40" s="191"/>
      <c r="JPJ40" s="191"/>
      <c r="JPK40" s="191"/>
      <c r="JPL40" s="191"/>
      <c r="JPN40" s="191"/>
      <c r="JPO40" s="191"/>
      <c r="JPP40" s="191"/>
      <c r="JPR40" s="191"/>
      <c r="JPS40" s="191"/>
      <c r="JPT40" s="191"/>
      <c r="JPV40" s="191"/>
      <c r="JPW40" s="191"/>
      <c r="JPX40" s="191"/>
      <c r="JPZ40" s="191"/>
      <c r="JQA40" s="191"/>
      <c r="JQB40" s="191"/>
      <c r="JQD40" s="191"/>
      <c r="JQE40" s="191"/>
      <c r="JQF40" s="191"/>
      <c r="JQH40" s="191"/>
      <c r="JQI40" s="191"/>
      <c r="JQJ40" s="191"/>
      <c r="JQL40" s="191"/>
      <c r="JQM40" s="191"/>
      <c r="JQN40" s="191"/>
      <c r="JQP40" s="191"/>
      <c r="JQQ40" s="191"/>
      <c r="JQR40" s="191"/>
      <c r="JQT40" s="191"/>
      <c r="JQU40" s="191"/>
      <c r="JQV40" s="191"/>
      <c r="JQX40" s="191"/>
      <c r="JQY40" s="191"/>
      <c r="JQZ40" s="191"/>
      <c r="JRB40" s="191"/>
      <c r="JRC40" s="191"/>
      <c r="JRD40" s="191"/>
      <c r="JRF40" s="191"/>
      <c r="JRG40" s="191"/>
      <c r="JRH40" s="191"/>
      <c r="JRJ40" s="191"/>
      <c r="JRK40" s="191"/>
      <c r="JRL40" s="191"/>
      <c r="JRN40" s="191"/>
      <c r="JRO40" s="191"/>
      <c r="JRP40" s="191"/>
      <c r="JRR40" s="191"/>
      <c r="JRS40" s="191"/>
      <c r="JRT40" s="191"/>
      <c r="JRV40" s="191"/>
      <c r="JRW40" s="191"/>
      <c r="JRX40" s="191"/>
      <c r="JRZ40" s="191"/>
      <c r="JSA40" s="191"/>
      <c r="JSB40" s="191"/>
      <c r="JSD40" s="191"/>
      <c r="JSE40" s="191"/>
      <c r="JSF40" s="191"/>
      <c r="JSH40" s="191"/>
      <c r="JSI40" s="191"/>
      <c r="JSJ40" s="191"/>
      <c r="JSL40" s="191"/>
      <c r="JSM40" s="191"/>
      <c r="JSN40" s="191"/>
      <c r="JSP40" s="191"/>
      <c r="JSQ40" s="191"/>
      <c r="JSR40" s="191"/>
      <c r="JST40" s="191"/>
      <c r="JSU40" s="191"/>
      <c r="JSV40" s="191"/>
      <c r="JSX40" s="191"/>
      <c r="JSY40" s="191"/>
      <c r="JSZ40" s="191"/>
      <c r="JTB40" s="191"/>
      <c r="JTC40" s="191"/>
      <c r="JTD40" s="191"/>
      <c r="JTF40" s="191"/>
      <c r="JTG40" s="191"/>
      <c r="JTH40" s="191"/>
      <c r="JTJ40" s="191"/>
      <c r="JTK40" s="191"/>
      <c r="JTL40" s="191"/>
      <c r="JTN40" s="191"/>
      <c r="JTO40" s="191"/>
      <c r="JTP40" s="191"/>
      <c r="JTR40" s="191"/>
      <c r="JTS40" s="191"/>
      <c r="JTT40" s="191"/>
      <c r="JTV40" s="191"/>
      <c r="JTW40" s="191"/>
      <c r="JTX40" s="191"/>
      <c r="JTZ40" s="191"/>
      <c r="JUA40" s="191"/>
      <c r="JUB40" s="191"/>
      <c r="JUD40" s="191"/>
      <c r="JUE40" s="191"/>
      <c r="JUF40" s="191"/>
      <c r="JUH40" s="191"/>
      <c r="JUI40" s="191"/>
      <c r="JUJ40" s="191"/>
      <c r="JUL40" s="191"/>
      <c r="JUM40" s="191"/>
      <c r="JUN40" s="191"/>
      <c r="JUP40" s="191"/>
      <c r="JUQ40" s="191"/>
      <c r="JUR40" s="191"/>
      <c r="JUT40" s="191"/>
      <c r="JUU40" s="191"/>
      <c r="JUV40" s="191"/>
      <c r="JUX40" s="191"/>
      <c r="JUY40" s="191"/>
      <c r="JUZ40" s="191"/>
      <c r="JVB40" s="191"/>
      <c r="JVC40" s="191"/>
      <c r="JVD40" s="191"/>
      <c r="JVF40" s="191"/>
      <c r="JVG40" s="191"/>
      <c r="JVH40" s="191"/>
      <c r="JVJ40" s="191"/>
      <c r="JVK40" s="191"/>
      <c r="JVL40" s="191"/>
      <c r="JVN40" s="191"/>
      <c r="JVO40" s="191"/>
      <c r="JVP40" s="191"/>
      <c r="JVR40" s="191"/>
      <c r="JVS40" s="191"/>
      <c r="JVT40" s="191"/>
      <c r="JVV40" s="191"/>
      <c r="JVW40" s="191"/>
      <c r="JVX40" s="191"/>
      <c r="JVZ40" s="191"/>
      <c r="JWA40" s="191"/>
      <c r="JWB40" s="191"/>
      <c r="JWD40" s="191"/>
      <c r="JWE40" s="191"/>
      <c r="JWF40" s="191"/>
      <c r="JWH40" s="191"/>
      <c r="JWI40" s="191"/>
      <c r="JWJ40" s="191"/>
      <c r="JWL40" s="191"/>
      <c r="JWM40" s="191"/>
      <c r="JWN40" s="191"/>
      <c r="JWP40" s="191"/>
      <c r="JWQ40" s="191"/>
      <c r="JWR40" s="191"/>
      <c r="JWT40" s="191"/>
      <c r="JWU40" s="191"/>
      <c r="JWV40" s="191"/>
      <c r="JWX40" s="191"/>
      <c r="JWY40" s="191"/>
      <c r="JWZ40" s="191"/>
      <c r="JXB40" s="191"/>
      <c r="JXC40" s="191"/>
      <c r="JXD40" s="191"/>
      <c r="JXF40" s="191"/>
      <c r="JXG40" s="191"/>
      <c r="JXH40" s="191"/>
      <c r="JXJ40" s="191"/>
      <c r="JXK40" s="191"/>
      <c r="JXL40" s="191"/>
      <c r="JXN40" s="191"/>
      <c r="JXO40" s="191"/>
      <c r="JXP40" s="191"/>
      <c r="JXR40" s="191"/>
      <c r="JXS40" s="191"/>
      <c r="JXT40" s="191"/>
      <c r="JXV40" s="191"/>
      <c r="JXW40" s="191"/>
      <c r="JXX40" s="191"/>
      <c r="JXZ40" s="191"/>
      <c r="JYA40" s="191"/>
      <c r="JYB40" s="191"/>
      <c r="JYD40" s="191"/>
      <c r="JYE40" s="191"/>
      <c r="JYF40" s="191"/>
      <c r="JYH40" s="191"/>
      <c r="JYI40" s="191"/>
      <c r="JYJ40" s="191"/>
      <c r="JYL40" s="191"/>
      <c r="JYM40" s="191"/>
      <c r="JYN40" s="191"/>
      <c r="JYP40" s="191"/>
      <c r="JYQ40" s="191"/>
      <c r="JYR40" s="191"/>
      <c r="JYT40" s="191"/>
      <c r="JYU40" s="191"/>
      <c r="JYV40" s="191"/>
      <c r="JYX40" s="191"/>
      <c r="JYY40" s="191"/>
      <c r="JYZ40" s="191"/>
      <c r="JZB40" s="191"/>
      <c r="JZC40" s="191"/>
      <c r="JZD40" s="191"/>
      <c r="JZF40" s="191"/>
      <c r="JZG40" s="191"/>
      <c r="JZH40" s="191"/>
      <c r="JZJ40" s="191"/>
      <c r="JZK40" s="191"/>
      <c r="JZL40" s="191"/>
      <c r="JZN40" s="191"/>
      <c r="JZO40" s="191"/>
      <c r="JZP40" s="191"/>
      <c r="JZR40" s="191"/>
      <c r="JZS40" s="191"/>
      <c r="JZT40" s="191"/>
      <c r="JZV40" s="191"/>
      <c r="JZW40" s="191"/>
      <c r="JZX40" s="191"/>
      <c r="JZZ40" s="191"/>
      <c r="KAA40" s="191"/>
      <c r="KAB40" s="191"/>
      <c r="KAD40" s="191"/>
      <c r="KAE40" s="191"/>
      <c r="KAF40" s="191"/>
      <c r="KAH40" s="191"/>
      <c r="KAI40" s="191"/>
      <c r="KAJ40" s="191"/>
      <c r="KAL40" s="191"/>
      <c r="KAM40" s="191"/>
      <c r="KAN40" s="191"/>
      <c r="KAP40" s="191"/>
      <c r="KAQ40" s="191"/>
      <c r="KAR40" s="191"/>
      <c r="KAT40" s="191"/>
      <c r="KAU40" s="191"/>
      <c r="KAV40" s="191"/>
      <c r="KAX40" s="191"/>
      <c r="KAY40" s="191"/>
      <c r="KAZ40" s="191"/>
      <c r="KBB40" s="191"/>
      <c r="KBC40" s="191"/>
      <c r="KBD40" s="191"/>
      <c r="KBF40" s="191"/>
      <c r="KBG40" s="191"/>
      <c r="KBH40" s="191"/>
      <c r="KBJ40" s="191"/>
      <c r="KBK40" s="191"/>
      <c r="KBL40" s="191"/>
      <c r="KBN40" s="191"/>
      <c r="KBO40" s="191"/>
      <c r="KBP40" s="191"/>
      <c r="KBR40" s="191"/>
      <c r="KBS40" s="191"/>
      <c r="KBT40" s="191"/>
      <c r="KBV40" s="191"/>
      <c r="KBW40" s="191"/>
      <c r="KBX40" s="191"/>
      <c r="KBZ40" s="191"/>
      <c r="KCA40" s="191"/>
      <c r="KCB40" s="191"/>
      <c r="KCD40" s="191"/>
      <c r="KCE40" s="191"/>
      <c r="KCF40" s="191"/>
      <c r="KCH40" s="191"/>
      <c r="KCI40" s="191"/>
      <c r="KCJ40" s="191"/>
      <c r="KCL40" s="191"/>
      <c r="KCM40" s="191"/>
      <c r="KCN40" s="191"/>
      <c r="KCP40" s="191"/>
      <c r="KCQ40" s="191"/>
      <c r="KCR40" s="191"/>
      <c r="KCT40" s="191"/>
      <c r="KCU40" s="191"/>
      <c r="KCV40" s="191"/>
      <c r="KCX40" s="191"/>
      <c r="KCY40" s="191"/>
      <c r="KCZ40" s="191"/>
      <c r="KDB40" s="191"/>
      <c r="KDC40" s="191"/>
      <c r="KDD40" s="191"/>
      <c r="KDF40" s="191"/>
      <c r="KDG40" s="191"/>
      <c r="KDH40" s="191"/>
      <c r="KDJ40" s="191"/>
      <c r="KDK40" s="191"/>
      <c r="KDL40" s="191"/>
      <c r="KDN40" s="191"/>
      <c r="KDO40" s="191"/>
      <c r="KDP40" s="191"/>
      <c r="KDR40" s="191"/>
      <c r="KDS40" s="191"/>
      <c r="KDT40" s="191"/>
      <c r="KDV40" s="191"/>
      <c r="KDW40" s="191"/>
      <c r="KDX40" s="191"/>
      <c r="KDZ40" s="191"/>
      <c r="KEA40" s="191"/>
      <c r="KEB40" s="191"/>
      <c r="KED40" s="191"/>
      <c r="KEE40" s="191"/>
      <c r="KEF40" s="191"/>
      <c r="KEH40" s="191"/>
      <c r="KEI40" s="191"/>
      <c r="KEJ40" s="191"/>
      <c r="KEL40" s="191"/>
      <c r="KEM40" s="191"/>
      <c r="KEN40" s="191"/>
      <c r="KEP40" s="191"/>
      <c r="KEQ40" s="191"/>
      <c r="KER40" s="191"/>
      <c r="KET40" s="191"/>
      <c r="KEU40" s="191"/>
      <c r="KEV40" s="191"/>
      <c r="KEX40" s="191"/>
      <c r="KEY40" s="191"/>
      <c r="KEZ40" s="191"/>
      <c r="KFB40" s="191"/>
      <c r="KFC40" s="191"/>
      <c r="KFD40" s="191"/>
      <c r="KFF40" s="191"/>
      <c r="KFG40" s="191"/>
      <c r="KFH40" s="191"/>
      <c r="KFJ40" s="191"/>
      <c r="KFK40" s="191"/>
      <c r="KFL40" s="191"/>
      <c r="KFN40" s="191"/>
      <c r="KFO40" s="191"/>
      <c r="KFP40" s="191"/>
      <c r="KFR40" s="191"/>
      <c r="KFS40" s="191"/>
      <c r="KFT40" s="191"/>
      <c r="KFV40" s="191"/>
      <c r="KFW40" s="191"/>
      <c r="KFX40" s="191"/>
      <c r="KFZ40" s="191"/>
      <c r="KGA40" s="191"/>
      <c r="KGB40" s="191"/>
      <c r="KGD40" s="191"/>
      <c r="KGE40" s="191"/>
      <c r="KGF40" s="191"/>
      <c r="KGH40" s="191"/>
      <c r="KGI40" s="191"/>
      <c r="KGJ40" s="191"/>
      <c r="KGL40" s="191"/>
      <c r="KGM40" s="191"/>
      <c r="KGN40" s="191"/>
      <c r="KGP40" s="191"/>
      <c r="KGQ40" s="191"/>
      <c r="KGR40" s="191"/>
      <c r="KGT40" s="191"/>
      <c r="KGU40" s="191"/>
      <c r="KGV40" s="191"/>
      <c r="KGX40" s="191"/>
      <c r="KGY40" s="191"/>
      <c r="KGZ40" s="191"/>
      <c r="KHB40" s="191"/>
      <c r="KHC40" s="191"/>
      <c r="KHD40" s="191"/>
      <c r="KHF40" s="191"/>
      <c r="KHG40" s="191"/>
      <c r="KHH40" s="191"/>
      <c r="KHJ40" s="191"/>
      <c r="KHK40" s="191"/>
      <c r="KHL40" s="191"/>
      <c r="KHN40" s="191"/>
      <c r="KHO40" s="191"/>
      <c r="KHP40" s="191"/>
      <c r="KHR40" s="191"/>
      <c r="KHS40" s="191"/>
      <c r="KHT40" s="191"/>
      <c r="KHV40" s="191"/>
      <c r="KHW40" s="191"/>
      <c r="KHX40" s="191"/>
      <c r="KHZ40" s="191"/>
      <c r="KIA40" s="191"/>
      <c r="KIB40" s="191"/>
      <c r="KID40" s="191"/>
      <c r="KIE40" s="191"/>
      <c r="KIF40" s="191"/>
      <c r="KIH40" s="191"/>
      <c r="KII40" s="191"/>
      <c r="KIJ40" s="191"/>
      <c r="KIL40" s="191"/>
      <c r="KIM40" s="191"/>
      <c r="KIN40" s="191"/>
      <c r="KIP40" s="191"/>
      <c r="KIQ40" s="191"/>
      <c r="KIR40" s="191"/>
      <c r="KIT40" s="191"/>
      <c r="KIU40" s="191"/>
      <c r="KIV40" s="191"/>
      <c r="KIX40" s="191"/>
      <c r="KIY40" s="191"/>
      <c r="KIZ40" s="191"/>
      <c r="KJB40" s="191"/>
      <c r="KJC40" s="191"/>
      <c r="KJD40" s="191"/>
      <c r="KJF40" s="191"/>
      <c r="KJG40" s="191"/>
      <c r="KJH40" s="191"/>
      <c r="KJJ40" s="191"/>
      <c r="KJK40" s="191"/>
      <c r="KJL40" s="191"/>
      <c r="KJN40" s="191"/>
      <c r="KJO40" s="191"/>
      <c r="KJP40" s="191"/>
      <c r="KJR40" s="191"/>
      <c r="KJS40" s="191"/>
      <c r="KJT40" s="191"/>
      <c r="KJV40" s="191"/>
      <c r="KJW40" s="191"/>
      <c r="KJX40" s="191"/>
      <c r="KJZ40" s="191"/>
      <c r="KKA40" s="191"/>
      <c r="KKB40" s="191"/>
      <c r="KKD40" s="191"/>
      <c r="KKE40" s="191"/>
      <c r="KKF40" s="191"/>
      <c r="KKH40" s="191"/>
      <c r="KKI40" s="191"/>
      <c r="KKJ40" s="191"/>
      <c r="KKL40" s="191"/>
      <c r="KKM40" s="191"/>
      <c r="KKN40" s="191"/>
      <c r="KKP40" s="191"/>
      <c r="KKQ40" s="191"/>
      <c r="KKR40" s="191"/>
      <c r="KKT40" s="191"/>
      <c r="KKU40" s="191"/>
      <c r="KKV40" s="191"/>
      <c r="KKX40" s="191"/>
      <c r="KKY40" s="191"/>
      <c r="KKZ40" s="191"/>
      <c r="KLB40" s="191"/>
      <c r="KLC40" s="191"/>
      <c r="KLD40" s="191"/>
      <c r="KLF40" s="191"/>
      <c r="KLG40" s="191"/>
      <c r="KLH40" s="191"/>
      <c r="KLJ40" s="191"/>
      <c r="KLK40" s="191"/>
      <c r="KLL40" s="191"/>
      <c r="KLN40" s="191"/>
      <c r="KLO40" s="191"/>
      <c r="KLP40" s="191"/>
      <c r="KLR40" s="191"/>
      <c r="KLS40" s="191"/>
      <c r="KLT40" s="191"/>
      <c r="KLV40" s="191"/>
      <c r="KLW40" s="191"/>
      <c r="KLX40" s="191"/>
      <c r="KLZ40" s="191"/>
      <c r="KMA40" s="191"/>
      <c r="KMB40" s="191"/>
      <c r="KMD40" s="191"/>
      <c r="KME40" s="191"/>
      <c r="KMF40" s="191"/>
      <c r="KMH40" s="191"/>
      <c r="KMI40" s="191"/>
      <c r="KMJ40" s="191"/>
      <c r="KML40" s="191"/>
      <c r="KMM40" s="191"/>
      <c r="KMN40" s="191"/>
      <c r="KMP40" s="191"/>
      <c r="KMQ40" s="191"/>
      <c r="KMR40" s="191"/>
      <c r="KMT40" s="191"/>
      <c r="KMU40" s="191"/>
      <c r="KMV40" s="191"/>
      <c r="KMX40" s="191"/>
      <c r="KMY40" s="191"/>
      <c r="KMZ40" s="191"/>
      <c r="KNB40" s="191"/>
      <c r="KNC40" s="191"/>
      <c r="KND40" s="191"/>
      <c r="KNF40" s="191"/>
      <c r="KNG40" s="191"/>
      <c r="KNH40" s="191"/>
      <c r="KNJ40" s="191"/>
      <c r="KNK40" s="191"/>
      <c r="KNL40" s="191"/>
      <c r="KNN40" s="191"/>
      <c r="KNO40" s="191"/>
      <c r="KNP40" s="191"/>
      <c r="KNR40" s="191"/>
      <c r="KNS40" s="191"/>
      <c r="KNT40" s="191"/>
      <c r="KNV40" s="191"/>
      <c r="KNW40" s="191"/>
      <c r="KNX40" s="191"/>
      <c r="KNZ40" s="191"/>
      <c r="KOA40" s="191"/>
      <c r="KOB40" s="191"/>
      <c r="KOD40" s="191"/>
      <c r="KOE40" s="191"/>
      <c r="KOF40" s="191"/>
      <c r="KOH40" s="191"/>
      <c r="KOI40" s="191"/>
      <c r="KOJ40" s="191"/>
      <c r="KOL40" s="191"/>
      <c r="KOM40" s="191"/>
      <c r="KON40" s="191"/>
      <c r="KOP40" s="191"/>
      <c r="KOQ40" s="191"/>
      <c r="KOR40" s="191"/>
      <c r="KOT40" s="191"/>
      <c r="KOU40" s="191"/>
      <c r="KOV40" s="191"/>
      <c r="KOX40" s="191"/>
      <c r="KOY40" s="191"/>
      <c r="KOZ40" s="191"/>
      <c r="KPB40" s="191"/>
      <c r="KPC40" s="191"/>
      <c r="KPD40" s="191"/>
      <c r="KPF40" s="191"/>
      <c r="KPG40" s="191"/>
      <c r="KPH40" s="191"/>
      <c r="KPJ40" s="191"/>
      <c r="KPK40" s="191"/>
      <c r="KPL40" s="191"/>
      <c r="KPN40" s="191"/>
      <c r="KPO40" s="191"/>
      <c r="KPP40" s="191"/>
      <c r="KPR40" s="191"/>
      <c r="KPS40" s="191"/>
      <c r="KPT40" s="191"/>
      <c r="KPV40" s="191"/>
      <c r="KPW40" s="191"/>
      <c r="KPX40" s="191"/>
      <c r="KPZ40" s="191"/>
      <c r="KQA40" s="191"/>
      <c r="KQB40" s="191"/>
      <c r="KQD40" s="191"/>
      <c r="KQE40" s="191"/>
      <c r="KQF40" s="191"/>
      <c r="KQH40" s="191"/>
      <c r="KQI40" s="191"/>
      <c r="KQJ40" s="191"/>
      <c r="KQL40" s="191"/>
      <c r="KQM40" s="191"/>
      <c r="KQN40" s="191"/>
      <c r="KQP40" s="191"/>
      <c r="KQQ40" s="191"/>
      <c r="KQR40" s="191"/>
      <c r="KQT40" s="191"/>
      <c r="KQU40" s="191"/>
      <c r="KQV40" s="191"/>
      <c r="KQX40" s="191"/>
      <c r="KQY40" s="191"/>
      <c r="KQZ40" s="191"/>
      <c r="KRB40" s="191"/>
      <c r="KRC40" s="191"/>
      <c r="KRD40" s="191"/>
      <c r="KRF40" s="191"/>
      <c r="KRG40" s="191"/>
      <c r="KRH40" s="191"/>
      <c r="KRJ40" s="191"/>
      <c r="KRK40" s="191"/>
      <c r="KRL40" s="191"/>
      <c r="KRN40" s="191"/>
      <c r="KRO40" s="191"/>
      <c r="KRP40" s="191"/>
      <c r="KRR40" s="191"/>
      <c r="KRS40" s="191"/>
      <c r="KRT40" s="191"/>
      <c r="KRV40" s="191"/>
      <c r="KRW40" s="191"/>
      <c r="KRX40" s="191"/>
      <c r="KRZ40" s="191"/>
      <c r="KSA40" s="191"/>
      <c r="KSB40" s="191"/>
      <c r="KSD40" s="191"/>
      <c r="KSE40" s="191"/>
      <c r="KSF40" s="191"/>
      <c r="KSH40" s="191"/>
      <c r="KSI40" s="191"/>
      <c r="KSJ40" s="191"/>
      <c r="KSL40" s="191"/>
      <c r="KSM40" s="191"/>
      <c r="KSN40" s="191"/>
      <c r="KSP40" s="191"/>
      <c r="KSQ40" s="191"/>
      <c r="KSR40" s="191"/>
      <c r="KST40" s="191"/>
      <c r="KSU40" s="191"/>
      <c r="KSV40" s="191"/>
      <c r="KSX40" s="191"/>
      <c r="KSY40" s="191"/>
      <c r="KSZ40" s="191"/>
      <c r="KTB40" s="191"/>
      <c r="KTC40" s="191"/>
      <c r="KTD40" s="191"/>
      <c r="KTF40" s="191"/>
      <c r="KTG40" s="191"/>
      <c r="KTH40" s="191"/>
      <c r="KTJ40" s="191"/>
      <c r="KTK40" s="191"/>
      <c r="KTL40" s="191"/>
      <c r="KTN40" s="191"/>
      <c r="KTO40" s="191"/>
      <c r="KTP40" s="191"/>
      <c r="KTR40" s="191"/>
      <c r="KTS40" s="191"/>
      <c r="KTT40" s="191"/>
      <c r="KTV40" s="191"/>
      <c r="KTW40" s="191"/>
      <c r="KTX40" s="191"/>
      <c r="KTZ40" s="191"/>
      <c r="KUA40" s="191"/>
      <c r="KUB40" s="191"/>
      <c r="KUD40" s="191"/>
      <c r="KUE40" s="191"/>
      <c r="KUF40" s="191"/>
      <c r="KUH40" s="191"/>
      <c r="KUI40" s="191"/>
      <c r="KUJ40" s="191"/>
      <c r="KUL40" s="191"/>
      <c r="KUM40" s="191"/>
      <c r="KUN40" s="191"/>
      <c r="KUP40" s="191"/>
      <c r="KUQ40" s="191"/>
      <c r="KUR40" s="191"/>
      <c r="KUT40" s="191"/>
      <c r="KUU40" s="191"/>
      <c r="KUV40" s="191"/>
      <c r="KUX40" s="191"/>
      <c r="KUY40" s="191"/>
      <c r="KUZ40" s="191"/>
      <c r="KVB40" s="191"/>
      <c r="KVC40" s="191"/>
      <c r="KVD40" s="191"/>
      <c r="KVF40" s="191"/>
      <c r="KVG40" s="191"/>
      <c r="KVH40" s="191"/>
      <c r="KVJ40" s="191"/>
      <c r="KVK40" s="191"/>
      <c r="KVL40" s="191"/>
      <c r="KVN40" s="191"/>
      <c r="KVO40" s="191"/>
      <c r="KVP40" s="191"/>
      <c r="KVR40" s="191"/>
      <c r="KVS40" s="191"/>
      <c r="KVT40" s="191"/>
      <c r="KVV40" s="191"/>
      <c r="KVW40" s="191"/>
      <c r="KVX40" s="191"/>
      <c r="KVZ40" s="191"/>
      <c r="KWA40" s="191"/>
      <c r="KWB40" s="191"/>
      <c r="KWD40" s="191"/>
      <c r="KWE40" s="191"/>
      <c r="KWF40" s="191"/>
      <c r="KWH40" s="191"/>
      <c r="KWI40" s="191"/>
      <c r="KWJ40" s="191"/>
      <c r="KWL40" s="191"/>
      <c r="KWM40" s="191"/>
      <c r="KWN40" s="191"/>
      <c r="KWP40" s="191"/>
      <c r="KWQ40" s="191"/>
      <c r="KWR40" s="191"/>
      <c r="KWT40" s="191"/>
      <c r="KWU40" s="191"/>
      <c r="KWV40" s="191"/>
      <c r="KWX40" s="191"/>
      <c r="KWY40" s="191"/>
      <c r="KWZ40" s="191"/>
      <c r="KXB40" s="191"/>
      <c r="KXC40" s="191"/>
      <c r="KXD40" s="191"/>
      <c r="KXF40" s="191"/>
      <c r="KXG40" s="191"/>
      <c r="KXH40" s="191"/>
      <c r="KXJ40" s="191"/>
      <c r="KXK40" s="191"/>
      <c r="KXL40" s="191"/>
      <c r="KXN40" s="191"/>
      <c r="KXO40" s="191"/>
      <c r="KXP40" s="191"/>
      <c r="KXR40" s="191"/>
      <c r="KXS40" s="191"/>
      <c r="KXT40" s="191"/>
      <c r="KXV40" s="191"/>
      <c r="KXW40" s="191"/>
      <c r="KXX40" s="191"/>
      <c r="KXZ40" s="191"/>
      <c r="KYA40" s="191"/>
      <c r="KYB40" s="191"/>
      <c r="KYD40" s="191"/>
      <c r="KYE40" s="191"/>
      <c r="KYF40" s="191"/>
      <c r="KYH40" s="191"/>
      <c r="KYI40" s="191"/>
      <c r="KYJ40" s="191"/>
      <c r="KYL40" s="191"/>
      <c r="KYM40" s="191"/>
      <c r="KYN40" s="191"/>
      <c r="KYP40" s="191"/>
      <c r="KYQ40" s="191"/>
      <c r="KYR40" s="191"/>
      <c r="KYT40" s="191"/>
      <c r="KYU40" s="191"/>
      <c r="KYV40" s="191"/>
      <c r="KYX40" s="191"/>
      <c r="KYY40" s="191"/>
      <c r="KYZ40" s="191"/>
      <c r="KZB40" s="191"/>
      <c r="KZC40" s="191"/>
      <c r="KZD40" s="191"/>
      <c r="KZF40" s="191"/>
      <c r="KZG40" s="191"/>
      <c r="KZH40" s="191"/>
      <c r="KZJ40" s="191"/>
      <c r="KZK40" s="191"/>
      <c r="KZL40" s="191"/>
      <c r="KZN40" s="191"/>
      <c r="KZO40" s="191"/>
      <c r="KZP40" s="191"/>
      <c r="KZR40" s="191"/>
      <c r="KZS40" s="191"/>
      <c r="KZT40" s="191"/>
      <c r="KZV40" s="191"/>
      <c r="KZW40" s="191"/>
      <c r="KZX40" s="191"/>
      <c r="KZZ40" s="191"/>
      <c r="LAA40" s="191"/>
      <c r="LAB40" s="191"/>
      <c r="LAD40" s="191"/>
      <c r="LAE40" s="191"/>
      <c r="LAF40" s="191"/>
      <c r="LAH40" s="191"/>
      <c r="LAI40" s="191"/>
      <c r="LAJ40" s="191"/>
      <c r="LAL40" s="191"/>
      <c r="LAM40" s="191"/>
      <c r="LAN40" s="191"/>
      <c r="LAP40" s="191"/>
      <c r="LAQ40" s="191"/>
      <c r="LAR40" s="191"/>
      <c r="LAT40" s="191"/>
      <c r="LAU40" s="191"/>
      <c r="LAV40" s="191"/>
      <c r="LAX40" s="191"/>
      <c r="LAY40" s="191"/>
      <c r="LAZ40" s="191"/>
      <c r="LBB40" s="191"/>
      <c r="LBC40" s="191"/>
      <c r="LBD40" s="191"/>
      <c r="LBF40" s="191"/>
      <c r="LBG40" s="191"/>
      <c r="LBH40" s="191"/>
      <c r="LBJ40" s="191"/>
      <c r="LBK40" s="191"/>
      <c r="LBL40" s="191"/>
      <c r="LBN40" s="191"/>
      <c r="LBO40" s="191"/>
      <c r="LBP40" s="191"/>
      <c r="LBR40" s="191"/>
      <c r="LBS40" s="191"/>
      <c r="LBT40" s="191"/>
      <c r="LBV40" s="191"/>
      <c r="LBW40" s="191"/>
      <c r="LBX40" s="191"/>
      <c r="LBZ40" s="191"/>
      <c r="LCA40" s="191"/>
      <c r="LCB40" s="191"/>
      <c r="LCD40" s="191"/>
      <c r="LCE40" s="191"/>
      <c r="LCF40" s="191"/>
      <c r="LCH40" s="191"/>
      <c r="LCI40" s="191"/>
      <c r="LCJ40" s="191"/>
      <c r="LCL40" s="191"/>
      <c r="LCM40" s="191"/>
      <c r="LCN40" s="191"/>
      <c r="LCP40" s="191"/>
      <c r="LCQ40" s="191"/>
      <c r="LCR40" s="191"/>
      <c r="LCT40" s="191"/>
      <c r="LCU40" s="191"/>
      <c r="LCV40" s="191"/>
      <c r="LCX40" s="191"/>
      <c r="LCY40" s="191"/>
      <c r="LCZ40" s="191"/>
      <c r="LDB40" s="191"/>
      <c r="LDC40" s="191"/>
      <c r="LDD40" s="191"/>
      <c r="LDF40" s="191"/>
      <c r="LDG40" s="191"/>
      <c r="LDH40" s="191"/>
      <c r="LDJ40" s="191"/>
      <c r="LDK40" s="191"/>
      <c r="LDL40" s="191"/>
      <c r="LDN40" s="191"/>
      <c r="LDO40" s="191"/>
      <c r="LDP40" s="191"/>
      <c r="LDR40" s="191"/>
      <c r="LDS40" s="191"/>
      <c r="LDT40" s="191"/>
      <c r="LDV40" s="191"/>
      <c r="LDW40" s="191"/>
      <c r="LDX40" s="191"/>
      <c r="LDZ40" s="191"/>
      <c r="LEA40" s="191"/>
      <c r="LEB40" s="191"/>
      <c r="LED40" s="191"/>
      <c r="LEE40" s="191"/>
      <c r="LEF40" s="191"/>
      <c r="LEH40" s="191"/>
      <c r="LEI40" s="191"/>
      <c r="LEJ40" s="191"/>
      <c r="LEL40" s="191"/>
      <c r="LEM40" s="191"/>
      <c r="LEN40" s="191"/>
      <c r="LEP40" s="191"/>
      <c r="LEQ40" s="191"/>
      <c r="LER40" s="191"/>
      <c r="LET40" s="191"/>
      <c r="LEU40" s="191"/>
      <c r="LEV40" s="191"/>
      <c r="LEX40" s="191"/>
      <c r="LEY40" s="191"/>
      <c r="LEZ40" s="191"/>
      <c r="LFB40" s="191"/>
      <c r="LFC40" s="191"/>
      <c r="LFD40" s="191"/>
      <c r="LFF40" s="191"/>
      <c r="LFG40" s="191"/>
      <c r="LFH40" s="191"/>
      <c r="LFJ40" s="191"/>
      <c r="LFK40" s="191"/>
      <c r="LFL40" s="191"/>
      <c r="LFN40" s="191"/>
      <c r="LFO40" s="191"/>
      <c r="LFP40" s="191"/>
      <c r="LFR40" s="191"/>
      <c r="LFS40" s="191"/>
      <c r="LFT40" s="191"/>
      <c r="LFV40" s="191"/>
      <c r="LFW40" s="191"/>
      <c r="LFX40" s="191"/>
      <c r="LFZ40" s="191"/>
      <c r="LGA40" s="191"/>
      <c r="LGB40" s="191"/>
      <c r="LGD40" s="191"/>
      <c r="LGE40" s="191"/>
      <c r="LGF40" s="191"/>
      <c r="LGH40" s="191"/>
      <c r="LGI40" s="191"/>
      <c r="LGJ40" s="191"/>
      <c r="LGL40" s="191"/>
      <c r="LGM40" s="191"/>
      <c r="LGN40" s="191"/>
      <c r="LGP40" s="191"/>
      <c r="LGQ40" s="191"/>
      <c r="LGR40" s="191"/>
      <c r="LGT40" s="191"/>
      <c r="LGU40" s="191"/>
      <c r="LGV40" s="191"/>
      <c r="LGX40" s="191"/>
      <c r="LGY40" s="191"/>
      <c r="LGZ40" s="191"/>
      <c r="LHB40" s="191"/>
      <c r="LHC40" s="191"/>
      <c r="LHD40" s="191"/>
      <c r="LHF40" s="191"/>
      <c r="LHG40" s="191"/>
      <c r="LHH40" s="191"/>
      <c r="LHJ40" s="191"/>
      <c r="LHK40" s="191"/>
      <c r="LHL40" s="191"/>
      <c r="LHN40" s="191"/>
      <c r="LHO40" s="191"/>
      <c r="LHP40" s="191"/>
      <c r="LHR40" s="191"/>
      <c r="LHS40" s="191"/>
      <c r="LHT40" s="191"/>
      <c r="LHV40" s="191"/>
      <c r="LHW40" s="191"/>
      <c r="LHX40" s="191"/>
      <c r="LHZ40" s="191"/>
      <c r="LIA40" s="191"/>
      <c r="LIB40" s="191"/>
      <c r="LID40" s="191"/>
      <c r="LIE40" s="191"/>
      <c r="LIF40" s="191"/>
      <c r="LIH40" s="191"/>
      <c r="LII40" s="191"/>
      <c r="LIJ40" s="191"/>
      <c r="LIL40" s="191"/>
      <c r="LIM40" s="191"/>
      <c r="LIN40" s="191"/>
      <c r="LIP40" s="191"/>
      <c r="LIQ40" s="191"/>
      <c r="LIR40" s="191"/>
      <c r="LIT40" s="191"/>
      <c r="LIU40" s="191"/>
      <c r="LIV40" s="191"/>
      <c r="LIX40" s="191"/>
      <c r="LIY40" s="191"/>
      <c r="LIZ40" s="191"/>
      <c r="LJB40" s="191"/>
      <c r="LJC40" s="191"/>
      <c r="LJD40" s="191"/>
      <c r="LJF40" s="191"/>
      <c r="LJG40" s="191"/>
      <c r="LJH40" s="191"/>
      <c r="LJJ40" s="191"/>
      <c r="LJK40" s="191"/>
      <c r="LJL40" s="191"/>
      <c r="LJN40" s="191"/>
      <c r="LJO40" s="191"/>
      <c r="LJP40" s="191"/>
      <c r="LJR40" s="191"/>
      <c r="LJS40" s="191"/>
      <c r="LJT40" s="191"/>
      <c r="LJV40" s="191"/>
      <c r="LJW40" s="191"/>
      <c r="LJX40" s="191"/>
      <c r="LJZ40" s="191"/>
      <c r="LKA40" s="191"/>
      <c r="LKB40" s="191"/>
      <c r="LKD40" s="191"/>
      <c r="LKE40" s="191"/>
      <c r="LKF40" s="191"/>
      <c r="LKH40" s="191"/>
      <c r="LKI40" s="191"/>
      <c r="LKJ40" s="191"/>
      <c r="LKL40" s="191"/>
      <c r="LKM40" s="191"/>
      <c r="LKN40" s="191"/>
      <c r="LKP40" s="191"/>
      <c r="LKQ40" s="191"/>
      <c r="LKR40" s="191"/>
      <c r="LKT40" s="191"/>
      <c r="LKU40" s="191"/>
      <c r="LKV40" s="191"/>
      <c r="LKX40" s="191"/>
      <c r="LKY40" s="191"/>
      <c r="LKZ40" s="191"/>
      <c r="LLB40" s="191"/>
      <c r="LLC40" s="191"/>
      <c r="LLD40" s="191"/>
      <c r="LLF40" s="191"/>
      <c r="LLG40" s="191"/>
      <c r="LLH40" s="191"/>
      <c r="LLJ40" s="191"/>
      <c r="LLK40" s="191"/>
      <c r="LLL40" s="191"/>
      <c r="LLN40" s="191"/>
      <c r="LLO40" s="191"/>
      <c r="LLP40" s="191"/>
      <c r="LLR40" s="191"/>
      <c r="LLS40" s="191"/>
      <c r="LLT40" s="191"/>
      <c r="LLV40" s="191"/>
      <c r="LLW40" s="191"/>
      <c r="LLX40" s="191"/>
      <c r="LLZ40" s="191"/>
      <c r="LMA40" s="191"/>
      <c r="LMB40" s="191"/>
      <c r="LMD40" s="191"/>
      <c r="LME40" s="191"/>
      <c r="LMF40" s="191"/>
      <c r="LMH40" s="191"/>
      <c r="LMI40" s="191"/>
      <c r="LMJ40" s="191"/>
      <c r="LML40" s="191"/>
      <c r="LMM40" s="191"/>
      <c r="LMN40" s="191"/>
      <c r="LMP40" s="191"/>
      <c r="LMQ40" s="191"/>
      <c r="LMR40" s="191"/>
      <c r="LMT40" s="191"/>
      <c r="LMU40" s="191"/>
      <c r="LMV40" s="191"/>
      <c r="LMX40" s="191"/>
      <c r="LMY40" s="191"/>
      <c r="LMZ40" s="191"/>
      <c r="LNB40" s="191"/>
      <c r="LNC40" s="191"/>
      <c r="LND40" s="191"/>
      <c r="LNF40" s="191"/>
      <c r="LNG40" s="191"/>
      <c r="LNH40" s="191"/>
      <c r="LNJ40" s="191"/>
      <c r="LNK40" s="191"/>
      <c r="LNL40" s="191"/>
      <c r="LNN40" s="191"/>
      <c r="LNO40" s="191"/>
      <c r="LNP40" s="191"/>
      <c r="LNR40" s="191"/>
      <c r="LNS40" s="191"/>
      <c r="LNT40" s="191"/>
      <c r="LNV40" s="191"/>
      <c r="LNW40" s="191"/>
      <c r="LNX40" s="191"/>
      <c r="LNZ40" s="191"/>
      <c r="LOA40" s="191"/>
      <c r="LOB40" s="191"/>
      <c r="LOD40" s="191"/>
      <c r="LOE40" s="191"/>
      <c r="LOF40" s="191"/>
      <c r="LOH40" s="191"/>
      <c r="LOI40" s="191"/>
      <c r="LOJ40" s="191"/>
      <c r="LOL40" s="191"/>
      <c r="LOM40" s="191"/>
      <c r="LON40" s="191"/>
      <c r="LOP40" s="191"/>
      <c r="LOQ40" s="191"/>
      <c r="LOR40" s="191"/>
      <c r="LOT40" s="191"/>
      <c r="LOU40" s="191"/>
      <c r="LOV40" s="191"/>
      <c r="LOX40" s="191"/>
      <c r="LOY40" s="191"/>
      <c r="LOZ40" s="191"/>
      <c r="LPB40" s="191"/>
      <c r="LPC40" s="191"/>
      <c r="LPD40" s="191"/>
      <c r="LPF40" s="191"/>
      <c r="LPG40" s="191"/>
      <c r="LPH40" s="191"/>
      <c r="LPJ40" s="191"/>
      <c r="LPK40" s="191"/>
      <c r="LPL40" s="191"/>
      <c r="LPN40" s="191"/>
      <c r="LPO40" s="191"/>
      <c r="LPP40" s="191"/>
      <c r="LPR40" s="191"/>
      <c r="LPS40" s="191"/>
      <c r="LPT40" s="191"/>
      <c r="LPV40" s="191"/>
      <c r="LPW40" s="191"/>
      <c r="LPX40" s="191"/>
      <c r="LPZ40" s="191"/>
      <c r="LQA40" s="191"/>
      <c r="LQB40" s="191"/>
      <c r="LQD40" s="191"/>
      <c r="LQE40" s="191"/>
      <c r="LQF40" s="191"/>
      <c r="LQH40" s="191"/>
      <c r="LQI40" s="191"/>
      <c r="LQJ40" s="191"/>
      <c r="LQL40" s="191"/>
      <c r="LQM40" s="191"/>
      <c r="LQN40" s="191"/>
      <c r="LQP40" s="191"/>
      <c r="LQQ40" s="191"/>
      <c r="LQR40" s="191"/>
      <c r="LQT40" s="191"/>
      <c r="LQU40" s="191"/>
      <c r="LQV40" s="191"/>
      <c r="LQX40" s="191"/>
      <c r="LQY40" s="191"/>
      <c r="LQZ40" s="191"/>
      <c r="LRB40" s="191"/>
      <c r="LRC40" s="191"/>
      <c r="LRD40" s="191"/>
      <c r="LRF40" s="191"/>
      <c r="LRG40" s="191"/>
      <c r="LRH40" s="191"/>
      <c r="LRJ40" s="191"/>
      <c r="LRK40" s="191"/>
      <c r="LRL40" s="191"/>
      <c r="LRN40" s="191"/>
      <c r="LRO40" s="191"/>
      <c r="LRP40" s="191"/>
      <c r="LRR40" s="191"/>
      <c r="LRS40" s="191"/>
      <c r="LRT40" s="191"/>
      <c r="LRV40" s="191"/>
      <c r="LRW40" s="191"/>
      <c r="LRX40" s="191"/>
      <c r="LRZ40" s="191"/>
      <c r="LSA40" s="191"/>
      <c r="LSB40" s="191"/>
      <c r="LSD40" s="191"/>
      <c r="LSE40" s="191"/>
      <c r="LSF40" s="191"/>
      <c r="LSH40" s="191"/>
      <c r="LSI40" s="191"/>
      <c r="LSJ40" s="191"/>
      <c r="LSL40" s="191"/>
      <c r="LSM40" s="191"/>
      <c r="LSN40" s="191"/>
      <c r="LSP40" s="191"/>
      <c r="LSQ40" s="191"/>
      <c r="LSR40" s="191"/>
      <c r="LST40" s="191"/>
      <c r="LSU40" s="191"/>
      <c r="LSV40" s="191"/>
      <c r="LSX40" s="191"/>
      <c r="LSY40" s="191"/>
      <c r="LSZ40" s="191"/>
      <c r="LTB40" s="191"/>
      <c r="LTC40" s="191"/>
      <c r="LTD40" s="191"/>
      <c r="LTF40" s="191"/>
      <c r="LTG40" s="191"/>
      <c r="LTH40" s="191"/>
      <c r="LTJ40" s="191"/>
      <c r="LTK40" s="191"/>
      <c r="LTL40" s="191"/>
      <c r="LTN40" s="191"/>
      <c r="LTO40" s="191"/>
      <c r="LTP40" s="191"/>
      <c r="LTR40" s="191"/>
      <c r="LTS40" s="191"/>
      <c r="LTT40" s="191"/>
      <c r="LTV40" s="191"/>
      <c r="LTW40" s="191"/>
      <c r="LTX40" s="191"/>
      <c r="LTZ40" s="191"/>
      <c r="LUA40" s="191"/>
      <c r="LUB40" s="191"/>
      <c r="LUD40" s="191"/>
      <c r="LUE40" s="191"/>
      <c r="LUF40" s="191"/>
      <c r="LUH40" s="191"/>
      <c r="LUI40" s="191"/>
      <c r="LUJ40" s="191"/>
      <c r="LUL40" s="191"/>
      <c r="LUM40" s="191"/>
      <c r="LUN40" s="191"/>
      <c r="LUP40" s="191"/>
      <c r="LUQ40" s="191"/>
      <c r="LUR40" s="191"/>
      <c r="LUT40" s="191"/>
      <c r="LUU40" s="191"/>
      <c r="LUV40" s="191"/>
      <c r="LUX40" s="191"/>
      <c r="LUY40" s="191"/>
      <c r="LUZ40" s="191"/>
      <c r="LVB40" s="191"/>
      <c r="LVC40" s="191"/>
      <c r="LVD40" s="191"/>
      <c r="LVF40" s="191"/>
      <c r="LVG40" s="191"/>
      <c r="LVH40" s="191"/>
      <c r="LVJ40" s="191"/>
      <c r="LVK40" s="191"/>
      <c r="LVL40" s="191"/>
      <c r="LVN40" s="191"/>
      <c r="LVO40" s="191"/>
      <c r="LVP40" s="191"/>
      <c r="LVR40" s="191"/>
      <c r="LVS40" s="191"/>
      <c r="LVT40" s="191"/>
      <c r="LVV40" s="191"/>
      <c r="LVW40" s="191"/>
      <c r="LVX40" s="191"/>
      <c r="LVZ40" s="191"/>
      <c r="LWA40" s="191"/>
      <c r="LWB40" s="191"/>
      <c r="LWD40" s="191"/>
      <c r="LWE40" s="191"/>
      <c r="LWF40" s="191"/>
      <c r="LWH40" s="191"/>
      <c r="LWI40" s="191"/>
      <c r="LWJ40" s="191"/>
      <c r="LWL40" s="191"/>
      <c r="LWM40" s="191"/>
      <c r="LWN40" s="191"/>
      <c r="LWP40" s="191"/>
      <c r="LWQ40" s="191"/>
      <c r="LWR40" s="191"/>
      <c r="LWT40" s="191"/>
      <c r="LWU40" s="191"/>
      <c r="LWV40" s="191"/>
      <c r="LWX40" s="191"/>
      <c r="LWY40" s="191"/>
      <c r="LWZ40" s="191"/>
      <c r="LXB40" s="191"/>
      <c r="LXC40" s="191"/>
      <c r="LXD40" s="191"/>
      <c r="LXF40" s="191"/>
      <c r="LXG40" s="191"/>
      <c r="LXH40" s="191"/>
      <c r="LXJ40" s="191"/>
      <c r="LXK40" s="191"/>
      <c r="LXL40" s="191"/>
      <c r="LXN40" s="191"/>
      <c r="LXO40" s="191"/>
      <c r="LXP40" s="191"/>
      <c r="LXR40" s="191"/>
      <c r="LXS40" s="191"/>
      <c r="LXT40" s="191"/>
      <c r="LXV40" s="191"/>
      <c r="LXW40" s="191"/>
      <c r="LXX40" s="191"/>
      <c r="LXZ40" s="191"/>
      <c r="LYA40" s="191"/>
      <c r="LYB40" s="191"/>
      <c r="LYD40" s="191"/>
      <c r="LYE40" s="191"/>
      <c r="LYF40" s="191"/>
      <c r="LYH40" s="191"/>
      <c r="LYI40" s="191"/>
      <c r="LYJ40" s="191"/>
      <c r="LYL40" s="191"/>
      <c r="LYM40" s="191"/>
      <c r="LYN40" s="191"/>
      <c r="LYP40" s="191"/>
      <c r="LYQ40" s="191"/>
      <c r="LYR40" s="191"/>
      <c r="LYT40" s="191"/>
      <c r="LYU40" s="191"/>
      <c r="LYV40" s="191"/>
      <c r="LYX40" s="191"/>
      <c r="LYY40" s="191"/>
      <c r="LYZ40" s="191"/>
      <c r="LZB40" s="191"/>
      <c r="LZC40" s="191"/>
      <c r="LZD40" s="191"/>
      <c r="LZF40" s="191"/>
      <c r="LZG40" s="191"/>
      <c r="LZH40" s="191"/>
      <c r="LZJ40" s="191"/>
      <c r="LZK40" s="191"/>
      <c r="LZL40" s="191"/>
      <c r="LZN40" s="191"/>
      <c r="LZO40" s="191"/>
      <c r="LZP40" s="191"/>
      <c r="LZR40" s="191"/>
      <c r="LZS40" s="191"/>
      <c r="LZT40" s="191"/>
      <c r="LZV40" s="191"/>
      <c r="LZW40" s="191"/>
      <c r="LZX40" s="191"/>
      <c r="LZZ40" s="191"/>
      <c r="MAA40" s="191"/>
      <c r="MAB40" s="191"/>
      <c r="MAD40" s="191"/>
      <c r="MAE40" s="191"/>
      <c r="MAF40" s="191"/>
      <c r="MAH40" s="191"/>
      <c r="MAI40" s="191"/>
      <c r="MAJ40" s="191"/>
      <c r="MAL40" s="191"/>
      <c r="MAM40" s="191"/>
      <c r="MAN40" s="191"/>
      <c r="MAP40" s="191"/>
      <c r="MAQ40" s="191"/>
      <c r="MAR40" s="191"/>
      <c r="MAT40" s="191"/>
      <c r="MAU40" s="191"/>
      <c r="MAV40" s="191"/>
      <c r="MAX40" s="191"/>
      <c r="MAY40" s="191"/>
      <c r="MAZ40" s="191"/>
      <c r="MBB40" s="191"/>
      <c r="MBC40" s="191"/>
      <c r="MBD40" s="191"/>
      <c r="MBF40" s="191"/>
      <c r="MBG40" s="191"/>
      <c r="MBH40" s="191"/>
      <c r="MBJ40" s="191"/>
      <c r="MBK40" s="191"/>
      <c r="MBL40" s="191"/>
      <c r="MBN40" s="191"/>
      <c r="MBO40" s="191"/>
      <c r="MBP40" s="191"/>
      <c r="MBR40" s="191"/>
      <c r="MBS40" s="191"/>
      <c r="MBT40" s="191"/>
      <c r="MBV40" s="191"/>
      <c r="MBW40" s="191"/>
      <c r="MBX40" s="191"/>
      <c r="MBZ40" s="191"/>
      <c r="MCA40" s="191"/>
      <c r="MCB40" s="191"/>
      <c r="MCD40" s="191"/>
      <c r="MCE40" s="191"/>
      <c r="MCF40" s="191"/>
      <c r="MCH40" s="191"/>
      <c r="MCI40" s="191"/>
      <c r="MCJ40" s="191"/>
      <c r="MCL40" s="191"/>
      <c r="MCM40" s="191"/>
      <c r="MCN40" s="191"/>
      <c r="MCP40" s="191"/>
      <c r="MCQ40" s="191"/>
      <c r="MCR40" s="191"/>
      <c r="MCT40" s="191"/>
      <c r="MCU40" s="191"/>
      <c r="MCV40" s="191"/>
      <c r="MCX40" s="191"/>
      <c r="MCY40" s="191"/>
      <c r="MCZ40" s="191"/>
      <c r="MDB40" s="191"/>
      <c r="MDC40" s="191"/>
      <c r="MDD40" s="191"/>
      <c r="MDF40" s="191"/>
      <c r="MDG40" s="191"/>
      <c r="MDH40" s="191"/>
      <c r="MDJ40" s="191"/>
      <c r="MDK40" s="191"/>
      <c r="MDL40" s="191"/>
      <c r="MDN40" s="191"/>
      <c r="MDO40" s="191"/>
      <c r="MDP40" s="191"/>
      <c r="MDR40" s="191"/>
      <c r="MDS40" s="191"/>
      <c r="MDT40" s="191"/>
      <c r="MDV40" s="191"/>
      <c r="MDW40" s="191"/>
      <c r="MDX40" s="191"/>
      <c r="MDZ40" s="191"/>
      <c r="MEA40" s="191"/>
      <c r="MEB40" s="191"/>
      <c r="MED40" s="191"/>
      <c r="MEE40" s="191"/>
      <c r="MEF40" s="191"/>
      <c r="MEH40" s="191"/>
      <c r="MEI40" s="191"/>
      <c r="MEJ40" s="191"/>
      <c r="MEL40" s="191"/>
      <c r="MEM40" s="191"/>
      <c r="MEN40" s="191"/>
      <c r="MEP40" s="191"/>
      <c r="MEQ40" s="191"/>
      <c r="MER40" s="191"/>
      <c r="MET40" s="191"/>
      <c r="MEU40" s="191"/>
      <c r="MEV40" s="191"/>
      <c r="MEX40" s="191"/>
      <c r="MEY40" s="191"/>
      <c r="MEZ40" s="191"/>
      <c r="MFB40" s="191"/>
      <c r="MFC40" s="191"/>
      <c r="MFD40" s="191"/>
      <c r="MFF40" s="191"/>
      <c r="MFG40" s="191"/>
      <c r="MFH40" s="191"/>
      <c r="MFJ40" s="191"/>
      <c r="MFK40" s="191"/>
      <c r="MFL40" s="191"/>
      <c r="MFN40" s="191"/>
      <c r="MFO40" s="191"/>
      <c r="MFP40" s="191"/>
      <c r="MFR40" s="191"/>
      <c r="MFS40" s="191"/>
      <c r="MFT40" s="191"/>
      <c r="MFV40" s="191"/>
      <c r="MFW40" s="191"/>
      <c r="MFX40" s="191"/>
      <c r="MFZ40" s="191"/>
      <c r="MGA40" s="191"/>
      <c r="MGB40" s="191"/>
      <c r="MGD40" s="191"/>
      <c r="MGE40" s="191"/>
      <c r="MGF40" s="191"/>
      <c r="MGH40" s="191"/>
      <c r="MGI40" s="191"/>
      <c r="MGJ40" s="191"/>
      <c r="MGL40" s="191"/>
      <c r="MGM40" s="191"/>
      <c r="MGN40" s="191"/>
      <c r="MGP40" s="191"/>
      <c r="MGQ40" s="191"/>
      <c r="MGR40" s="191"/>
      <c r="MGT40" s="191"/>
      <c r="MGU40" s="191"/>
      <c r="MGV40" s="191"/>
      <c r="MGX40" s="191"/>
      <c r="MGY40" s="191"/>
      <c r="MGZ40" s="191"/>
      <c r="MHB40" s="191"/>
      <c r="MHC40" s="191"/>
      <c r="MHD40" s="191"/>
      <c r="MHF40" s="191"/>
      <c r="MHG40" s="191"/>
      <c r="MHH40" s="191"/>
      <c r="MHJ40" s="191"/>
      <c r="MHK40" s="191"/>
      <c r="MHL40" s="191"/>
      <c r="MHN40" s="191"/>
      <c r="MHO40" s="191"/>
      <c r="MHP40" s="191"/>
      <c r="MHR40" s="191"/>
      <c r="MHS40" s="191"/>
      <c r="MHT40" s="191"/>
      <c r="MHV40" s="191"/>
      <c r="MHW40" s="191"/>
      <c r="MHX40" s="191"/>
      <c r="MHZ40" s="191"/>
      <c r="MIA40" s="191"/>
      <c r="MIB40" s="191"/>
      <c r="MID40" s="191"/>
      <c r="MIE40" s="191"/>
      <c r="MIF40" s="191"/>
      <c r="MIH40" s="191"/>
      <c r="MII40" s="191"/>
      <c r="MIJ40" s="191"/>
      <c r="MIL40" s="191"/>
      <c r="MIM40" s="191"/>
      <c r="MIN40" s="191"/>
      <c r="MIP40" s="191"/>
      <c r="MIQ40" s="191"/>
      <c r="MIR40" s="191"/>
      <c r="MIT40" s="191"/>
      <c r="MIU40" s="191"/>
      <c r="MIV40" s="191"/>
      <c r="MIX40" s="191"/>
      <c r="MIY40" s="191"/>
      <c r="MIZ40" s="191"/>
      <c r="MJB40" s="191"/>
      <c r="MJC40" s="191"/>
      <c r="MJD40" s="191"/>
      <c r="MJF40" s="191"/>
      <c r="MJG40" s="191"/>
      <c r="MJH40" s="191"/>
      <c r="MJJ40" s="191"/>
      <c r="MJK40" s="191"/>
      <c r="MJL40" s="191"/>
      <c r="MJN40" s="191"/>
      <c r="MJO40" s="191"/>
      <c r="MJP40" s="191"/>
      <c r="MJR40" s="191"/>
      <c r="MJS40" s="191"/>
      <c r="MJT40" s="191"/>
      <c r="MJV40" s="191"/>
      <c r="MJW40" s="191"/>
      <c r="MJX40" s="191"/>
      <c r="MJZ40" s="191"/>
      <c r="MKA40" s="191"/>
      <c r="MKB40" s="191"/>
      <c r="MKD40" s="191"/>
      <c r="MKE40" s="191"/>
      <c r="MKF40" s="191"/>
      <c r="MKH40" s="191"/>
      <c r="MKI40" s="191"/>
      <c r="MKJ40" s="191"/>
      <c r="MKL40" s="191"/>
      <c r="MKM40" s="191"/>
      <c r="MKN40" s="191"/>
      <c r="MKP40" s="191"/>
      <c r="MKQ40" s="191"/>
      <c r="MKR40" s="191"/>
      <c r="MKT40" s="191"/>
      <c r="MKU40" s="191"/>
      <c r="MKV40" s="191"/>
      <c r="MKX40" s="191"/>
      <c r="MKY40" s="191"/>
      <c r="MKZ40" s="191"/>
      <c r="MLB40" s="191"/>
      <c r="MLC40" s="191"/>
      <c r="MLD40" s="191"/>
      <c r="MLF40" s="191"/>
      <c r="MLG40" s="191"/>
      <c r="MLH40" s="191"/>
      <c r="MLJ40" s="191"/>
      <c r="MLK40" s="191"/>
      <c r="MLL40" s="191"/>
      <c r="MLN40" s="191"/>
      <c r="MLO40" s="191"/>
      <c r="MLP40" s="191"/>
      <c r="MLR40" s="191"/>
      <c r="MLS40" s="191"/>
      <c r="MLT40" s="191"/>
      <c r="MLV40" s="191"/>
      <c r="MLW40" s="191"/>
      <c r="MLX40" s="191"/>
      <c r="MLZ40" s="191"/>
      <c r="MMA40" s="191"/>
      <c r="MMB40" s="191"/>
      <c r="MMD40" s="191"/>
      <c r="MME40" s="191"/>
      <c r="MMF40" s="191"/>
      <c r="MMH40" s="191"/>
      <c r="MMI40" s="191"/>
      <c r="MMJ40" s="191"/>
      <c r="MML40" s="191"/>
      <c r="MMM40" s="191"/>
      <c r="MMN40" s="191"/>
      <c r="MMP40" s="191"/>
      <c r="MMQ40" s="191"/>
      <c r="MMR40" s="191"/>
      <c r="MMT40" s="191"/>
      <c r="MMU40" s="191"/>
      <c r="MMV40" s="191"/>
      <c r="MMX40" s="191"/>
      <c r="MMY40" s="191"/>
      <c r="MMZ40" s="191"/>
      <c r="MNB40" s="191"/>
      <c r="MNC40" s="191"/>
      <c r="MND40" s="191"/>
      <c r="MNF40" s="191"/>
      <c r="MNG40" s="191"/>
      <c r="MNH40" s="191"/>
      <c r="MNJ40" s="191"/>
      <c r="MNK40" s="191"/>
      <c r="MNL40" s="191"/>
      <c r="MNN40" s="191"/>
      <c r="MNO40" s="191"/>
      <c r="MNP40" s="191"/>
      <c r="MNR40" s="191"/>
      <c r="MNS40" s="191"/>
      <c r="MNT40" s="191"/>
      <c r="MNV40" s="191"/>
      <c r="MNW40" s="191"/>
      <c r="MNX40" s="191"/>
      <c r="MNZ40" s="191"/>
      <c r="MOA40" s="191"/>
      <c r="MOB40" s="191"/>
      <c r="MOD40" s="191"/>
      <c r="MOE40" s="191"/>
      <c r="MOF40" s="191"/>
      <c r="MOH40" s="191"/>
      <c r="MOI40" s="191"/>
      <c r="MOJ40" s="191"/>
      <c r="MOL40" s="191"/>
      <c r="MOM40" s="191"/>
      <c r="MON40" s="191"/>
      <c r="MOP40" s="191"/>
      <c r="MOQ40" s="191"/>
      <c r="MOR40" s="191"/>
      <c r="MOT40" s="191"/>
      <c r="MOU40" s="191"/>
      <c r="MOV40" s="191"/>
      <c r="MOX40" s="191"/>
      <c r="MOY40" s="191"/>
      <c r="MOZ40" s="191"/>
      <c r="MPB40" s="191"/>
      <c r="MPC40" s="191"/>
      <c r="MPD40" s="191"/>
      <c r="MPF40" s="191"/>
      <c r="MPG40" s="191"/>
      <c r="MPH40" s="191"/>
      <c r="MPJ40" s="191"/>
      <c r="MPK40" s="191"/>
      <c r="MPL40" s="191"/>
      <c r="MPN40" s="191"/>
      <c r="MPO40" s="191"/>
      <c r="MPP40" s="191"/>
      <c r="MPR40" s="191"/>
      <c r="MPS40" s="191"/>
      <c r="MPT40" s="191"/>
      <c r="MPV40" s="191"/>
      <c r="MPW40" s="191"/>
      <c r="MPX40" s="191"/>
      <c r="MPZ40" s="191"/>
      <c r="MQA40" s="191"/>
      <c r="MQB40" s="191"/>
      <c r="MQD40" s="191"/>
      <c r="MQE40" s="191"/>
      <c r="MQF40" s="191"/>
      <c r="MQH40" s="191"/>
      <c r="MQI40" s="191"/>
      <c r="MQJ40" s="191"/>
      <c r="MQL40" s="191"/>
      <c r="MQM40" s="191"/>
      <c r="MQN40" s="191"/>
      <c r="MQP40" s="191"/>
      <c r="MQQ40" s="191"/>
      <c r="MQR40" s="191"/>
      <c r="MQT40" s="191"/>
      <c r="MQU40" s="191"/>
      <c r="MQV40" s="191"/>
      <c r="MQX40" s="191"/>
      <c r="MQY40" s="191"/>
      <c r="MQZ40" s="191"/>
      <c r="MRB40" s="191"/>
      <c r="MRC40" s="191"/>
      <c r="MRD40" s="191"/>
      <c r="MRF40" s="191"/>
      <c r="MRG40" s="191"/>
      <c r="MRH40" s="191"/>
      <c r="MRJ40" s="191"/>
      <c r="MRK40" s="191"/>
      <c r="MRL40" s="191"/>
      <c r="MRN40" s="191"/>
      <c r="MRO40" s="191"/>
      <c r="MRP40" s="191"/>
      <c r="MRR40" s="191"/>
      <c r="MRS40" s="191"/>
      <c r="MRT40" s="191"/>
      <c r="MRV40" s="191"/>
      <c r="MRW40" s="191"/>
      <c r="MRX40" s="191"/>
      <c r="MRZ40" s="191"/>
      <c r="MSA40" s="191"/>
      <c r="MSB40" s="191"/>
      <c r="MSD40" s="191"/>
      <c r="MSE40" s="191"/>
      <c r="MSF40" s="191"/>
      <c r="MSH40" s="191"/>
      <c r="MSI40" s="191"/>
      <c r="MSJ40" s="191"/>
      <c r="MSL40" s="191"/>
      <c r="MSM40" s="191"/>
      <c r="MSN40" s="191"/>
      <c r="MSP40" s="191"/>
      <c r="MSQ40" s="191"/>
      <c r="MSR40" s="191"/>
      <c r="MST40" s="191"/>
      <c r="MSU40" s="191"/>
      <c r="MSV40" s="191"/>
      <c r="MSX40" s="191"/>
      <c r="MSY40" s="191"/>
      <c r="MSZ40" s="191"/>
      <c r="MTB40" s="191"/>
      <c r="MTC40" s="191"/>
      <c r="MTD40" s="191"/>
      <c r="MTF40" s="191"/>
      <c r="MTG40" s="191"/>
      <c r="MTH40" s="191"/>
      <c r="MTJ40" s="191"/>
      <c r="MTK40" s="191"/>
      <c r="MTL40" s="191"/>
      <c r="MTN40" s="191"/>
      <c r="MTO40" s="191"/>
      <c r="MTP40" s="191"/>
      <c r="MTR40" s="191"/>
      <c r="MTS40" s="191"/>
      <c r="MTT40" s="191"/>
      <c r="MTV40" s="191"/>
      <c r="MTW40" s="191"/>
      <c r="MTX40" s="191"/>
      <c r="MTZ40" s="191"/>
      <c r="MUA40" s="191"/>
      <c r="MUB40" s="191"/>
      <c r="MUD40" s="191"/>
      <c r="MUE40" s="191"/>
      <c r="MUF40" s="191"/>
      <c r="MUH40" s="191"/>
      <c r="MUI40" s="191"/>
      <c r="MUJ40" s="191"/>
      <c r="MUL40" s="191"/>
      <c r="MUM40" s="191"/>
      <c r="MUN40" s="191"/>
      <c r="MUP40" s="191"/>
      <c r="MUQ40" s="191"/>
      <c r="MUR40" s="191"/>
      <c r="MUT40" s="191"/>
      <c r="MUU40" s="191"/>
      <c r="MUV40" s="191"/>
      <c r="MUX40" s="191"/>
      <c r="MUY40" s="191"/>
      <c r="MUZ40" s="191"/>
      <c r="MVB40" s="191"/>
      <c r="MVC40" s="191"/>
      <c r="MVD40" s="191"/>
      <c r="MVF40" s="191"/>
      <c r="MVG40" s="191"/>
      <c r="MVH40" s="191"/>
      <c r="MVJ40" s="191"/>
      <c r="MVK40" s="191"/>
      <c r="MVL40" s="191"/>
      <c r="MVN40" s="191"/>
      <c r="MVO40" s="191"/>
      <c r="MVP40" s="191"/>
      <c r="MVR40" s="191"/>
      <c r="MVS40" s="191"/>
      <c r="MVT40" s="191"/>
      <c r="MVV40" s="191"/>
      <c r="MVW40" s="191"/>
      <c r="MVX40" s="191"/>
      <c r="MVZ40" s="191"/>
      <c r="MWA40" s="191"/>
      <c r="MWB40" s="191"/>
      <c r="MWD40" s="191"/>
      <c r="MWE40" s="191"/>
      <c r="MWF40" s="191"/>
      <c r="MWH40" s="191"/>
      <c r="MWI40" s="191"/>
      <c r="MWJ40" s="191"/>
      <c r="MWL40" s="191"/>
      <c r="MWM40" s="191"/>
      <c r="MWN40" s="191"/>
      <c r="MWP40" s="191"/>
      <c r="MWQ40" s="191"/>
      <c r="MWR40" s="191"/>
      <c r="MWT40" s="191"/>
      <c r="MWU40" s="191"/>
      <c r="MWV40" s="191"/>
      <c r="MWX40" s="191"/>
      <c r="MWY40" s="191"/>
      <c r="MWZ40" s="191"/>
      <c r="MXB40" s="191"/>
      <c r="MXC40" s="191"/>
      <c r="MXD40" s="191"/>
      <c r="MXF40" s="191"/>
      <c r="MXG40" s="191"/>
      <c r="MXH40" s="191"/>
      <c r="MXJ40" s="191"/>
      <c r="MXK40" s="191"/>
      <c r="MXL40" s="191"/>
      <c r="MXN40" s="191"/>
      <c r="MXO40" s="191"/>
      <c r="MXP40" s="191"/>
      <c r="MXR40" s="191"/>
      <c r="MXS40" s="191"/>
      <c r="MXT40" s="191"/>
      <c r="MXV40" s="191"/>
      <c r="MXW40" s="191"/>
      <c r="MXX40" s="191"/>
      <c r="MXZ40" s="191"/>
      <c r="MYA40" s="191"/>
      <c r="MYB40" s="191"/>
      <c r="MYD40" s="191"/>
      <c r="MYE40" s="191"/>
      <c r="MYF40" s="191"/>
      <c r="MYH40" s="191"/>
      <c r="MYI40" s="191"/>
      <c r="MYJ40" s="191"/>
      <c r="MYL40" s="191"/>
      <c r="MYM40" s="191"/>
      <c r="MYN40" s="191"/>
      <c r="MYP40" s="191"/>
      <c r="MYQ40" s="191"/>
      <c r="MYR40" s="191"/>
      <c r="MYT40" s="191"/>
      <c r="MYU40" s="191"/>
      <c r="MYV40" s="191"/>
      <c r="MYX40" s="191"/>
      <c r="MYY40" s="191"/>
      <c r="MYZ40" s="191"/>
      <c r="MZB40" s="191"/>
      <c r="MZC40" s="191"/>
      <c r="MZD40" s="191"/>
      <c r="MZF40" s="191"/>
      <c r="MZG40" s="191"/>
      <c r="MZH40" s="191"/>
      <c r="MZJ40" s="191"/>
      <c r="MZK40" s="191"/>
      <c r="MZL40" s="191"/>
      <c r="MZN40" s="191"/>
      <c r="MZO40" s="191"/>
      <c r="MZP40" s="191"/>
      <c r="MZR40" s="191"/>
      <c r="MZS40" s="191"/>
      <c r="MZT40" s="191"/>
      <c r="MZV40" s="191"/>
      <c r="MZW40" s="191"/>
      <c r="MZX40" s="191"/>
      <c r="MZZ40" s="191"/>
      <c r="NAA40" s="191"/>
      <c r="NAB40" s="191"/>
      <c r="NAD40" s="191"/>
      <c r="NAE40" s="191"/>
      <c r="NAF40" s="191"/>
      <c r="NAH40" s="191"/>
      <c r="NAI40" s="191"/>
      <c r="NAJ40" s="191"/>
      <c r="NAL40" s="191"/>
      <c r="NAM40" s="191"/>
      <c r="NAN40" s="191"/>
      <c r="NAP40" s="191"/>
      <c r="NAQ40" s="191"/>
      <c r="NAR40" s="191"/>
      <c r="NAT40" s="191"/>
      <c r="NAU40" s="191"/>
      <c r="NAV40" s="191"/>
      <c r="NAX40" s="191"/>
      <c r="NAY40" s="191"/>
      <c r="NAZ40" s="191"/>
      <c r="NBB40" s="191"/>
      <c r="NBC40" s="191"/>
      <c r="NBD40" s="191"/>
      <c r="NBF40" s="191"/>
      <c r="NBG40" s="191"/>
      <c r="NBH40" s="191"/>
      <c r="NBJ40" s="191"/>
      <c r="NBK40" s="191"/>
      <c r="NBL40" s="191"/>
      <c r="NBN40" s="191"/>
      <c r="NBO40" s="191"/>
      <c r="NBP40" s="191"/>
      <c r="NBR40" s="191"/>
      <c r="NBS40" s="191"/>
      <c r="NBT40" s="191"/>
      <c r="NBV40" s="191"/>
      <c r="NBW40" s="191"/>
      <c r="NBX40" s="191"/>
      <c r="NBZ40" s="191"/>
      <c r="NCA40" s="191"/>
      <c r="NCB40" s="191"/>
      <c r="NCD40" s="191"/>
      <c r="NCE40" s="191"/>
      <c r="NCF40" s="191"/>
      <c r="NCH40" s="191"/>
      <c r="NCI40" s="191"/>
      <c r="NCJ40" s="191"/>
      <c r="NCL40" s="191"/>
      <c r="NCM40" s="191"/>
      <c r="NCN40" s="191"/>
      <c r="NCP40" s="191"/>
      <c r="NCQ40" s="191"/>
      <c r="NCR40" s="191"/>
      <c r="NCT40" s="191"/>
      <c r="NCU40" s="191"/>
      <c r="NCV40" s="191"/>
      <c r="NCX40" s="191"/>
      <c r="NCY40" s="191"/>
      <c r="NCZ40" s="191"/>
      <c r="NDB40" s="191"/>
      <c r="NDC40" s="191"/>
      <c r="NDD40" s="191"/>
      <c r="NDF40" s="191"/>
      <c r="NDG40" s="191"/>
      <c r="NDH40" s="191"/>
      <c r="NDJ40" s="191"/>
      <c r="NDK40" s="191"/>
      <c r="NDL40" s="191"/>
      <c r="NDN40" s="191"/>
      <c r="NDO40" s="191"/>
      <c r="NDP40" s="191"/>
      <c r="NDR40" s="191"/>
      <c r="NDS40" s="191"/>
      <c r="NDT40" s="191"/>
      <c r="NDV40" s="191"/>
      <c r="NDW40" s="191"/>
      <c r="NDX40" s="191"/>
      <c r="NDZ40" s="191"/>
      <c r="NEA40" s="191"/>
      <c r="NEB40" s="191"/>
      <c r="NED40" s="191"/>
      <c r="NEE40" s="191"/>
      <c r="NEF40" s="191"/>
      <c r="NEH40" s="191"/>
      <c r="NEI40" s="191"/>
      <c r="NEJ40" s="191"/>
      <c r="NEL40" s="191"/>
      <c r="NEM40" s="191"/>
      <c r="NEN40" s="191"/>
      <c r="NEP40" s="191"/>
      <c r="NEQ40" s="191"/>
      <c r="NER40" s="191"/>
      <c r="NET40" s="191"/>
      <c r="NEU40" s="191"/>
      <c r="NEV40" s="191"/>
      <c r="NEX40" s="191"/>
      <c r="NEY40" s="191"/>
      <c r="NEZ40" s="191"/>
      <c r="NFB40" s="191"/>
      <c r="NFC40" s="191"/>
      <c r="NFD40" s="191"/>
      <c r="NFF40" s="191"/>
      <c r="NFG40" s="191"/>
      <c r="NFH40" s="191"/>
      <c r="NFJ40" s="191"/>
      <c r="NFK40" s="191"/>
      <c r="NFL40" s="191"/>
      <c r="NFN40" s="191"/>
      <c r="NFO40" s="191"/>
      <c r="NFP40" s="191"/>
      <c r="NFR40" s="191"/>
      <c r="NFS40" s="191"/>
      <c r="NFT40" s="191"/>
      <c r="NFV40" s="191"/>
      <c r="NFW40" s="191"/>
      <c r="NFX40" s="191"/>
      <c r="NFZ40" s="191"/>
      <c r="NGA40" s="191"/>
      <c r="NGB40" s="191"/>
      <c r="NGD40" s="191"/>
      <c r="NGE40" s="191"/>
      <c r="NGF40" s="191"/>
      <c r="NGH40" s="191"/>
      <c r="NGI40" s="191"/>
      <c r="NGJ40" s="191"/>
      <c r="NGL40" s="191"/>
      <c r="NGM40" s="191"/>
      <c r="NGN40" s="191"/>
      <c r="NGP40" s="191"/>
      <c r="NGQ40" s="191"/>
      <c r="NGR40" s="191"/>
      <c r="NGT40" s="191"/>
      <c r="NGU40" s="191"/>
      <c r="NGV40" s="191"/>
      <c r="NGX40" s="191"/>
      <c r="NGY40" s="191"/>
      <c r="NGZ40" s="191"/>
      <c r="NHB40" s="191"/>
      <c r="NHC40" s="191"/>
      <c r="NHD40" s="191"/>
      <c r="NHF40" s="191"/>
      <c r="NHG40" s="191"/>
      <c r="NHH40" s="191"/>
      <c r="NHJ40" s="191"/>
      <c r="NHK40" s="191"/>
      <c r="NHL40" s="191"/>
      <c r="NHN40" s="191"/>
      <c r="NHO40" s="191"/>
      <c r="NHP40" s="191"/>
      <c r="NHR40" s="191"/>
      <c r="NHS40" s="191"/>
      <c r="NHT40" s="191"/>
      <c r="NHV40" s="191"/>
      <c r="NHW40" s="191"/>
      <c r="NHX40" s="191"/>
      <c r="NHZ40" s="191"/>
      <c r="NIA40" s="191"/>
      <c r="NIB40" s="191"/>
      <c r="NID40" s="191"/>
      <c r="NIE40" s="191"/>
      <c r="NIF40" s="191"/>
      <c r="NIH40" s="191"/>
      <c r="NII40" s="191"/>
      <c r="NIJ40" s="191"/>
      <c r="NIL40" s="191"/>
      <c r="NIM40" s="191"/>
      <c r="NIN40" s="191"/>
      <c r="NIP40" s="191"/>
      <c r="NIQ40" s="191"/>
      <c r="NIR40" s="191"/>
      <c r="NIT40" s="191"/>
      <c r="NIU40" s="191"/>
      <c r="NIV40" s="191"/>
      <c r="NIX40" s="191"/>
      <c r="NIY40" s="191"/>
      <c r="NIZ40" s="191"/>
      <c r="NJB40" s="191"/>
      <c r="NJC40" s="191"/>
      <c r="NJD40" s="191"/>
      <c r="NJF40" s="191"/>
      <c r="NJG40" s="191"/>
      <c r="NJH40" s="191"/>
      <c r="NJJ40" s="191"/>
      <c r="NJK40" s="191"/>
      <c r="NJL40" s="191"/>
      <c r="NJN40" s="191"/>
      <c r="NJO40" s="191"/>
      <c r="NJP40" s="191"/>
      <c r="NJR40" s="191"/>
      <c r="NJS40" s="191"/>
      <c r="NJT40" s="191"/>
      <c r="NJV40" s="191"/>
      <c r="NJW40" s="191"/>
      <c r="NJX40" s="191"/>
      <c r="NJZ40" s="191"/>
      <c r="NKA40" s="191"/>
      <c r="NKB40" s="191"/>
      <c r="NKD40" s="191"/>
      <c r="NKE40" s="191"/>
      <c r="NKF40" s="191"/>
      <c r="NKH40" s="191"/>
      <c r="NKI40" s="191"/>
      <c r="NKJ40" s="191"/>
      <c r="NKL40" s="191"/>
      <c r="NKM40" s="191"/>
      <c r="NKN40" s="191"/>
      <c r="NKP40" s="191"/>
      <c r="NKQ40" s="191"/>
      <c r="NKR40" s="191"/>
      <c r="NKT40" s="191"/>
      <c r="NKU40" s="191"/>
      <c r="NKV40" s="191"/>
      <c r="NKX40" s="191"/>
      <c r="NKY40" s="191"/>
      <c r="NKZ40" s="191"/>
      <c r="NLB40" s="191"/>
      <c r="NLC40" s="191"/>
      <c r="NLD40" s="191"/>
      <c r="NLF40" s="191"/>
      <c r="NLG40" s="191"/>
      <c r="NLH40" s="191"/>
      <c r="NLJ40" s="191"/>
      <c r="NLK40" s="191"/>
      <c r="NLL40" s="191"/>
      <c r="NLN40" s="191"/>
      <c r="NLO40" s="191"/>
      <c r="NLP40" s="191"/>
      <c r="NLR40" s="191"/>
      <c r="NLS40" s="191"/>
      <c r="NLT40" s="191"/>
      <c r="NLV40" s="191"/>
      <c r="NLW40" s="191"/>
      <c r="NLX40" s="191"/>
      <c r="NLZ40" s="191"/>
      <c r="NMA40" s="191"/>
      <c r="NMB40" s="191"/>
      <c r="NMD40" s="191"/>
      <c r="NME40" s="191"/>
      <c r="NMF40" s="191"/>
      <c r="NMH40" s="191"/>
      <c r="NMI40" s="191"/>
      <c r="NMJ40" s="191"/>
      <c r="NML40" s="191"/>
      <c r="NMM40" s="191"/>
      <c r="NMN40" s="191"/>
      <c r="NMP40" s="191"/>
      <c r="NMQ40" s="191"/>
      <c r="NMR40" s="191"/>
      <c r="NMT40" s="191"/>
      <c r="NMU40" s="191"/>
      <c r="NMV40" s="191"/>
      <c r="NMX40" s="191"/>
      <c r="NMY40" s="191"/>
      <c r="NMZ40" s="191"/>
      <c r="NNB40" s="191"/>
      <c r="NNC40" s="191"/>
      <c r="NND40" s="191"/>
      <c r="NNF40" s="191"/>
      <c r="NNG40" s="191"/>
      <c r="NNH40" s="191"/>
      <c r="NNJ40" s="191"/>
      <c r="NNK40" s="191"/>
      <c r="NNL40" s="191"/>
      <c r="NNN40" s="191"/>
      <c r="NNO40" s="191"/>
      <c r="NNP40" s="191"/>
      <c r="NNR40" s="191"/>
      <c r="NNS40" s="191"/>
      <c r="NNT40" s="191"/>
      <c r="NNV40" s="191"/>
      <c r="NNW40" s="191"/>
      <c r="NNX40" s="191"/>
      <c r="NNZ40" s="191"/>
      <c r="NOA40" s="191"/>
      <c r="NOB40" s="191"/>
      <c r="NOD40" s="191"/>
      <c r="NOE40" s="191"/>
      <c r="NOF40" s="191"/>
      <c r="NOH40" s="191"/>
      <c r="NOI40" s="191"/>
      <c r="NOJ40" s="191"/>
      <c r="NOL40" s="191"/>
      <c r="NOM40" s="191"/>
      <c r="NON40" s="191"/>
      <c r="NOP40" s="191"/>
      <c r="NOQ40" s="191"/>
      <c r="NOR40" s="191"/>
      <c r="NOT40" s="191"/>
      <c r="NOU40" s="191"/>
      <c r="NOV40" s="191"/>
      <c r="NOX40" s="191"/>
      <c r="NOY40" s="191"/>
      <c r="NOZ40" s="191"/>
      <c r="NPB40" s="191"/>
      <c r="NPC40" s="191"/>
      <c r="NPD40" s="191"/>
      <c r="NPF40" s="191"/>
      <c r="NPG40" s="191"/>
      <c r="NPH40" s="191"/>
      <c r="NPJ40" s="191"/>
      <c r="NPK40" s="191"/>
      <c r="NPL40" s="191"/>
      <c r="NPN40" s="191"/>
      <c r="NPO40" s="191"/>
      <c r="NPP40" s="191"/>
      <c r="NPR40" s="191"/>
      <c r="NPS40" s="191"/>
      <c r="NPT40" s="191"/>
      <c r="NPV40" s="191"/>
      <c r="NPW40" s="191"/>
      <c r="NPX40" s="191"/>
      <c r="NPZ40" s="191"/>
      <c r="NQA40" s="191"/>
      <c r="NQB40" s="191"/>
      <c r="NQD40" s="191"/>
      <c r="NQE40" s="191"/>
      <c r="NQF40" s="191"/>
      <c r="NQH40" s="191"/>
      <c r="NQI40" s="191"/>
      <c r="NQJ40" s="191"/>
      <c r="NQL40" s="191"/>
      <c r="NQM40" s="191"/>
      <c r="NQN40" s="191"/>
      <c r="NQP40" s="191"/>
      <c r="NQQ40" s="191"/>
      <c r="NQR40" s="191"/>
      <c r="NQT40" s="191"/>
      <c r="NQU40" s="191"/>
      <c r="NQV40" s="191"/>
      <c r="NQX40" s="191"/>
      <c r="NQY40" s="191"/>
      <c r="NQZ40" s="191"/>
      <c r="NRB40" s="191"/>
      <c r="NRC40" s="191"/>
      <c r="NRD40" s="191"/>
      <c r="NRF40" s="191"/>
      <c r="NRG40" s="191"/>
      <c r="NRH40" s="191"/>
      <c r="NRJ40" s="191"/>
      <c r="NRK40" s="191"/>
      <c r="NRL40" s="191"/>
      <c r="NRN40" s="191"/>
      <c r="NRO40" s="191"/>
      <c r="NRP40" s="191"/>
      <c r="NRR40" s="191"/>
      <c r="NRS40" s="191"/>
      <c r="NRT40" s="191"/>
      <c r="NRV40" s="191"/>
      <c r="NRW40" s="191"/>
      <c r="NRX40" s="191"/>
      <c r="NRZ40" s="191"/>
      <c r="NSA40" s="191"/>
      <c r="NSB40" s="191"/>
      <c r="NSD40" s="191"/>
      <c r="NSE40" s="191"/>
      <c r="NSF40" s="191"/>
      <c r="NSH40" s="191"/>
      <c r="NSI40" s="191"/>
      <c r="NSJ40" s="191"/>
      <c r="NSL40" s="191"/>
      <c r="NSM40" s="191"/>
      <c r="NSN40" s="191"/>
      <c r="NSP40" s="191"/>
      <c r="NSQ40" s="191"/>
      <c r="NSR40" s="191"/>
      <c r="NST40" s="191"/>
      <c r="NSU40" s="191"/>
      <c r="NSV40" s="191"/>
      <c r="NSX40" s="191"/>
      <c r="NSY40" s="191"/>
      <c r="NSZ40" s="191"/>
      <c r="NTB40" s="191"/>
      <c r="NTC40" s="191"/>
      <c r="NTD40" s="191"/>
      <c r="NTF40" s="191"/>
      <c r="NTG40" s="191"/>
      <c r="NTH40" s="191"/>
      <c r="NTJ40" s="191"/>
      <c r="NTK40" s="191"/>
      <c r="NTL40" s="191"/>
      <c r="NTN40" s="191"/>
      <c r="NTO40" s="191"/>
      <c r="NTP40" s="191"/>
      <c r="NTR40" s="191"/>
      <c r="NTS40" s="191"/>
      <c r="NTT40" s="191"/>
      <c r="NTV40" s="191"/>
      <c r="NTW40" s="191"/>
      <c r="NTX40" s="191"/>
      <c r="NTZ40" s="191"/>
      <c r="NUA40" s="191"/>
      <c r="NUB40" s="191"/>
      <c r="NUD40" s="191"/>
      <c r="NUE40" s="191"/>
      <c r="NUF40" s="191"/>
      <c r="NUH40" s="191"/>
      <c r="NUI40" s="191"/>
      <c r="NUJ40" s="191"/>
      <c r="NUL40" s="191"/>
      <c r="NUM40" s="191"/>
      <c r="NUN40" s="191"/>
      <c r="NUP40" s="191"/>
      <c r="NUQ40" s="191"/>
      <c r="NUR40" s="191"/>
      <c r="NUT40" s="191"/>
      <c r="NUU40" s="191"/>
      <c r="NUV40" s="191"/>
      <c r="NUX40" s="191"/>
      <c r="NUY40" s="191"/>
      <c r="NUZ40" s="191"/>
      <c r="NVB40" s="191"/>
      <c r="NVC40" s="191"/>
      <c r="NVD40" s="191"/>
      <c r="NVF40" s="191"/>
      <c r="NVG40" s="191"/>
      <c r="NVH40" s="191"/>
      <c r="NVJ40" s="191"/>
      <c r="NVK40" s="191"/>
      <c r="NVL40" s="191"/>
      <c r="NVN40" s="191"/>
      <c r="NVO40" s="191"/>
      <c r="NVP40" s="191"/>
      <c r="NVR40" s="191"/>
      <c r="NVS40" s="191"/>
      <c r="NVT40" s="191"/>
      <c r="NVV40" s="191"/>
      <c r="NVW40" s="191"/>
      <c r="NVX40" s="191"/>
      <c r="NVZ40" s="191"/>
      <c r="NWA40" s="191"/>
      <c r="NWB40" s="191"/>
      <c r="NWD40" s="191"/>
      <c r="NWE40" s="191"/>
      <c r="NWF40" s="191"/>
      <c r="NWH40" s="191"/>
      <c r="NWI40" s="191"/>
      <c r="NWJ40" s="191"/>
      <c r="NWL40" s="191"/>
      <c r="NWM40" s="191"/>
      <c r="NWN40" s="191"/>
      <c r="NWP40" s="191"/>
      <c r="NWQ40" s="191"/>
      <c r="NWR40" s="191"/>
      <c r="NWT40" s="191"/>
      <c r="NWU40" s="191"/>
      <c r="NWV40" s="191"/>
      <c r="NWX40" s="191"/>
      <c r="NWY40" s="191"/>
      <c r="NWZ40" s="191"/>
      <c r="NXB40" s="191"/>
      <c r="NXC40" s="191"/>
      <c r="NXD40" s="191"/>
      <c r="NXF40" s="191"/>
      <c r="NXG40" s="191"/>
      <c r="NXH40" s="191"/>
      <c r="NXJ40" s="191"/>
      <c r="NXK40" s="191"/>
      <c r="NXL40" s="191"/>
      <c r="NXN40" s="191"/>
      <c r="NXO40" s="191"/>
      <c r="NXP40" s="191"/>
      <c r="NXR40" s="191"/>
      <c r="NXS40" s="191"/>
      <c r="NXT40" s="191"/>
      <c r="NXV40" s="191"/>
      <c r="NXW40" s="191"/>
      <c r="NXX40" s="191"/>
      <c r="NXZ40" s="191"/>
      <c r="NYA40" s="191"/>
      <c r="NYB40" s="191"/>
      <c r="NYD40" s="191"/>
      <c r="NYE40" s="191"/>
      <c r="NYF40" s="191"/>
      <c r="NYH40" s="191"/>
      <c r="NYI40" s="191"/>
      <c r="NYJ40" s="191"/>
      <c r="NYL40" s="191"/>
      <c r="NYM40" s="191"/>
      <c r="NYN40" s="191"/>
      <c r="NYP40" s="191"/>
      <c r="NYQ40" s="191"/>
      <c r="NYR40" s="191"/>
      <c r="NYT40" s="191"/>
      <c r="NYU40" s="191"/>
      <c r="NYV40" s="191"/>
      <c r="NYX40" s="191"/>
      <c r="NYY40" s="191"/>
      <c r="NYZ40" s="191"/>
      <c r="NZB40" s="191"/>
      <c r="NZC40" s="191"/>
      <c r="NZD40" s="191"/>
      <c r="NZF40" s="191"/>
      <c r="NZG40" s="191"/>
      <c r="NZH40" s="191"/>
      <c r="NZJ40" s="191"/>
      <c r="NZK40" s="191"/>
      <c r="NZL40" s="191"/>
      <c r="NZN40" s="191"/>
      <c r="NZO40" s="191"/>
      <c r="NZP40" s="191"/>
      <c r="NZR40" s="191"/>
      <c r="NZS40" s="191"/>
      <c r="NZT40" s="191"/>
      <c r="NZV40" s="191"/>
      <c r="NZW40" s="191"/>
      <c r="NZX40" s="191"/>
      <c r="NZZ40" s="191"/>
      <c r="OAA40" s="191"/>
      <c r="OAB40" s="191"/>
      <c r="OAD40" s="191"/>
      <c r="OAE40" s="191"/>
      <c r="OAF40" s="191"/>
      <c r="OAH40" s="191"/>
      <c r="OAI40" s="191"/>
      <c r="OAJ40" s="191"/>
      <c r="OAL40" s="191"/>
      <c r="OAM40" s="191"/>
      <c r="OAN40" s="191"/>
      <c r="OAP40" s="191"/>
      <c r="OAQ40" s="191"/>
      <c r="OAR40" s="191"/>
      <c r="OAT40" s="191"/>
      <c r="OAU40" s="191"/>
      <c r="OAV40" s="191"/>
      <c r="OAX40" s="191"/>
      <c r="OAY40" s="191"/>
      <c r="OAZ40" s="191"/>
      <c r="OBB40" s="191"/>
      <c r="OBC40" s="191"/>
      <c r="OBD40" s="191"/>
      <c r="OBF40" s="191"/>
      <c r="OBG40" s="191"/>
      <c r="OBH40" s="191"/>
      <c r="OBJ40" s="191"/>
      <c r="OBK40" s="191"/>
      <c r="OBL40" s="191"/>
      <c r="OBN40" s="191"/>
      <c r="OBO40" s="191"/>
      <c r="OBP40" s="191"/>
      <c r="OBR40" s="191"/>
      <c r="OBS40" s="191"/>
      <c r="OBT40" s="191"/>
      <c r="OBV40" s="191"/>
      <c r="OBW40" s="191"/>
      <c r="OBX40" s="191"/>
      <c r="OBZ40" s="191"/>
      <c r="OCA40" s="191"/>
      <c r="OCB40" s="191"/>
      <c r="OCD40" s="191"/>
      <c r="OCE40" s="191"/>
      <c r="OCF40" s="191"/>
      <c r="OCH40" s="191"/>
      <c r="OCI40" s="191"/>
      <c r="OCJ40" s="191"/>
      <c r="OCL40" s="191"/>
      <c r="OCM40" s="191"/>
      <c r="OCN40" s="191"/>
      <c r="OCP40" s="191"/>
      <c r="OCQ40" s="191"/>
      <c r="OCR40" s="191"/>
      <c r="OCT40" s="191"/>
      <c r="OCU40" s="191"/>
      <c r="OCV40" s="191"/>
      <c r="OCX40" s="191"/>
      <c r="OCY40" s="191"/>
      <c r="OCZ40" s="191"/>
      <c r="ODB40" s="191"/>
      <c r="ODC40" s="191"/>
      <c r="ODD40" s="191"/>
      <c r="ODF40" s="191"/>
      <c r="ODG40" s="191"/>
      <c r="ODH40" s="191"/>
      <c r="ODJ40" s="191"/>
      <c r="ODK40" s="191"/>
      <c r="ODL40" s="191"/>
      <c r="ODN40" s="191"/>
      <c r="ODO40" s="191"/>
      <c r="ODP40" s="191"/>
      <c r="ODR40" s="191"/>
      <c r="ODS40" s="191"/>
      <c r="ODT40" s="191"/>
      <c r="ODV40" s="191"/>
      <c r="ODW40" s="191"/>
      <c r="ODX40" s="191"/>
      <c r="ODZ40" s="191"/>
      <c r="OEA40" s="191"/>
      <c r="OEB40" s="191"/>
      <c r="OED40" s="191"/>
      <c r="OEE40" s="191"/>
      <c r="OEF40" s="191"/>
      <c r="OEH40" s="191"/>
      <c r="OEI40" s="191"/>
      <c r="OEJ40" s="191"/>
      <c r="OEL40" s="191"/>
      <c r="OEM40" s="191"/>
      <c r="OEN40" s="191"/>
      <c r="OEP40" s="191"/>
      <c r="OEQ40" s="191"/>
      <c r="OER40" s="191"/>
      <c r="OET40" s="191"/>
      <c r="OEU40" s="191"/>
      <c r="OEV40" s="191"/>
      <c r="OEX40" s="191"/>
      <c r="OEY40" s="191"/>
      <c r="OEZ40" s="191"/>
      <c r="OFB40" s="191"/>
      <c r="OFC40" s="191"/>
      <c r="OFD40" s="191"/>
      <c r="OFF40" s="191"/>
      <c r="OFG40" s="191"/>
      <c r="OFH40" s="191"/>
      <c r="OFJ40" s="191"/>
      <c r="OFK40" s="191"/>
      <c r="OFL40" s="191"/>
      <c r="OFN40" s="191"/>
      <c r="OFO40" s="191"/>
      <c r="OFP40" s="191"/>
      <c r="OFR40" s="191"/>
      <c r="OFS40" s="191"/>
      <c r="OFT40" s="191"/>
      <c r="OFV40" s="191"/>
      <c r="OFW40" s="191"/>
      <c r="OFX40" s="191"/>
      <c r="OFZ40" s="191"/>
      <c r="OGA40" s="191"/>
      <c r="OGB40" s="191"/>
      <c r="OGD40" s="191"/>
      <c r="OGE40" s="191"/>
      <c r="OGF40" s="191"/>
      <c r="OGH40" s="191"/>
      <c r="OGI40" s="191"/>
      <c r="OGJ40" s="191"/>
      <c r="OGL40" s="191"/>
      <c r="OGM40" s="191"/>
      <c r="OGN40" s="191"/>
      <c r="OGP40" s="191"/>
      <c r="OGQ40" s="191"/>
      <c r="OGR40" s="191"/>
      <c r="OGT40" s="191"/>
      <c r="OGU40" s="191"/>
      <c r="OGV40" s="191"/>
      <c r="OGX40" s="191"/>
      <c r="OGY40" s="191"/>
      <c r="OGZ40" s="191"/>
      <c r="OHB40" s="191"/>
      <c r="OHC40" s="191"/>
      <c r="OHD40" s="191"/>
      <c r="OHF40" s="191"/>
      <c r="OHG40" s="191"/>
      <c r="OHH40" s="191"/>
      <c r="OHJ40" s="191"/>
      <c r="OHK40" s="191"/>
      <c r="OHL40" s="191"/>
      <c r="OHN40" s="191"/>
      <c r="OHO40" s="191"/>
      <c r="OHP40" s="191"/>
      <c r="OHR40" s="191"/>
      <c r="OHS40" s="191"/>
      <c r="OHT40" s="191"/>
      <c r="OHV40" s="191"/>
      <c r="OHW40" s="191"/>
      <c r="OHX40" s="191"/>
      <c r="OHZ40" s="191"/>
      <c r="OIA40" s="191"/>
      <c r="OIB40" s="191"/>
      <c r="OID40" s="191"/>
      <c r="OIE40" s="191"/>
      <c r="OIF40" s="191"/>
      <c r="OIH40" s="191"/>
      <c r="OII40" s="191"/>
      <c r="OIJ40" s="191"/>
      <c r="OIL40" s="191"/>
      <c r="OIM40" s="191"/>
      <c r="OIN40" s="191"/>
      <c r="OIP40" s="191"/>
      <c r="OIQ40" s="191"/>
      <c r="OIR40" s="191"/>
      <c r="OIT40" s="191"/>
      <c r="OIU40" s="191"/>
      <c r="OIV40" s="191"/>
      <c r="OIX40" s="191"/>
      <c r="OIY40" s="191"/>
      <c r="OIZ40" s="191"/>
      <c r="OJB40" s="191"/>
      <c r="OJC40" s="191"/>
      <c r="OJD40" s="191"/>
      <c r="OJF40" s="191"/>
      <c r="OJG40" s="191"/>
      <c r="OJH40" s="191"/>
      <c r="OJJ40" s="191"/>
      <c r="OJK40" s="191"/>
      <c r="OJL40" s="191"/>
      <c r="OJN40" s="191"/>
      <c r="OJO40" s="191"/>
      <c r="OJP40" s="191"/>
      <c r="OJR40" s="191"/>
      <c r="OJS40" s="191"/>
      <c r="OJT40" s="191"/>
      <c r="OJV40" s="191"/>
      <c r="OJW40" s="191"/>
      <c r="OJX40" s="191"/>
      <c r="OJZ40" s="191"/>
      <c r="OKA40" s="191"/>
      <c r="OKB40" s="191"/>
      <c r="OKD40" s="191"/>
      <c r="OKE40" s="191"/>
      <c r="OKF40" s="191"/>
      <c r="OKH40" s="191"/>
      <c r="OKI40" s="191"/>
      <c r="OKJ40" s="191"/>
      <c r="OKL40" s="191"/>
      <c r="OKM40" s="191"/>
      <c r="OKN40" s="191"/>
      <c r="OKP40" s="191"/>
      <c r="OKQ40" s="191"/>
      <c r="OKR40" s="191"/>
      <c r="OKT40" s="191"/>
      <c r="OKU40" s="191"/>
      <c r="OKV40" s="191"/>
      <c r="OKX40" s="191"/>
      <c r="OKY40" s="191"/>
      <c r="OKZ40" s="191"/>
      <c r="OLB40" s="191"/>
      <c r="OLC40" s="191"/>
      <c r="OLD40" s="191"/>
      <c r="OLF40" s="191"/>
      <c r="OLG40" s="191"/>
      <c r="OLH40" s="191"/>
      <c r="OLJ40" s="191"/>
      <c r="OLK40" s="191"/>
      <c r="OLL40" s="191"/>
      <c r="OLN40" s="191"/>
      <c r="OLO40" s="191"/>
      <c r="OLP40" s="191"/>
      <c r="OLR40" s="191"/>
      <c r="OLS40" s="191"/>
      <c r="OLT40" s="191"/>
      <c r="OLV40" s="191"/>
      <c r="OLW40" s="191"/>
      <c r="OLX40" s="191"/>
      <c r="OLZ40" s="191"/>
      <c r="OMA40" s="191"/>
      <c r="OMB40" s="191"/>
      <c r="OMD40" s="191"/>
      <c r="OME40" s="191"/>
      <c r="OMF40" s="191"/>
      <c r="OMH40" s="191"/>
      <c r="OMI40" s="191"/>
      <c r="OMJ40" s="191"/>
      <c r="OML40" s="191"/>
      <c r="OMM40" s="191"/>
      <c r="OMN40" s="191"/>
      <c r="OMP40" s="191"/>
      <c r="OMQ40" s="191"/>
      <c r="OMR40" s="191"/>
      <c r="OMT40" s="191"/>
      <c r="OMU40" s="191"/>
      <c r="OMV40" s="191"/>
      <c r="OMX40" s="191"/>
      <c r="OMY40" s="191"/>
      <c r="OMZ40" s="191"/>
      <c r="ONB40" s="191"/>
      <c r="ONC40" s="191"/>
      <c r="OND40" s="191"/>
      <c r="ONF40" s="191"/>
      <c r="ONG40" s="191"/>
      <c r="ONH40" s="191"/>
      <c r="ONJ40" s="191"/>
      <c r="ONK40" s="191"/>
      <c r="ONL40" s="191"/>
      <c r="ONN40" s="191"/>
      <c r="ONO40" s="191"/>
      <c r="ONP40" s="191"/>
      <c r="ONR40" s="191"/>
      <c r="ONS40" s="191"/>
      <c r="ONT40" s="191"/>
      <c r="ONV40" s="191"/>
      <c r="ONW40" s="191"/>
      <c r="ONX40" s="191"/>
      <c r="ONZ40" s="191"/>
      <c r="OOA40" s="191"/>
      <c r="OOB40" s="191"/>
      <c r="OOD40" s="191"/>
      <c r="OOE40" s="191"/>
      <c r="OOF40" s="191"/>
      <c r="OOH40" s="191"/>
      <c r="OOI40" s="191"/>
      <c r="OOJ40" s="191"/>
      <c r="OOL40" s="191"/>
      <c r="OOM40" s="191"/>
      <c r="OON40" s="191"/>
      <c r="OOP40" s="191"/>
      <c r="OOQ40" s="191"/>
      <c r="OOR40" s="191"/>
      <c r="OOT40" s="191"/>
      <c r="OOU40" s="191"/>
      <c r="OOV40" s="191"/>
      <c r="OOX40" s="191"/>
      <c r="OOY40" s="191"/>
      <c r="OOZ40" s="191"/>
      <c r="OPB40" s="191"/>
      <c r="OPC40" s="191"/>
      <c r="OPD40" s="191"/>
      <c r="OPF40" s="191"/>
      <c r="OPG40" s="191"/>
      <c r="OPH40" s="191"/>
      <c r="OPJ40" s="191"/>
      <c r="OPK40" s="191"/>
      <c r="OPL40" s="191"/>
      <c r="OPN40" s="191"/>
      <c r="OPO40" s="191"/>
      <c r="OPP40" s="191"/>
      <c r="OPR40" s="191"/>
      <c r="OPS40" s="191"/>
      <c r="OPT40" s="191"/>
      <c r="OPV40" s="191"/>
      <c r="OPW40" s="191"/>
      <c r="OPX40" s="191"/>
      <c r="OPZ40" s="191"/>
      <c r="OQA40" s="191"/>
      <c r="OQB40" s="191"/>
      <c r="OQD40" s="191"/>
      <c r="OQE40" s="191"/>
      <c r="OQF40" s="191"/>
      <c r="OQH40" s="191"/>
      <c r="OQI40" s="191"/>
      <c r="OQJ40" s="191"/>
      <c r="OQL40" s="191"/>
      <c r="OQM40" s="191"/>
      <c r="OQN40" s="191"/>
      <c r="OQP40" s="191"/>
      <c r="OQQ40" s="191"/>
      <c r="OQR40" s="191"/>
      <c r="OQT40" s="191"/>
      <c r="OQU40" s="191"/>
      <c r="OQV40" s="191"/>
      <c r="OQX40" s="191"/>
      <c r="OQY40" s="191"/>
      <c r="OQZ40" s="191"/>
      <c r="ORB40" s="191"/>
      <c r="ORC40" s="191"/>
      <c r="ORD40" s="191"/>
      <c r="ORF40" s="191"/>
      <c r="ORG40" s="191"/>
      <c r="ORH40" s="191"/>
      <c r="ORJ40" s="191"/>
      <c r="ORK40" s="191"/>
      <c r="ORL40" s="191"/>
      <c r="ORN40" s="191"/>
      <c r="ORO40" s="191"/>
      <c r="ORP40" s="191"/>
      <c r="ORR40" s="191"/>
      <c r="ORS40" s="191"/>
      <c r="ORT40" s="191"/>
      <c r="ORV40" s="191"/>
      <c r="ORW40" s="191"/>
      <c r="ORX40" s="191"/>
      <c r="ORZ40" s="191"/>
      <c r="OSA40" s="191"/>
      <c r="OSB40" s="191"/>
      <c r="OSD40" s="191"/>
      <c r="OSE40" s="191"/>
      <c r="OSF40" s="191"/>
      <c r="OSH40" s="191"/>
      <c r="OSI40" s="191"/>
      <c r="OSJ40" s="191"/>
      <c r="OSL40" s="191"/>
      <c r="OSM40" s="191"/>
      <c r="OSN40" s="191"/>
      <c r="OSP40" s="191"/>
      <c r="OSQ40" s="191"/>
      <c r="OSR40" s="191"/>
      <c r="OST40" s="191"/>
      <c r="OSU40" s="191"/>
      <c r="OSV40" s="191"/>
      <c r="OSX40" s="191"/>
      <c r="OSY40" s="191"/>
      <c r="OSZ40" s="191"/>
      <c r="OTB40" s="191"/>
      <c r="OTC40" s="191"/>
      <c r="OTD40" s="191"/>
      <c r="OTF40" s="191"/>
      <c r="OTG40" s="191"/>
      <c r="OTH40" s="191"/>
      <c r="OTJ40" s="191"/>
      <c r="OTK40" s="191"/>
      <c r="OTL40" s="191"/>
      <c r="OTN40" s="191"/>
      <c r="OTO40" s="191"/>
      <c r="OTP40" s="191"/>
      <c r="OTR40" s="191"/>
      <c r="OTS40" s="191"/>
      <c r="OTT40" s="191"/>
      <c r="OTV40" s="191"/>
      <c r="OTW40" s="191"/>
      <c r="OTX40" s="191"/>
      <c r="OTZ40" s="191"/>
      <c r="OUA40" s="191"/>
      <c r="OUB40" s="191"/>
      <c r="OUD40" s="191"/>
      <c r="OUE40" s="191"/>
      <c r="OUF40" s="191"/>
      <c r="OUH40" s="191"/>
      <c r="OUI40" s="191"/>
      <c r="OUJ40" s="191"/>
      <c r="OUL40" s="191"/>
      <c r="OUM40" s="191"/>
      <c r="OUN40" s="191"/>
      <c r="OUP40" s="191"/>
      <c r="OUQ40" s="191"/>
      <c r="OUR40" s="191"/>
      <c r="OUT40" s="191"/>
      <c r="OUU40" s="191"/>
      <c r="OUV40" s="191"/>
      <c r="OUX40" s="191"/>
      <c r="OUY40" s="191"/>
      <c r="OUZ40" s="191"/>
      <c r="OVB40" s="191"/>
      <c r="OVC40" s="191"/>
      <c r="OVD40" s="191"/>
      <c r="OVF40" s="191"/>
      <c r="OVG40" s="191"/>
      <c r="OVH40" s="191"/>
      <c r="OVJ40" s="191"/>
      <c r="OVK40" s="191"/>
      <c r="OVL40" s="191"/>
      <c r="OVN40" s="191"/>
      <c r="OVO40" s="191"/>
      <c r="OVP40" s="191"/>
      <c r="OVR40" s="191"/>
      <c r="OVS40" s="191"/>
      <c r="OVT40" s="191"/>
      <c r="OVV40" s="191"/>
      <c r="OVW40" s="191"/>
      <c r="OVX40" s="191"/>
      <c r="OVZ40" s="191"/>
      <c r="OWA40" s="191"/>
      <c r="OWB40" s="191"/>
      <c r="OWD40" s="191"/>
      <c r="OWE40" s="191"/>
      <c r="OWF40" s="191"/>
      <c r="OWH40" s="191"/>
      <c r="OWI40" s="191"/>
      <c r="OWJ40" s="191"/>
      <c r="OWL40" s="191"/>
      <c r="OWM40" s="191"/>
      <c r="OWN40" s="191"/>
      <c r="OWP40" s="191"/>
      <c r="OWQ40" s="191"/>
      <c r="OWR40" s="191"/>
      <c r="OWT40" s="191"/>
      <c r="OWU40" s="191"/>
      <c r="OWV40" s="191"/>
      <c r="OWX40" s="191"/>
      <c r="OWY40" s="191"/>
      <c r="OWZ40" s="191"/>
      <c r="OXB40" s="191"/>
      <c r="OXC40" s="191"/>
      <c r="OXD40" s="191"/>
      <c r="OXF40" s="191"/>
      <c r="OXG40" s="191"/>
      <c r="OXH40" s="191"/>
      <c r="OXJ40" s="191"/>
      <c r="OXK40" s="191"/>
      <c r="OXL40" s="191"/>
      <c r="OXN40" s="191"/>
      <c r="OXO40" s="191"/>
      <c r="OXP40" s="191"/>
      <c r="OXR40" s="191"/>
      <c r="OXS40" s="191"/>
      <c r="OXT40" s="191"/>
      <c r="OXV40" s="191"/>
      <c r="OXW40" s="191"/>
      <c r="OXX40" s="191"/>
      <c r="OXZ40" s="191"/>
      <c r="OYA40" s="191"/>
      <c r="OYB40" s="191"/>
      <c r="OYD40" s="191"/>
      <c r="OYE40" s="191"/>
      <c r="OYF40" s="191"/>
      <c r="OYH40" s="191"/>
      <c r="OYI40" s="191"/>
      <c r="OYJ40" s="191"/>
      <c r="OYL40" s="191"/>
      <c r="OYM40" s="191"/>
      <c r="OYN40" s="191"/>
      <c r="OYP40" s="191"/>
      <c r="OYQ40" s="191"/>
      <c r="OYR40" s="191"/>
      <c r="OYT40" s="191"/>
      <c r="OYU40" s="191"/>
      <c r="OYV40" s="191"/>
      <c r="OYX40" s="191"/>
      <c r="OYY40" s="191"/>
      <c r="OYZ40" s="191"/>
      <c r="OZB40" s="191"/>
      <c r="OZC40" s="191"/>
      <c r="OZD40" s="191"/>
      <c r="OZF40" s="191"/>
      <c r="OZG40" s="191"/>
      <c r="OZH40" s="191"/>
      <c r="OZJ40" s="191"/>
      <c r="OZK40" s="191"/>
      <c r="OZL40" s="191"/>
      <c r="OZN40" s="191"/>
      <c r="OZO40" s="191"/>
      <c r="OZP40" s="191"/>
      <c r="OZR40" s="191"/>
      <c r="OZS40" s="191"/>
      <c r="OZT40" s="191"/>
      <c r="OZV40" s="191"/>
      <c r="OZW40" s="191"/>
      <c r="OZX40" s="191"/>
      <c r="OZZ40" s="191"/>
      <c r="PAA40" s="191"/>
      <c r="PAB40" s="191"/>
      <c r="PAD40" s="191"/>
      <c r="PAE40" s="191"/>
      <c r="PAF40" s="191"/>
      <c r="PAH40" s="191"/>
      <c r="PAI40" s="191"/>
      <c r="PAJ40" s="191"/>
      <c r="PAL40" s="191"/>
      <c r="PAM40" s="191"/>
      <c r="PAN40" s="191"/>
      <c r="PAP40" s="191"/>
      <c r="PAQ40" s="191"/>
      <c r="PAR40" s="191"/>
      <c r="PAT40" s="191"/>
      <c r="PAU40" s="191"/>
      <c r="PAV40" s="191"/>
      <c r="PAX40" s="191"/>
      <c r="PAY40" s="191"/>
      <c r="PAZ40" s="191"/>
      <c r="PBB40" s="191"/>
      <c r="PBC40" s="191"/>
      <c r="PBD40" s="191"/>
      <c r="PBF40" s="191"/>
      <c r="PBG40" s="191"/>
      <c r="PBH40" s="191"/>
      <c r="PBJ40" s="191"/>
      <c r="PBK40" s="191"/>
      <c r="PBL40" s="191"/>
      <c r="PBN40" s="191"/>
      <c r="PBO40" s="191"/>
      <c r="PBP40" s="191"/>
      <c r="PBR40" s="191"/>
      <c r="PBS40" s="191"/>
      <c r="PBT40" s="191"/>
      <c r="PBV40" s="191"/>
      <c r="PBW40" s="191"/>
      <c r="PBX40" s="191"/>
      <c r="PBZ40" s="191"/>
      <c r="PCA40" s="191"/>
      <c r="PCB40" s="191"/>
      <c r="PCD40" s="191"/>
      <c r="PCE40" s="191"/>
      <c r="PCF40" s="191"/>
      <c r="PCH40" s="191"/>
      <c r="PCI40" s="191"/>
      <c r="PCJ40" s="191"/>
      <c r="PCL40" s="191"/>
      <c r="PCM40" s="191"/>
      <c r="PCN40" s="191"/>
      <c r="PCP40" s="191"/>
      <c r="PCQ40" s="191"/>
      <c r="PCR40" s="191"/>
      <c r="PCT40" s="191"/>
      <c r="PCU40" s="191"/>
      <c r="PCV40" s="191"/>
      <c r="PCX40" s="191"/>
      <c r="PCY40" s="191"/>
      <c r="PCZ40" s="191"/>
      <c r="PDB40" s="191"/>
      <c r="PDC40" s="191"/>
      <c r="PDD40" s="191"/>
      <c r="PDF40" s="191"/>
      <c r="PDG40" s="191"/>
      <c r="PDH40" s="191"/>
      <c r="PDJ40" s="191"/>
      <c r="PDK40" s="191"/>
      <c r="PDL40" s="191"/>
      <c r="PDN40" s="191"/>
      <c r="PDO40" s="191"/>
      <c r="PDP40" s="191"/>
      <c r="PDR40" s="191"/>
      <c r="PDS40" s="191"/>
      <c r="PDT40" s="191"/>
      <c r="PDV40" s="191"/>
      <c r="PDW40" s="191"/>
      <c r="PDX40" s="191"/>
      <c r="PDZ40" s="191"/>
      <c r="PEA40" s="191"/>
      <c r="PEB40" s="191"/>
      <c r="PED40" s="191"/>
      <c r="PEE40" s="191"/>
      <c r="PEF40" s="191"/>
      <c r="PEH40" s="191"/>
      <c r="PEI40" s="191"/>
      <c r="PEJ40" s="191"/>
      <c r="PEL40" s="191"/>
      <c r="PEM40" s="191"/>
      <c r="PEN40" s="191"/>
      <c r="PEP40" s="191"/>
      <c r="PEQ40" s="191"/>
      <c r="PER40" s="191"/>
      <c r="PET40" s="191"/>
      <c r="PEU40" s="191"/>
      <c r="PEV40" s="191"/>
      <c r="PEX40" s="191"/>
      <c r="PEY40" s="191"/>
      <c r="PEZ40" s="191"/>
      <c r="PFB40" s="191"/>
      <c r="PFC40" s="191"/>
      <c r="PFD40" s="191"/>
      <c r="PFF40" s="191"/>
      <c r="PFG40" s="191"/>
      <c r="PFH40" s="191"/>
      <c r="PFJ40" s="191"/>
      <c r="PFK40" s="191"/>
      <c r="PFL40" s="191"/>
      <c r="PFN40" s="191"/>
      <c r="PFO40" s="191"/>
      <c r="PFP40" s="191"/>
      <c r="PFR40" s="191"/>
      <c r="PFS40" s="191"/>
      <c r="PFT40" s="191"/>
      <c r="PFV40" s="191"/>
      <c r="PFW40" s="191"/>
      <c r="PFX40" s="191"/>
      <c r="PFZ40" s="191"/>
      <c r="PGA40" s="191"/>
      <c r="PGB40" s="191"/>
      <c r="PGD40" s="191"/>
      <c r="PGE40" s="191"/>
      <c r="PGF40" s="191"/>
      <c r="PGH40" s="191"/>
      <c r="PGI40" s="191"/>
      <c r="PGJ40" s="191"/>
      <c r="PGL40" s="191"/>
      <c r="PGM40" s="191"/>
      <c r="PGN40" s="191"/>
      <c r="PGP40" s="191"/>
      <c r="PGQ40" s="191"/>
      <c r="PGR40" s="191"/>
      <c r="PGT40" s="191"/>
      <c r="PGU40" s="191"/>
      <c r="PGV40" s="191"/>
      <c r="PGX40" s="191"/>
      <c r="PGY40" s="191"/>
      <c r="PGZ40" s="191"/>
      <c r="PHB40" s="191"/>
      <c r="PHC40" s="191"/>
      <c r="PHD40" s="191"/>
      <c r="PHF40" s="191"/>
      <c r="PHG40" s="191"/>
      <c r="PHH40" s="191"/>
      <c r="PHJ40" s="191"/>
      <c r="PHK40" s="191"/>
      <c r="PHL40" s="191"/>
      <c r="PHN40" s="191"/>
      <c r="PHO40" s="191"/>
      <c r="PHP40" s="191"/>
      <c r="PHR40" s="191"/>
      <c r="PHS40" s="191"/>
      <c r="PHT40" s="191"/>
      <c r="PHV40" s="191"/>
      <c r="PHW40" s="191"/>
      <c r="PHX40" s="191"/>
      <c r="PHZ40" s="191"/>
      <c r="PIA40" s="191"/>
      <c r="PIB40" s="191"/>
      <c r="PID40" s="191"/>
      <c r="PIE40" s="191"/>
      <c r="PIF40" s="191"/>
      <c r="PIH40" s="191"/>
      <c r="PII40" s="191"/>
      <c r="PIJ40" s="191"/>
      <c r="PIL40" s="191"/>
      <c r="PIM40" s="191"/>
      <c r="PIN40" s="191"/>
      <c r="PIP40" s="191"/>
      <c r="PIQ40" s="191"/>
      <c r="PIR40" s="191"/>
      <c r="PIT40" s="191"/>
      <c r="PIU40" s="191"/>
      <c r="PIV40" s="191"/>
      <c r="PIX40" s="191"/>
      <c r="PIY40" s="191"/>
      <c r="PIZ40" s="191"/>
      <c r="PJB40" s="191"/>
      <c r="PJC40" s="191"/>
      <c r="PJD40" s="191"/>
      <c r="PJF40" s="191"/>
      <c r="PJG40" s="191"/>
      <c r="PJH40" s="191"/>
      <c r="PJJ40" s="191"/>
      <c r="PJK40" s="191"/>
      <c r="PJL40" s="191"/>
      <c r="PJN40" s="191"/>
      <c r="PJO40" s="191"/>
      <c r="PJP40" s="191"/>
      <c r="PJR40" s="191"/>
      <c r="PJS40" s="191"/>
      <c r="PJT40" s="191"/>
      <c r="PJV40" s="191"/>
      <c r="PJW40" s="191"/>
      <c r="PJX40" s="191"/>
      <c r="PJZ40" s="191"/>
      <c r="PKA40" s="191"/>
      <c r="PKB40" s="191"/>
      <c r="PKD40" s="191"/>
      <c r="PKE40" s="191"/>
      <c r="PKF40" s="191"/>
      <c r="PKH40" s="191"/>
      <c r="PKI40" s="191"/>
      <c r="PKJ40" s="191"/>
      <c r="PKL40" s="191"/>
      <c r="PKM40" s="191"/>
      <c r="PKN40" s="191"/>
      <c r="PKP40" s="191"/>
      <c r="PKQ40" s="191"/>
      <c r="PKR40" s="191"/>
      <c r="PKT40" s="191"/>
      <c r="PKU40" s="191"/>
      <c r="PKV40" s="191"/>
      <c r="PKX40" s="191"/>
      <c r="PKY40" s="191"/>
      <c r="PKZ40" s="191"/>
      <c r="PLB40" s="191"/>
      <c r="PLC40" s="191"/>
      <c r="PLD40" s="191"/>
      <c r="PLF40" s="191"/>
      <c r="PLG40" s="191"/>
      <c r="PLH40" s="191"/>
      <c r="PLJ40" s="191"/>
      <c r="PLK40" s="191"/>
      <c r="PLL40" s="191"/>
      <c r="PLN40" s="191"/>
      <c r="PLO40" s="191"/>
      <c r="PLP40" s="191"/>
      <c r="PLR40" s="191"/>
      <c r="PLS40" s="191"/>
      <c r="PLT40" s="191"/>
      <c r="PLV40" s="191"/>
      <c r="PLW40" s="191"/>
      <c r="PLX40" s="191"/>
      <c r="PLZ40" s="191"/>
      <c r="PMA40" s="191"/>
      <c r="PMB40" s="191"/>
      <c r="PMD40" s="191"/>
      <c r="PME40" s="191"/>
      <c r="PMF40" s="191"/>
      <c r="PMH40" s="191"/>
      <c r="PMI40" s="191"/>
      <c r="PMJ40" s="191"/>
      <c r="PML40" s="191"/>
      <c r="PMM40" s="191"/>
      <c r="PMN40" s="191"/>
      <c r="PMP40" s="191"/>
      <c r="PMQ40" s="191"/>
      <c r="PMR40" s="191"/>
      <c r="PMT40" s="191"/>
      <c r="PMU40" s="191"/>
      <c r="PMV40" s="191"/>
      <c r="PMX40" s="191"/>
      <c r="PMY40" s="191"/>
      <c r="PMZ40" s="191"/>
      <c r="PNB40" s="191"/>
      <c r="PNC40" s="191"/>
      <c r="PND40" s="191"/>
      <c r="PNF40" s="191"/>
      <c r="PNG40" s="191"/>
      <c r="PNH40" s="191"/>
      <c r="PNJ40" s="191"/>
      <c r="PNK40" s="191"/>
      <c r="PNL40" s="191"/>
      <c r="PNN40" s="191"/>
      <c r="PNO40" s="191"/>
      <c r="PNP40" s="191"/>
      <c r="PNR40" s="191"/>
      <c r="PNS40" s="191"/>
      <c r="PNT40" s="191"/>
      <c r="PNV40" s="191"/>
      <c r="PNW40" s="191"/>
      <c r="PNX40" s="191"/>
      <c r="PNZ40" s="191"/>
      <c r="POA40" s="191"/>
      <c r="POB40" s="191"/>
      <c r="POD40" s="191"/>
      <c r="POE40" s="191"/>
      <c r="POF40" s="191"/>
      <c r="POH40" s="191"/>
      <c r="POI40" s="191"/>
      <c r="POJ40" s="191"/>
      <c r="POL40" s="191"/>
      <c r="POM40" s="191"/>
      <c r="PON40" s="191"/>
      <c r="POP40" s="191"/>
      <c r="POQ40" s="191"/>
      <c r="POR40" s="191"/>
      <c r="POT40" s="191"/>
      <c r="POU40" s="191"/>
      <c r="POV40" s="191"/>
      <c r="POX40" s="191"/>
      <c r="POY40" s="191"/>
      <c r="POZ40" s="191"/>
      <c r="PPB40" s="191"/>
      <c r="PPC40" s="191"/>
      <c r="PPD40" s="191"/>
      <c r="PPF40" s="191"/>
      <c r="PPG40" s="191"/>
      <c r="PPH40" s="191"/>
      <c r="PPJ40" s="191"/>
      <c r="PPK40" s="191"/>
      <c r="PPL40" s="191"/>
      <c r="PPN40" s="191"/>
      <c r="PPO40" s="191"/>
      <c r="PPP40" s="191"/>
      <c r="PPR40" s="191"/>
      <c r="PPS40" s="191"/>
      <c r="PPT40" s="191"/>
      <c r="PPV40" s="191"/>
      <c r="PPW40" s="191"/>
      <c r="PPX40" s="191"/>
      <c r="PPZ40" s="191"/>
      <c r="PQA40" s="191"/>
      <c r="PQB40" s="191"/>
      <c r="PQD40" s="191"/>
      <c r="PQE40" s="191"/>
      <c r="PQF40" s="191"/>
      <c r="PQH40" s="191"/>
      <c r="PQI40" s="191"/>
      <c r="PQJ40" s="191"/>
      <c r="PQL40" s="191"/>
      <c r="PQM40" s="191"/>
      <c r="PQN40" s="191"/>
      <c r="PQP40" s="191"/>
      <c r="PQQ40" s="191"/>
      <c r="PQR40" s="191"/>
      <c r="PQT40" s="191"/>
      <c r="PQU40" s="191"/>
      <c r="PQV40" s="191"/>
      <c r="PQX40" s="191"/>
      <c r="PQY40" s="191"/>
      <c r="PQZ40" s="191"/>
      <c r="PRB40" s="191"/>
      <c r="PRC40" s="191"/>
      <c r="PRD40" s="191"/>
      <c r="PRF40" s="191"/>
      <c r="PRG40" s="191"/>
      <c r="PRH40" s="191"/>
      <c r="PRJ40" s="191"/>
      <c r="PRK40" s="191"/>
      <c r="PRL40" s="191"/>
      <c r="PRN40" s="191"/>
      <c r="PRO40" s="191"/>
      <c r="PRP40" s="191"/>
      <c r="PRR40" s="191"/>
      <c r="PRS40" s="191"/>
      <c r="PRT40" s="191"/>
      <c r="PRV40" s="191"/>
      <c r="PRW40" s="191"/>
      <c r="PRX40" s="191"/>
      <c r="PRZ40" s="191"/>
      <c r="PSA40" s="191"/>
      <c r="PSB40" s="191"/>
      <c r="PSD40" s="191"/>
      <c r="PSE40" s="191"/>
      <c r="PSF40" s="191"/>
      <c r="PSH40" s="191"/>
      <c r="PSI40" s="191"/>
      <c r="PSJ40" s="191"/>
      <c r="PSL40" s="191"/>
      <c r="PSM40" s="191"/>
      <c r="PSN40" s="191"/>
      <c r="PSP40" s="191"/>
      <c r="PSQ40" s="191"/>
      <c r="PSR40" s="191"/>
      <c r="PST40" s="191"/>
      <c r="PSU40" s="191"/>
      <c r="PSV40" s="191"/>
      <c r="PSX40" s="191"/>
      <c r="PSY40" s="191"/>
      <c r="PSZ40" s="191"/>
      <c r="PTB40" s="191"/>
      <c r="PTC40" s="191"/>
      <c r="PTD40" s="191"/>
      <c r="PTF40" s="191"/>
      <c r="PTG40" s="191"/>
      <c r="PTH40" s="191"/>
      <c r="PTJ40" s="191"/>
      <c r="PTK40" s="191"/>
      <c r="PTL40" s="191"/>
      <c r="PTN40" s="191"/>
      <c r="PTO40" s="191"/>
      <c r="PTP40" s="191"/>
      <c r="PTR40" s="191"/>
      <c r="PTS40" s="191"/>
      <c r="PTT40" s="191"/>
      <c r="PTV40" s="191"/>
      <c r="PTW40" s="191"/>
      <c r="PTX40" s="191"/>
      <c r="PTZ40" s="191"/>
      <c r="PUA40" s="191"/>
      <c r="PUB40" s="191"/>
      <c r="PUD40" s="191"/>
      <c r="PUE40" s="191"/>
      <c r="PUF40" s="191"/>
      <c r="PUH40" s="191"/>
      <c r="PUI40" s="191"/>
      <c r="PUJ40" s="191"/>
      <c r="PUL40" s="191"/>
      <c r="PUM40" s="191"/>
      <c r="PUN40" s="191"/>
      <c r="PUP40" s="191"/>
      <c r="PUQ40" s="191"/>
      <c r="PUR40" s="191"/>
      <c r="PUT40" s="191"/>
      <c r="PUU40" s="191"/>
      <c r="PUV40" s="191"/>
      <c r="PUX40" s="191"/>
      <c r="PUY40" s="191"/>
      <c r="PUZ40" s="191"/>
      <c r="PVB40" s="191"/>
      <c r="PVC40" s="191"/>
      <c r="PVD40" s="191"/>
      <c r="PVF40" s="191"/>
      <c r="PVG40" s="191"/>
      <c r="PVH40" s="191"/>
      <c r="PVJ40" s="191"/>
      <c r="PVK40" s="191"/>
      <c r="PVL40" s="191"/>
      <c r="PVN40" s="191"/>
      <c r="PVO40" s="191"/>
      <c r="PVP40" s="191"/>
      <c r="PVR40" s="191"/>
      <c r="PVS40" s="191"/>
      <c r="PVT40" s="191"/>
      <c r="PVV40" s="191"/>
      <c r="PVW40" s="191"/>
      <c r="PVX40" s="191"/>
      <c r="PVZ40" s="191"/>
      <c r="PWA40" s="191"/>
      <c r="PWB40" s="191"/>
      <c r="PWD40" s="191"/>
      <c r="PWE40" s="191"/>
      <c r="PWF40" s="191"/>
      <c r="PWH40" s="191"/>
      <c r="PWI40" s="191"/>
      <c r="PWJ40" s="191"/>
      <c r="PWL40" s="191"/>
      <c r="PWM40" s="191"/>
      <c r="PWN40" s="191"/>
      <c r="PWP40" s="191"/>
      <c r="PWQ40" s="191"/>
      <c r="PWR40" s="191"/>
      <c r="PWT40" s="191"/>
      <c r="PWU40" s="191"/>
      <c r="PWV40" s="191"/>
      <c r="PWX40" s="191"/>
      <c r="PWY40" s="191"/>
      <c r="PWZ40" s="191"/>
      <c r="PXB40" s="191"/>
      <c r="PXC40" s="191"/>
      <c r="PXD40" s="191"/>
      <c r="PXF40" s="191"/>
      <c r="PXG40" s="191"/>
      <c r="PXH40" s="191"/>
      <c r="PXJ40" s="191"/>
      <c r="PXK40" s="191"/>
      <c r="PXL40" s="191"/>
      <c r="PXN40" s="191"/>
      <c r="PXO40" s="191"/>
      <c r="PXP40" s="191"/>
      <c r="PXR40" s="191"/>
      <c r="PXS40" s="191"/>
      <c r="PXT40" s="191"/>
      <c r="PXV40" s="191"/>
      <c r="PXW40" s="191"/>
      <c r="PXX40" s="191"/>
      <c r="PXZ40" s="191"/>
      <c r="PYA40" s="191"/>
      <c r="PYB40" s="191"/>
      <c r="PYD40" s="191"/>
      <c r="PYE40" s="191"/>
      <c r="PYF40" s="191"/>
      <c r="PYH40" s="191"/>
      <c r="PYI40" s="191"/>
      <c r="PYJ40" s="191"/>
      <c r="PYL40" s="191"/>
      <c r="PYM40" s="191"/>
      <c r="PYN40" s="191"/>
      <c r="PYP40" s="191"/>
      <c r="PYQ40" s="191"/>
      <c r="PYR40" s="191"/>
      <c r="PYT40" s="191"/>
      <c r="PYU40" s="191"/>
      <c r="PYV40" s="191"/>
      <c r="PYX40" s="191"/>
      <c r="PYY40" s="191"/>
      <c r="PYZ40" s="191"/>
      <c r="PZB40" s="191"/>
      <c r="PZC40" s="191"/>
      <c r="PZD40" s="191"/>
      <c r="PZF40" s="191"/>
      <c r="PZG40" s="191"/>
      <c r="PZH40" s="191"/>
      <c r="PZJ40" s="191"/>
      <c r="PZK40" s="191"/>
      <c r="PZL40" s="191"/>
      <c r="PZN40" s="191"/>
      <c r="PZO40" s="191"/>
      <c r="PZP40" s="191"/>
      <c r="PZR40" s="191"/>
      <c r="PZS40" s="191"/>
      <c r="PZT40" s="191"/>
      <c r="PZV40" s="191"/>
      <c r="PZW40" s="191"/>
      <c r="PZX40" s="191"/>
      <c r="PZZ40" s="191"/>
      <c r="QAA40" s="191"/>
      <c r="QAB40" s="191"/>
      <c r="QAD40" s="191"/>
      <c r="QAE40" s="191"/>
      <c r="QAF40" s="191"/>
      <c r="QAH40" s="191"/>
      <c r="QAI40" s="191"/>
      <c r="QAJ40" s="191"/>
      <c r="QAL40" s="191"/>
      <c r="QAM40" s="191"/>
      <c r="QAN40" s="191"/>
      <c r="QAP40" s="191"/>
      <c r="QAQ40" s="191"/>
      <c r="QAR40" s="191"/>
      <c r="QAT40" s="191"/>
      <c r="QAU40" s="191"/>
      <c r="QAV40" s="191"/>
      <c r="QAX40" s="191"/>
      <c r="QAY40" s="191"/>
      <c r="QAZ40" s="191"/>
      <c r="QBB40" s="191"/>
      <c r="QBC40" s="191"/>
      <c r="QBD40" s="191"/>
      <c r="QBF40" s="191"/>
      <c r="QBG40" s="191"/>
      <c r="QBH40" s="191"/>
      <c r="QBJ40" s="191"/>
      <c r="QBK40" s="191"/>
      <c r="QBL40" s="191"/>
      <c r="QBN40" s="191"/>
      <c r="QBO40" s="191"/>
      <c r="QBP40" s="191"/>
      <c r="QBR40" s="191"/>
      <c r="QBS40" s="191"/>
      <c r="QBT40" s="191"/>
      <c r="QBV40" s="191"/>
      <c r="QBW40" s="191"/>
      <c r="QBX40" s="191"/>
      <c r="QBZ40" s="191"/>
      <c r="QCA40" s="191"/>
      <c r="QCB40" s="191"/>
      <c r="QCD40" s="191"/>
      <c r="QCE40" s="191"/>
      <c r="QCF40" s="191"/>
      <c r="QCH40" s="191"/>
      <c r="QCI40" s="191"/>
      <c r="QCJ40" s="191"/>
      <c r="QCL40" s="191"/>
      <c r="QCM40" s="191"/>
      <c r="QCN40" s="191"/>
      <c r="QCP40" s="191"/>
      <c r="QCQ40" s="191"/>
      <c r="QCR40" s="191"/>
      <c r="QCT40" s="191"/>
      <c r="QCU40" s="191"/>
      <c r="QCV40" s="191"/>
      <c r="QCX40" s="191"/>
      <c r="QCY40" s="191"/>
      <c r="QCZ40" s="191"/>
      <c r="QDB40" s="191"/>
      <c r="QDC40" s="191"/>
      <c r="QDD40" s="191"/>
      <c r="QDF40" s="191"/>
      <c r="QDG40" s="191"/>
      <c r="QDH40" s="191"/>
      <c r="QDJ40" s="191"/>
      <c r="QDK40" s="191"/>
      <c r="QDL40" s="191"/>
      <c r="QDN40" s="191"/>
      <c r="QDO40" s="191"/>
      <c r="QDP40" s="191"/>
      <c r="QDR40" s="191"/>
      <c r="QDS40" s="191"/>
      <c r="QDT40" s="191"/>
      <c r="QDV40" s="191"/>
      <c r="QDW40" s="191"/>
      <c r="QDX40" s="191"/>
      <c r="QDZ40" s="191"/>
      <c r="QEA40" s="191"/>
      <c r="QEB40" s="191"/>
      <c r="QED40" s="191"/>
      <c r="QEE40" s="191"/>
      <c r="QEF40" s="191"/>
      <c r="QEH40" s="191"/>
      <c r="QEI40" s="191"/>
      <c r="QEJ40" s="191"/>
      <c r="QEL40" s="191"/>
      <c r="QEM40" s="191"/>
      <c r="QEN40" s="191"/>
      <c r="QEP40" s="191"/>
      <c r="QEQ40" s="191"/>
      <c r="QER40" s="191"/>
      <c r="QET40" s="191"/>
      <c r="QEU40" s="191"/>
      <c r="QEV40" s="191"/>
      <c r="QEX40" s="191"/>
      <c r="QEY40" s="191"/>
      <c r="QEZ40" s="191"/>
      <c r="QFB40" s="191"/>
      <c r="QFC40" s="191"/>
      <c r="QFD40" s="191"/>
      <c r="QFF40" s="191"/>
      <c r="QFG40" s="191"/>
      <c r="QFH40" s="191"/>
      <c r="QFJ40" s="191"/>
      <c r="QFK40" s="191"/>
      <c r="QFL40" s="191"/>
      <c r="QFN40" s="191"/>
      <c r="QFO40" s="191"/>
      <c r="QFP40" s="191"/>
      <c r="QFR40" s="191"/>
      <c r="QFS40" s="191"/>
      <c r="QFT40" s="191"/>
      <c r="QFV40" s="191"/>
      <c r="QFW40" s="191"/>
      <c r="QFX40" s="191"/>
      <c r="QFZ40" s="191"/>
      <c r="QGA40" s="191"/>
      <c r="QGB40" s="191"/>
      <c r="QGD40" s="191"/>
      <c r="QGE40" s="191"/>
      <c r="QGF40" s="191"/>
      <c r="QGH40" s="191"/>
      <c r="QGI40" s="191"/>
      <c r="QGJ40" s="191"/>
      <c r="QGL40" s="191"/>
      <c r="QGM40" s="191"/>
      <c r="QGN40" s="191"/>
      <c r="QGP40" s="191"/>
      <c r="QGQ40" s="191"/>
      <c r="QGR40" s="191"/>
      <c r="QGT40" s="191"/>
      <c r="QGU40" s="191"/>
      <c r="QGV40" s="191"/>
      <c r="QGX40" s="191"/>
      <c r="QGY40" s="191"/>
      <c r="QGZ40" s="191"/>
      <c r="QHB40" s="191"/>
      <c r="QHC40" s="191"/>
      <c r="QHD40" s="191"/>
      <c r="QHF40" s="191"/>
      <c r="QHG40" s="191"/>
      <c r="QHH40" s="191"/>
      <c r="QHJ40" s="191"/>
      <c r="QHK40" s="191"/>
      <c r="QHL40" s="191"/>
      <c r="QHN40" s="191"/>
      <c r="QHO40" s="191"/>
      <c r="QHP40" s="191"/>
      <c r="QHR40" s="191"/>
      <c r="QHS40" s="191"/>
      <c r="QHT40" s="191"/>
      <c r="QHV40" s="191"/>
      <c r="QHW40" s="191"/>
      <c r="QHX40" s="191"/>
      <c r="QHZ40" s="191"/>
      <c r="QIA40" s="191"/>
      <c r="QIB40" s="191"/>
      <c r="QID40" s="191"/>
      <c r="QIE40" s="191"/>
      <c r="QIF40" s="191"/>
      <c r="QIH40" s="191"/>
      <c r="QII40" s="191"/>
      <c r="QIJ40" s="191"/>
      <c r="QIL40" s="191"/>
      <c r="QIM40" s="191"/>
      <c r="QIN40" s="191"/>
      <c r="QIP40" s="191"/>
      <c r="QIQ40" s="191"/>
      <c r="QIR40" s="191"/>
      <c r="QIT40" s="191"/>
      <c r="QIU40" s="191"/>
      <c r="QIV40" s="191"/>
      <c r="QIX40" s="191"/>
      <c r="QIY40" s="191"/>
      <c r="QIZ40" s="191"/>
      <c r="QJB40" s="191"/>
      <c r="QJC40" s="191"/>
      <c r="QJD40" s="191"/>
      <c r="QJF40" s="191"/>
      <c r="QJG40" s="191"/>
      <c r="QJH40" s="191"/>
      <c r="QJJ40" s="191"/>
      <c r="QJK40" s="191"/>
      <c r="QJL40" s="191"/>
      <c r="QJN40" s="191"/>
      <c r="QJO40" s="191"/>
      <c r="QJP40" s="191"/>
      <c r="QJR40" s="191"/>
      <c r="QJS40" s="191"/>
      <c r="QJT40" s="191"/>
      <c r="QJV40" s="191"/>
      <c r="QJW40" s="191"/>
      <c r="QJX40" s="191"/>
      <c r="QJZ40" s="191"/>
      <c r="QKA40" s="191"/>
      <c r="QKB40" s="191"/>
      <c r="QKD40" s="191"/>
      <c r="QKE40" s="191"/>
      <c r="QKF40" s="191"/>
      <c r="QKH40" s="191"/>
      <c r="QKI40" s="191"/>
      <c r="QKJ40" s="191"/>
      <c r="QKL40" s="191"/>
      <c r="QKM40" s="191"/>
      <c r="QKN40" s="191"/>
      <c r="QKP40" s="191"/>
      <c r="QKQ40" s="191"/>
      <c r="QKR40" s="191"/>
      <c r="QKT40" s="191"/>
      <c r="QKU40" s="191"/>
      <c r="QKV40" s="191"/>
      <c r="QKX40" s="191"/>
      <c r="QKY40" s="191"/>
      <c r="QKZ40" s="191"/>
      <c r="QLB40" s="191"/>
      <c r="QLC40" s="191"/>
      <c r="QLD40" s="191"/>
      <c r="QLF40" s="191"/>
      <c r="QLG40" s="191"/>
      <c r="QLH40" s="191"/>
      <c r="QLJ40" s="191"/>
      <c r="QLK40" s="191"/>
      <c r="QLL40" s="191"/>
      <c r="QLN40" s="191"/>
      <c r="QLO40" s="191"/>
      <c r="QLP40" s="191"/>
      <c r="QLR40" s="191"/>
      <c r="QLS40" s="191"/>
      <c r="QLT40" s="191"/>
      <c r="QLV40" s="191"/>
      <c r="QLW40" s="191"/>
      <c r="QLX40" s="191"/>
      <c r="QLZ40" s="191"/>
      <c r="QMA40" s="191"/>
      <c r="QMB40" s="191"/>
      <c r="QMD40" s="191"/>
      <c r="QME40" s="191"/>
      <c r="QMF40" s="191"/>
      <c r="QMH40" s="191"/>
      <c r="QMI40" s="191"/>
      <c r="QMJ40" s="191"/>
      <c r="QML40" s="191"/>
      <c r="QMM40" s="191"/>
      <c r="QMN40" s="191"/>
      <c r="QMP40" s="191"/>
      <c r="QMQ40" s="191"/>
      <c r="QMR40" s="191"/>
      <c r="QMT40" s="191"/>
      <c r="QMU40" s="191"/>
      <c r="QMV40" s="191"/>
      <c r="QMX40" s="191"/>
      <c r="QMY40" s="191"/>
      <c r="QMZ40" s="191"/>
      <c r="QNB40" s="191"/>
      <c r="QNC40" s="191"/>
      <c r="QND40" s="191"/>
      <c r="QNF40" s="191"/>
      <c r="QNG40" s="191"/>
      <c r="QNH40" s="191"/>
      <c r="QNJ40" s="191"/>
      <c r="QNK40" s="191"/>
      <c r="QNL40" s="191"/>
      <c r="QNN40" s="191"/>
      <c r="QNO40" s="191"/>
      <c r="QNP40" s="191"/>
      <c r="QNR40" s="191"/>
      <c r="QNS40" s="191"/>
      <c r="QNT40" s="191"/>
      <c r="QNV40" s="191"/>
      <c r="QNW40" s="191"/>
      <c r="QNX40" s="191"/>
      <c r="QNZ40" s="191"/>
      <c r="QOA40" s="191"/>
      <c r="QOB40" s="191"/>
      <c r="QOD40" s="191"/>
      <c r="QOE40" s="191"/>
      <c r="QOF40" s="191"/>
      <c r="QOH40" s="191"/>
      <c r="QOI40" s="191"/>
      <c r="QOJ40" s="191"/>
      <c r="QOL40" s="191"/>
      <c r="QOM40" s="191"/>
      <c r="QON40" s="191"/>
      <c r="QOP40" s="191"/>
      <c r="QOQ40" s="191"/>
      <c r="QOR40" s="191"/>
      <c r="QOT40" s="191"/>
      <c r="QOU40" s="191"/>
      <c r="QOV40" s="191"/>
      <c r="QOX40" s="191"/>
      <c r="QOY40" s="191"/>
      <c r="QOZ40" s="191"/>
      <c r="QPB40" s="191"/>
      <c r="QPC40" s="191"/>
      <c r="QPD40" s="191"/>
      <c r="QPF40" s="191"/>
      <c r="QPG40" s="191"/>
      <c r="QPH40" s="191"/>
      <c r="QPJ40" s="191"/>
      <c r="QPK40" s="191"/>
      <c r="QPL40" s="191"/>
      <c r="QPN40" s="191"/>
      <c r="QPO40" s="191"/>
      <c r="QPP40" s="191"/>
      <c r="QPR40" s="191"/>
      <c r="QPS40" s="191"/>
      <c r="QPT40" s="191"/>
      <c r="QPV40" s="191"/>
      <c r="QPW40" s="191"/>
      <c r="QPX40" s="191"/>
      <c r="QPZ40" s="191"/>
      <c r="QQA40" s="191"/>
      <c r="QQB40" s="191"/>
      <c r="QQD40" s="191"/>
      <c r="QQE40" s="191"/>
      <c r="QQF40" s="191"/>
      <c r="QQH40" s="191"/>
      <c r="QQI40" s="191"/>
      <c r="QQJ40" s="191"/>
      <c r="QQL40" s="191"/>
      <c r="QQM40" s="191"/>
      <c r="QQN40" s="191"/>
      <c r="QQP40" s="191"/>
      <c r="QQQ40" s="191"/>
      <c r="QQR40" s="191"/>
      <c r="QQT40" s="191"/>
      <c r="QQU40" s="191"/>
      <c r="QQV40" s="191"/>
      <c r="QQX40" s="191"/>
      <c r="QQY40" s="191"/>
      <c r="QQZ40" s="191"/>
      <c r="QRB40" s="191"/>
      <c r="QRC40" s="191"/>
      <c r="QRD40" s="191"/>
      <c r="QRF40" s="191"/>
      <c r="QRG40" s="191"/>
      <c r="QRH40" s="191"/>
      <c r="QRJ40" s="191"/>
      <c r="QRK40" s="191"/>
      <c r="QRL40" s="191"/>
      <c r="QRN40" s="191"/>
      <c r="QRO40" s="191"/>
      <c r="QRP40" s="191"/>
      <c r="QRR40" s="191"/>
      <c r="QRS40" s="191"/>
      <c r="QRT40" s="191"/>
      <c r="QRV40" s="191"/>
      <c r="QRW40" s="191"/>
      <c r="QRX40" s="191"/>
      <c r="QRZ40" s="191"/>
      <c r="QSA40" s="191"/>
      <c r="QSB40" s="191"/>
      <c r="QSD40" s="191"/>
      <c r="QSE40" s="191"/>
      <c r="QSF40" s="191"/>
      <c r="QSH40" s="191"/>
      <c r="QSI40" s="191"/>
      <c r="QSJ40" s="191"/>
      <c r="QSL40" s="191"/>
      <c r="QSM40" s="191"/>
      <c r="QSN40" s="191"/>
      <c r="QSP40" s="191"/>
      <c r="QSQ40" s="191"/>
      <c r="QSR40" s="191"/>
      <c r="QST40" s="191"/>
      <c r="QSU40" s="191"/>
      <c r="QSV40" s="191"/>
      <c r="QSX40" s="191"/>
      <c r="QSY40" s="191"/>
      <c r="QSZ40" s="191"/>
      <c r="QTB40" s="191"/>
      <c r="QTC40" s="191"/>
      <c r="QTD40" s="191"/>
      <c r="QTF40" s="191"/>
      <c r="QTG40" s="191"/>
      <c r="QTH40" s="191"/>
      <c r="QTJ40" s="191"/>
      <c r="QTK40" s="191"/>
      <c r="QTL40" s="191"/>
      <c r="QTN40" s="191"/>
      <c r="QTO40" s="191"/>
      <c r="QTP40" s="191"/>
      <c r="QTR40" s="191"/>
      <c r="QTS40" s="191"/>
      <c r="QTT40" s="191"/>
      <c r="QTV40" s="191"/>
      <c r="QTW40" s="191"/>
      <c r="QTX40" s="191"/>
      <c r="QTZ40" s="191"/>
      <c r="QUA40" s="191"/>
      <c r="QUB40" s="191"/>
      <c r="QUD40" s="191"/>
      <c r="QUE40" s="191"/>
      <c r="QUF40" s="191"/>
      <c r="QUH40" s="191"/>
      <c r="QUI40" s="191"/>
      <c r="QUJ40" s="191"/>
      <c r="QUL40" s="191"/>
      <c r="QUM40" s="191"/>
      <c r="QUN40" s="191"/>
      <c r="QUP40" s="191"/>
      <c r="QUQ40" s="191"/>
      <c r="QUR40" s="191"/>
      <c r="QUT40" s="191"/>
      <c r="QUU40" s="191"/>
      <c r="QUV40" s="191"/>
      <c r="QUX40" s="191"/>
      <c r="QUY40" s="191"/>
      <c r="QUZ40" s="191"/>
      <c r="QVB40" s="191"/>
      <c r="QVC40" s="191"/>
      <c r="QVD40" s="191"/>
      <c r="QVF40" s="191"/>
      <c r="QVG40" s="191"/>
      <c r="QVH40" s="191"/>
      <c r="QVJ40" s="191"/>
      <c r="QVK40" s="191"/>
      <c r="QVL40" s="191"/>
      <c r="QVN40" s="191"/>
      <c r="QVO40" s="191"/>
      <c r="QVP40" s="191"/>
      <c r="QVR40" s="191"/>
      <c r="QVS40" s="191"/>
      <c r="QVT40" s="191"/>
      <c r="QVV40" s="191"/>
      <c r="QVW40" s="191"/>
      <c r="QVX40" s="191"/>
      <c r="QVZ40" s="191"/>
      <c r="QWA40" s="191"/>
      <c r="QWB40" s="191"/>
      <c r="QWD40" s="191"/>
      <c r="QWE40" s="191"/>
      <c r="QWF40" s="191"/>
      <c r="QWH40" s="191"/>
      <c r="QWI40" s="191"/>
      <c r="QWJ40" s="191"/>
      <c r="QWL40" s="191"/>
      <c r="QWM40" s="191"/>
      <c r="QWN40" s="191"/>
      <c r="QWP40" s="191"/>
      <c r="QWQ40" s="191"/>
      <c r="QWR40" s="191"/>
      <c r="QWT40" s="191"/>
      <c r="QWU40" s="191"/>
      <c r="QWV40" s="191"/>
      <c r="QWX40" s="191"/>
      <c r="QWY40" s="191"/>
      <c r="QWZ40" s="191"/>
      <c r="QXB40" s="191"/>
      <c r="QXC40" s="191"/>
      <c r="QXD40" s="191"/>
      <c r="QXF40" s="191"/>
      <c r="QXG40" s="191"/>
      <c r="QXH40" s="191"/>
      <c r="QXJ40" s="191"/>
      <c r="QXK40" s="191"/>
      <c r="QXL40" s="191"/>
      <c r="QXN40" s="191"/>
      <c r="QXO40" s="191"/>
      <c r="QXP40" s="191"/>
      <c r="QXR40" s="191"/>
      <c r="QXS40" s="191"/>
      <c r="QXT40" s="191"/>
      <c r="QXV40" s="191"/>
      <c r="QXW40" s="191"/>
      <c r="QXX40" s="191"/>
      <c r="QXZ40" s="191"/>
      <c r="QYA40" s="191"/>
      <c r="QYB40" s="191"/>
      <c r="QYD40" s="191"/>
      <c r="QYE40" s="191"/>
      <c r="QYF40" s="191"/>
      <c r="QYH40" s="191"/>
      <c r="QYI40" s="191"/>
      <c r="QYJ40" s="191"/>
      <c r="QYL40" s="191"/>
      <c r="QYM40" s="191"/>
      <c r="QYN40" s="191"/>
      <c r="QYP40" s="191"/>
      <c r="QYQ40" s="191"/>
      <c r="QYR40" s="191"/>
      <c r="QYT40" s="191"/>
      <c r="QYU40" s="191"/>
      <c r="QYV40" s="191"/>
      <c r="QYX40" s="191"/>
      <c r="QYY40" s="191"/>
      <c r="QYZ40" s="191"/>
      <c r="QZB40" s="191"/>
      <c r="QZC40" s="191"/>
      <c r="QZD40" s="191"/>
      <c r="QZF40" s="191"/>
      <c r="QZG40" s="191"/>
      <c r="QZH40" s="191"/>
      <c r="QZJ40" s="191"/>
      <c r="QZK40" s="191"/>
      <c r="QZL40" s="191"/>
      <c r="QZN40" s="191"/>
      <c r="QZO40" s="191"/>
      <c r="QZP40" s="191"/>
      <c r="QZR40" s="191"/>
      <c r="QZS40" s="191"/>
      <c r="QZT40" s="191"/>
      <c r="QZV40" s="191"/>
      <c r="QZW40" s="191"/>
      <c r="QZX40" s="191"/>
      <c r="QZZ40" s="191"/>
      <c r="RAA40" s="191"/>
      <c r="RAB40" s="191"/>
      <c r="RAD40" s="191"/>
      <c r="RAE40" s="191"/>
      <c r="RAF40" s="191"/>
      <c r="RAH40" s="191"/>
      <c r="RAI40" s="191"/>
      <c r="RAJ40" s="191"/>
      <c r="RAL40" s="191"/>
      <c r="RAM40" s="191"/>
      <c r="RAN40" s="191"/>
      <c r="RAP40" s="191"/>
      <c r="RAQ40" s="191"/>
      <c r="RAR40" s="191"/>
      <c r="RAT40" s="191"/>
      <c r="RAU40" s="191"/>
      <c r="RAV40" s="191"/>
      <c r="RAX40" s="191"/>
      <c r="RAY40" s="191"/>
      <c r="RAZ40" s="191"/>
      <c r="RBB40" s="191"/>
      <c r="RBC40" s="191"/>
      <c r="RBD40" s="191"/>
      <c r="RBF40" s="191"/>
      <c r="RBG40" s="191"/>
      <c r="RBH40" s="191"/>
      <c r="RBJ40" s="191"/>
      <c r="RBK40" s="191"/>
      <c r="RBL40" s="191"/>
      <c r="RBN40" s="191"/>
      <c r="RBO40" s="191"/>
      <c r="RBP40" s="191"/>
      <c r="RBR40" s="191"/>
      <c r="RBS40" s="191"/>
      <c r="RBT40" s="191"/>
      <c r="RBV40" s="191"/>
      <c r="RBW40" s="191"/>
      <c r="RBX40" s="191"/>
      <c r="RBZ40" s="191"/>
      <c r="RCA40" s="191"/>
      <c r="RCB40" s="191"/>
      <c r="RCD40" s="191"/>
      <c r="RCE40" s="191"/>
      <c r="RCF40" s="191"/>
      <c r="RCH40" s="191"/>
      <c r="RCI40" s="191"/>
      <c r="RCJ40" s="191"/>
      <c r="RCL40" s="191"/>
      <c r="RCM40" s="191"/>
      <c r="RCN40" s="191"/>
      <c r="RCP40" s="191"/>
      <c r="RCQ40" s="191"/>
      <c r="RCR40" s="191"/>
      <c r="RCT40" s="191"/>
      <c r="RCU40" s="191"/>
      <c r="RCV40" s="191"/>
      <c r="RCX40" s="191"/>
      <c r="RCY40" s="191"/>
      <c r="RCZ40" s="191"/>
      <c r="RDB40" s="191"/>
      <c r="RDC40" s="191"/>
      <c r="RDD40" s="191"/>
      <c r="RDF40" s="191"/>
      <c r="RDG40" s="191"/>
      <c r="RDH40" s="191"/>
      <c r="RDJ40" s="191"/>
      <c r="RDK40" s="191"/>
      <c r="RDL40" s="191"/>
      <c r="RDN40" s="191"/>
      <c r="RDO40" s="191"/>
      <c r="RDP40" s="191"/>
      <c r="RDR40" s="191"/>
      <c r="RDS40" s="191"/>
      <c r="RDT40" s="191"/>
      <c r="RDV40" s="191"/>
      <c r="RDW40" s="191"/>
      <c r="RDX40" s="191"/>
      <c r="RDZ40" s="191"/>
      <c r="REA40" s="191"/>
      <c r="REB40" s="191"/>
      <c r="RED40" s="191"/>
      <c r="REE40" s="191"/>
      <c r="REF40" s="191"/>
      <c r="REH40" s="191"/>
      <c r="REI40" s="191"/>
      <c r="REJ40" s="191"/>
      <c r="REL40" s="191"/>
      <c r="REM40" s="191"/>
      <c r="REN40" s="191"/>
      <c r="REP40" s="191"/>
      <c r="REQ40" s="191"/>
      <c r="RER40" s="191"/>
      <c r="RET40" s="191"/>
      <c r="REU40" s="191"/>
      <c r="REV40" s="191"/>
      <c r="REX40" s="191"/>
      <c r="REY40" s="191"/>
      <c r="REZ40" s="191"/>
      <c r="RFB40" s="191"/>
      <c r="RFC40" s="191"/>
      <c r="RFD40" s="191"/>
      <c r="RFF40" s="191"/>
      <c r="RFG40" s="191"/>
      <c r="RFH40" s="191"/>
      <c r="RFJ40" s="191"/>
      <c r="RFK40" s="191"/>
      <c r="RFL40" s="191"/>
      <c r="RFN40" s="191"/>
      <c r="RFO40" s="191"/>
      <c r="RFP40" s="191"/>
      <c r="RFR40" s="191"/>
      <c r="RFS40" s="191"/>
      <c r="RFT40" s="191"/>
      <c r="RFV40" s="191"/>
      <c r="RFW40" s="191"/>
      <c r="RFX40" s="191"/>
      <c r="RFZ40" s="191"/>
      <c r="RGA40" s="191"/>
      <c r="RGB40" s="191"/>
      <c r="RGD40" s="191"/>
      <c r="RGE40" s="191"/>
      <c r="RGF40" s="191"/>
      <c r="RGH40" s="191"/>
      <c r="RGI40" s="191"/>
      <c r="RGJ40" s="191"/>
      <c r="RGL40" s="191"/>
      <c r="RGM40" s="191"/>
      <c r="RGN40" s="191"/>
      <c r="RGP40" s="191"/>
      <c r="RGQ40" s="191"/>
      <c r="RGR40" s="191"/>
      <c r="RGT40" s="191"/>
      <c r="RGU40" s="191"/>
      <c r="RGV40" s="191"/>
      <c r="RGX40" s="191"/>
      <c r="RGY40" s="191"/>
      <c r="RGZ40" s="191"/>
      <c r="RHB40" s="191"/>
      <c r="RHC40" s="191"/>
      <c r="RHD40" s="191"/>
      <c r="RHF40" s="191"/>
      <c r="RHG40" s="191"/>
      <c r="RHH40" s="191"/>
      <c r="RHJ40" s="191"/>
      <c r="RHK40" s="191"/>
      <c r="RHL40" s="191"/>
      <c r="RHN40" s="191"/>
      <c r="RHO40" s="191"/>
      <c r="RHP40" s="191"/>
      <c r="RHR40" s="191"/>
      <c r="RHS40" s="191"/>
      <c r="RHT40" s="191"/>
      <c r="RHV40" s="191"/>
      <c r="RHW40" s="191"/>
      <c r="RHX40" s="191"/>
      <c r="RHZ40" s="191"/>
      <c r="RIA40" s="191"/>
      <c r="RIB40" s="191"/>
      <c r="RID40" s="191"/>
      <c r="RIE40" s="191"/>
      <c r="RIF40" s="191"/>
      <c r="RIH40" s="191"/>
      <c r="RII40" s="191"/>
      <c r="RIJ40" s="191"/>
      <c r="RIL40" s="191"/>
      <c r="RIM40" s="191"/>
      <c r="RIN40" s="191"/>
      <c r="RIP40" s="191"/>
      <c r="RIQ40" s="191"/>
      <c r="RIR40" s="191"/>
      <c r="RIT40" s="191"/>
      <c r="RIU40" s="191"/>
      <c r="RIV40" s="191"/>
      <c r="RIX40" s="191"/>
      <c r="RIY40" s="191"/>
      <c r="RIZ40" s="191"/>
      <c r="RJB40" s="191"/>
      <c r="RJC40" s="191"/>
      <c r="RJD40" s="191"/>
      <c r="RJF40" s="191"/>
      <c r="RJG40" s="191"/>
      <c r="RJH40" s="191"/>
      <c r="RJJ40" s="191"/>
      <c r="RJK40" s="191"/>
      <c r="RJL40" s="191"/>
      <c r="RJN40" s="191"/>
      <c r="RJO40" s="191"/>
      <c r="RJP40" s="191"/>
      <c r="RJR40" s="191"/>
      <c r="RJS40" s="191"/>
      <c r="RJT40" s="191"/>
      <c r="RJV40" s="191"/>
      <c r="RJW40" s="191"/>
      <c r="RJX40" s="191"/>
      <c r="RJZ40" s="191"/>
      <c r="RKA40" s="191"/>
      <c r="RKB40" s="191"/>
      <c r="RKD40" s="191"/>
      <c r="RKE40" s="191"/>
      <c r="RKF40" s="191"/>
      <c r="RKH40" s="191"/>
      <c r="RKI40" s="191"/>
      <c r="RKJ40" s="191"/>
      <c r="RKL40" s="191"/>
      <c r="RKM40" s="191"/>
      <c r="RKN40" s="191"/>
      <c r="RKP40" s="191"/>
      <c r="RKQ40" s="191"/>
      <c r="RKR40" s="191"/>
      <c r="RKT40" s="191"/>
      <c r="RKU40" s="191"/>
      <c r="RKV40" s="191"/>
      <c r="RKX40" s="191"/>
      <c r="RKY40" s="191"/>
      <c r="RKZ40" s="191"/>
      <c r="RLB40" s="191"/>
      <c r="RLC40" s="191"/>
      <c r="RLD40" s="191"/>
      <c r="RLF40" s="191"/>
      <c r="RLG40" s="191"/>
      <c r="RLH40" s="191"/>
      <c r="RLJ40" s="191"/>
      <c r="RLK40" s="191"/>
      <c r="RLL40" s="191"/>
      <c r="RLN40" s="191"/>
      <c r="RLO40" s="191"/>
      <c r="RLP40" s="191"/>
      <c r="RLR40" s="191"/>
      <c r="RLS40" s="191"/>
      <c r="RLT40" s="191"/>
      <c r="RLV40" s="191"/>
      <c r="RLW40" s="191"/>
      <c r="RLX40" s="191"/>
      <c r="RLZ40" s="191"/>
      <c r="RMA40" s="191"/>
      <c r="RMB40" s="191"/>
      <c r="RMD40" s="191"/>
      <c r="RME40" s="191"/>
      <c r="RMF40" s="191"/>
      <c r="RMH40" s="191"/>
      <c r="RMI40" s="191"/>
      <c r="RMJ40" s="191"/>
      <c r="RML40" s="191"/>
      <c r="RMM40" s="191"/>
      <c r="RMN40" s="191"/>
      <c r="RMP40" s="191"/>
      <c r="RMQ40" s="191"/>
      <c r="RMR40" s="191"/>
      <c r="RMT40" s="191"/>
      <c r="RMU40" s="191"/>
      <c r="RMV40" s="191"/>
      <c r="RMX40" s="191"/>
      <c r="RMY40" s="191"/>
      <c r="RMZ40" s="191"/>
      <c r="RNB40" s="191"/>
      <c r="RNC40" s="191"/>
      <c r="RND40" s="191"/>
      <c r="RNF40" s="191"/>
      <c r="RNG40" s="191"/>
      <c r="RNH40" s="191"/>
      <c r="RNJ40" s="191"/>
      <c r="RNK40" s="191"/>
      <c r="RNL40" s="191"/>
      <c r="RNN40" s="191"/>
      <c r="RNO40" s="191"/>
      <c r="RNP40" s="191"/>
      <c r="RNR40" s="191"/>
      <c r="RNS40" s="191"/>
      <c r="RNT40" s="191"/>
      <c r="RNV40" s="191"/>
      <c r="RNW40" s="191"/>
      <c r="RNX40" s="191"/>
      <c r="RNZ40" s="191"/>
      <c r="ROA40" s="191"/>
      <c r="ROB40" s="191"/>
      <c r="ROD40" s="191"/>
      <c r="ROE40" s="191"/>
      <c r="ROF40" s="191"/>
      <c r="ROH40" s="191"/>
      <c r="ROI40" s="191"/>
      <c r="ROJ40" s="191"/>
      <c r="ROL40" s="191"/>
      <c r="ROM40" s="191"/>
      <c r="RON40" s="191"/>
      <c r="ROP40" s="191"/>
      <c r="ROQ40" s="191"/>
      <c r="ROR40" s="191"/>
      <c r="ROT40" s="191"/>
      <c r="ROU40" s="191"/>
      <c r="ROV40" s="191"/>
      <c r="ROX40" s="191"/>
      <c r="ROY40" s="191"/>
      <c r="ROZ40" s="191"/>
      <c r="RPB40" s="191"/>
      <c r="RPC40" s="191"/>
      <c r="RPD40" s="191"/>
      <c r="RPF40" s="191"/>
      <c r="RPG40" s="191"/>
      <c r="RPH40" s="191"/>
      <c r="RPJ40" s="191"/>
      <c r="RPK40" s="191"/>
      <c r="RPL40" s="191"/>
      <c r="RPN40" s="191"/>
      <c r="RPO40" s="191"/>
      <c r="RPP40" s="191"/>
      <c r="RPR40" s="191"/>
      <c r="RPS40" s="191"/>
      <c r="RPT40" s="191"/>
      <c r="RPV40" s="191"/>
      <c r="RPW40" s="191"/>
      <c r="RPX40" s="191"/>
      <c r="RPZ40" s="191"/>
      <c r="RQA40" s="191"/>
      <c r="RQB40" s="191"/>
      <c r="RQD40" s="191"/>
      <c r="RQE40" s="191"/>
      <c r="RQF40" s="191"/>
      <c r="RQH40" s="191"/>
      <c r="RQI40" s="191"/>
      <c r="RQJ40" s="191"/>
      <c r="RQL40" s="191"/>
      <c r="RQM40" s="191"/>
      <c r="RQN40" s="191"/>
      <c r="RQP40" s="191"/>
      <c r="RQQ40" s="191"/>
      <c r="RQR40" s="191"/>
      <c r="RQT40" s="191"/>
      <c r="RQU40" s="191"/>
      <c r="RQV40" s="191"/>
      <c r="RQX40" s="191"/>
      <c r="RQY40" s="191"/>
      <c r="RQZ40" s="191"/>
      <c r="RRB40" s="191"/>
      <c r="RRC40" s="191"/>
      <c r="RRD40" s="191"/>
      <c r="RRF40" s="191"/>
      <c r="RRG40" s="191"/>
      <c r="RRH40" s="191"/>
      <c r="RRJ40" s="191"/>
      <c r="RRK40" s="191"/>
      <c r="RRL40" s="191"/>
      <c r="RRN40" s="191"/>
      <c r="RRO40" s="191"/>
      <c r="RRP40" s="191"/>
      <c r="RRR40" s="191"/>
      <c r="RRS40" s="191"/>
      <c r="RRT40" s="191"/>
      <c r="RRV40" s="191"/>
      <c r="RRW40" s="191"/>
      <c r="RRX40" s="191"/>
      <c r="RRZ40" s="191"/>
      <c r="RSA40" s="191"/>
      <c r="RSB40" s="191"/>
      <c r="RSD40" s="191"/>
      <c r="RSE40" s="191"/>
      <c r="RSF40" s="191"/>
      <c r="RSH40" s="191"/>
      <c r="RSI40" s="191"/>
      <c r="RSJ40" s="191"/>
      <c r="RSL40" s="191"/>
      <c r="RSM40" s="191"/>
      <c r="RSN40" s="191"/>
      <c r="RSP40" s="191"/>
      <c r="RSQ40" s="191"/>
      <c r="RSR40" s="191"/>
      <c r="RST40" s="191"/>
      <c r="RSU40" s="191"/>
      <c r="RSV40" s="191"/>
      <c r="RSX40" s="191"/>
      <c r="RSY40" s="191"/>
      <c r="RSZ40" s="191"/>
      <c r="RTB40" s="191"/>
      <c r="RTC40" s="191"/>
      <c r="RTD40" s="191"/>
      <c r="RTF40" s="191"/>
      <c r="RTG40" s="191"/>
      <c r="RTH40" s="191"/>
      <c r="RTJ40" s="191"/>
      <c r="RTK40" s="191"/>
      <c r="RTL40" s="191"/>
      <c r="RTN40" s="191"/>
      <c r="RTO40" s="191"/>
      <c r="RTP40" s="191"/>
      <c r="RTR40" s="191"/>
      <c r="RTS40" s="191"/>
      <c r="RTT40" s="191"/>
      <c r="RTV40" s="191"/>
      <c r="RTW40" s="191"/>
      <c r="RTX40" s="191"/>
      <c r="RTZ40" s="191"/>
      <c r="RUA40" s="191"/>
      <c r="RUB40" s="191"/>
      <c r="RUD40" s="191"/>
      <c r="RUE40" s="191"/>
      <c r="RUF40" s="191"/>
      <c r="RUH40" s="191"/>
      <c r="RUI40" s="191"/>
      <c r="RUJ40" s="191"/>
      <c r="RUL40" s="191"/>
      <c r="RUM40" s="191"/>
      <c r="RUN40" s="191"/>
      <c r="RUP40" s="191"/>
      <c r="RUQ40" s="191"/>
      <c r="RUR40" s="191"/>
      <c r="RUT40" s="191"/>
      <c r="RUU40" s="191"/>
      <c r="RUV40" s="191"/>
      <c r="RUX40" s="191"/>
      <c r="RUY40" s="191"/>
      <c r="RUZ40" s="191"/>
      <c r="RVB40" s="191"/>
      <c r="RVC40" s="191"/>
      <c r="RVD40" s="191"/>
      <c r="RVF40" s="191"/>
      <c r="RVG40" s="191"/>
      <c r="RVH40" s="191"/>
      <c r="RVJ40" s="191"/>
      <c r="RVK40" s="191"/>
      <c r="RVL40" s="191"/>
      <c r="RVN40" s="191"/>
      <c r="RVO40" s="191"/>
      <c r="RVP40" s="191"/>
      <c r="RVR40" s="191"/>
      <c r="RVS40" s="191"/>
      <c r="RVT40" s="191"/>
      <c r="RVV40" s="191"/>
      <c r="RVW40" s="191"/>
      <c r="RVX40" s="191"/>
      <c r="RVZ40" s="191"/>
      <c r="RWA40" s="191"/>
      <c r="RWB40" s="191"/>
      <c r="RWD40" s="191"/>
      <c r="RWE40" s="191"/>
      <c r="RWF40" s="191"/>
      <c r="RWH40" s="191"/>
      <c r="RWI40" s="191"/>
      <c r="RWJ40" s="191"/>
      <c r="RWL40" s="191"/>
      <c r="RWM40" s="191"/>
      <c r="RWN40" s="191"/>
      <c r="RWP40" s="191"/>
      <c r="RWQ40" s="191"/>
      <c r="RWR40" s="191"/>
      <c r="RWT40" s="191"/>
      <c r="RWU40" s="191"/>
      <c r="RWV40" s="191"/>
      <c r="RWX40" s="191"/>
      <c r="RWY40" s="191"/>
      <c r="RWZ40" s="191"/>
      <c r="RXB40" s="191"/>
      <c r="RXC40" s="191"/>
      <c r="RXD40" s="191"/>
      <c r="RXF40" s="191"/>
      <c r="RXG40" s="191"/>
      <c r="RXH40" s="191"/>
      <c r="RXJ40" s="191"/>
      <c r="RXK40" s="191"/>
      <c r="RXL40" s="191"/>
      <c r="RXN40" s="191"/>
      <c r="RXO40" s="191"/>
      <c r="RXP40" s="191"/>
      <c r="RXR40" s="191"/>
      <c r="RXS40" s="191"/>
      <c r="RXT40" s="191"/>
      <c r="RXV40" s="191"/>
      <c r="RXW40" s="191"/>
      <c r="RXX40" s="191"/>
      <c r="RXZ40" s="191"/>
      <c r="RYA40" s="191"/>
      <c r="RYB40" s="191"/>
      <c r="RYD40" s="191"/>
      <c r="RYE40" s="191"/>
      <c r="RYF40" s="191"/>
      <c r="RYH40" s="191"/>
      <c r="RYI40" s="191"/>
      <c r="RYJ40" s="191"/>
      <c r="RYL40" s="191"/>
      <c r="RYM40" s="191"/>
      <c r="RYN40" s="191"/>
      <c r="RYP40" s="191"/>
      <c r="RYQ40" s="191"/>
      <c r="RYR40" s="191"/>
      <c r="RYT40" s="191"/>
      <c r="RYU40" s="191"/>
      <c r="RYV40" s="191"/>
      <c r="RYX40" s="191"/>
      <c r="RYY40" s="191"/>
      <c r="RYZ40" s="191"/>
      <c r="RZB40" s="191"/>
      <c r="RZC40" s="191"/>
      <c r="RZD40" s="191"/>
      <c r="RZF40" s="191"/>
      <c r="RZG40" s="191"/>
      <c r="RZH40" s="191"/>
      <c r="RZJ40" s="191"/>
      <c r="RZK40" s="191"/>
      <c r="RZL40" s="191"/>
      <c r="RZN40" s="191"/>
      <c r="RZO40" s="191"/>
      <c r="RZP40" s="191"/>
      <c r="RZR40" s="191"/>
      <c r="RZS40" s="191"/>
      <c r="RZT40" s="191"/>
      <c r="RZV40" s="191"/>
      <c r="RZW40" s="191"/>
      <c r="RZX40" s="191"/>
      <c r="RZZ40" s="191"/>
      <c r="SAA40" s="191"/>
      <c r="SAB40" s="191"/>
      <c r="SAD40" s="191"/>
      <c r="SAE40" s="191"/>
      <c r="SAF40" s="191"/>
      <c r="SAH40" s="191"/>
      <c r="SAI40" s="191"/>
      <c r="SAJ40" s="191"/>
      <c r="SAL40" s="191"/>
      <c r="SAM40" s="191"/>
      <c r="SAN40" s="191"/>
      <c r="SAP40" s="191"/>
      <c r="SAQ40" s="191"/>
      <c r="SAR40" s="191"/>
      <c r="SAT40" s="191"/>
      <c r="SAU40" s="191"/>
      <c r="SAV40" s="191"/>
      <c r="SAX40" s="191"/>
      <c r="SAY40" s="191"/>
      <c r="SAZ40" s="191"/>
      <c r="SBB40" s="191"/>
      <c r="SBC40" s="191"/>
      <c r="SBD40" s="191"/>
      <c r="SBF40" s="191"/>
      <c r="SBG40" s="191"/>
      <c r="SBH40" s="191"/>
      <c r="SBJ40" s="191"/>
      <c r="SBK40" s="191"/>
      <c r="SBL40" s="191"/>
      <c r="SBN40" s="191"/>
      <c r="SBO40" s="191"/>
      <c r="SBP40" s="191"/>
      <c r="SBR40" s="191"/>
      <c r="SBS40" s="191"/>
      <c r="SBT40" s="191"/>
      <c r="SBV40" s="191"/>
      <c r="SBW40" s="191"/>
      <c r="SBX40" s="191"/>
      <c r="SBZ40" s="191"/>
      <c r="SCA40" s="191"/>
      <c r="SCB40" s="191"/>
      <c r="SCD40" s="191"/>
      <c r="SCE40" s="191"/>
      <c r="SCF40" s="191"/>
      <c r="SCH40" s="191"/>
      <c r="SCI40" s="191"/>
      <c r="SCJ40" s="191"/>
      <c r="SCL40" s="191"/>
      <c r="SCM40" s="191"/>
      <c r="SCN40" s="191"/>
      <c r="SCP40" s="191"/>
      <c r="SCQ40" s="191"/>
      <c r="SCR40" s="191"/>
      <c r="SCT40" s="191"/>
      <c r="SCU40" s="191"/>
      <c r="SCV40" s="191"/>
      <c r="SCX40" s="191"/>
      <c r="SCY40" s="191"/>
      <c r="SCZ40" s="191"/>
      <c r="SDB40" s="191"/>
      <c r="SDC40" s="191"/>
      <c r="SDD40" s="191"/>
      <c r="SDF40" s="191"/>
      <c r="SDG40" s="191"/>
      <c r="SDH40" s="191"/>
      <c r="SDJ40" s="191"/>
      <c r="SDK40" s="191"/>
      <c r="SDL40" s="191"/>
      <c r="SDN40" s="191"/>
      <c r="SDO40" s="191"/>
      <c r="SDP40" s="191"/>
      <c r="SDR40" s="191"/>
      <c r="SDS40" s="191"/>
      <c r="SDT40" s="191"/>
      <c r="SDV40" s="191"/>
      <c r="SDW40" s="191"/>
      <c r="SDX40" s="191"/>
      <c r="SDZ40" s="191"/>
      <c r="SEA40" s="191"/>
      <c r="SEB40" s="191"/>
      <c r="SED40" s="191"/>
      <c r="SEE40" s="191"/>
      <c r="SEF40" s="191"/>
      <c r="SEH40" s="191"/>
      <c r="SEI40" s="191"/>
      <c r="SEJ40" s="191"/>
      <c r="SEL40" s="191"/>
      <c r="SEM40" s="191"/>
      <c r="SEN40" s="191"/>
      <c r="SEP40" s="191"/>
      <c r="SEQ40" s="191"/>
      <c r="SER40" s="191"/>
      <c r="SET40" s="191"/>
      <c r="SEU40" s="191"/>
      <c r="SEV40" s="191"/>
      <c r="SEX40" s="191"/>
      <c r="SEY40" s="191"/>
      <c r="SEZ40" s="191"/>
      <c r="SFB40" s="191"/>
      <c r="SFC40" s="191"/>
      <c r="SFD40" s="191"/>
      <c r="SFF40" s="191"/>
      <c r="SFG40" s="191"/>
      <c r="SFH40" s="191"/>
      <c r="SFJ40" s="191"/>
      <c r="SFK40" s="191"/>
      <c r="SFL40" s="191"/>
      <c r="SFN40" s="191"/>
      <c r="SFO40" s="191"/>
      <c r="SFP40" s="191"/>
      <c r="SFR40" s="191"/>
      <c r="SFS40" s="191"/>
      <c r="SFT40" s="191"/>
      <c r="SFV40" s="191"/>
      <c r="SFW40" s="191"/>
      <c r="SFX40" s="191"/>
      <c r="SFZ40" s="191"/>
      <c r="SGA40" s="191"/>
      <c r="SGB40" s="191"/>
      <c r="SGD40" s="191"/>
      <c r="SGE40" s="191"/>
      <c r="SGF40" s="191"/>
      <c r="SGH40" s="191"/>
      <c r="SGI40" s="191"/>
      <c r="SGJ40" s="191"/>
      <c r="SGL40" s="191"/>
      <c r="SGM40" s="191"/>
      <c r="SGN40" s="191"/>
      <c r="SGP40" s="191"/>
      <c r="SGQ40" s="191"/>
      <c r="SGR40" s="191"/>
      <c r="SGT40" s="191"/>
      <c r="SGU40" s="191"/>
      <c r="SGV40" s="191"/>
      <c r="SGX40" s="191"/>
      <c r="SGY40" s="191"/>
      <c r="SGZ40" s="191"/>
      <c r="SHB40" s="191"/>
      <c r="SHC40" s="191"/>
      <c r="SHD40" s="191"/>
      <c r="SHF40" s="191"/>
      <c r="SHG40" s="191"/>
      <c r="SHH40" s="191"/>
      <c r="SHJ40" s="191"/>
      <c r="SHK40" s="191"/>
      <c r="SHL40" s="191"/>
      <c r="SHN40" s="191"/>
      <c r="SHO40" s="191"/>
      <c r="SHP40" s="191"/>
      <c r="SHR40" s="191"/>
      <c r="SHS40" s="191"/>
      <c r="SHT40" s="191"/>
      <c r="SHV40" s="191"/>
      <c r="SHW40" s="191"/>
      <c r="SHX40" s="191"/>
      <c r="SHZ40" s="191"/>
      <c r="SIA40" s="191"/>
      <c r="SIB40" s="191"/>
      <c r="SID40" s="191"/>
      <c r="SIE40" s="191"/>
      <c r="SIF40" s="191"/>
      <c r="SIH40" s="191"/>
      <c r="SII40" s="191"/>
      <c r="SIJ40" s="191"/>
      <c r="SIL40" s="191"/>
      <c r="SIM40" s="191"/>
      <c r="SIN40" s="191"/>
      <c r="SIP40" s="191"/>
      <c r="SIQ40" s="191"/>
      <c r="SIR40" s="191"/>
      <c r="SIT40" s="191"/>
      <c r="SIU40" s="191"/>
      <c r="SIV40" s="191"/>
      <c r="SIX40" s="191"/>
      <c r="SIY40" s="191"/>
      <c r="SIZ40" s="191"/>
      <c r="SJB40" s="191"/>
      <c r="SJC40" s="191"/>
      <c r="SJD40" s="191"/>
      <c r="SJF40" s="191"/>
      <c r="SJG40" s="191"/>
      <c r="SJH40" s="191"/>
      <c r="SJJ40" s="191"/>
      <c r="SJK40" s="191"/>
      <c r="SJL40" s="191"/>
      <c r="SJN40" s="191"/>
      <c r="SJO40" s="191"/>
      <c r="SJP40" s="191"/>
      <c r="SJR40" s="191"/>
      <c r="SJS40" s="191"/>
      <c r="SJT40" s="191"/>
      <c r="SJV40" s="191"/>
      <c r="SJW40" s="191"/>
      <c r="SJX40" s="191"/>
      <c r="SJZ40" s="191"/>
      <c r="SKA40" s="191"/>
      <c r="SKB40" s="191"/>
      <c r="SKD40" s="191"/>
      <c r="SKE40" s="191"/>
      <c r="SKF40" s="191"/>
      <c r="SKH40" s="191"/>
      <c r="SKI40" s="191"/>
      <c r="SKJ40" s="191"/>
      <c r="SKL40" s="191"/>
      <c r="SKM40" s="191"/>
      <c r="SKN40" s="191"/>
      <c r="SKP40" s="191"/>
      <c r="SKQ40" s="191"/>
      <c r="SKR40" s="191"/>
      <c r="SKT40" s="191"/>
      <c r="SKU40" s="191"/>
      <c r="SKV40" s="191"/>
      <c r="SKX40" s="191"/>
      <c r="SKY40" s="191"/>
      <c r="SKZ40" s="191"/>
      <c r="SLB40" s="191"/>
      <c r="SLC40" s="191"/>
      <c r="SLD40" s="191"/>
      <c r="SLF40" s="191"/>
      <c r="SLG40" s="191"/>
      <c r="SLH40" s="191"/>
      <c r="SLJ40" s="191"/>
      <c r="SLK40" s="191"/>
      <c r="SLL40" s="191"/>
      <c r="SLN40" s="191"/>
      <c r="SLO40" s="191"/>
      <c r="SLP40" s="191"/>
      <c r="SLR40" s="191"/>
      <c r="SLS40" s="191"/>
      <c r="SLT40" s="191"/>
      <c r="SLV40" s="191"/>
      <c r="SLW40" s="191"/>
      <c r="SLX40" s="191"/>
      <c r="SLZ40" s="191"/>
      <c r="SMA40" s="191"/>
      <c r="SMB40" s="191"/>
      <c r="SMD40" s="191"/>
      <c r="SME40" s="191"/>
      <c r="SMF40" s="191"/>
      <c r="SMH40" s="191"/>
      <c r="SMI40" s="191"/>
      <c r="SMJ40" s="191"/>
      <c r="SML40" s="191"/>
      <c r="SMM40" s="191"/>
      <c r="SMN40" s="191"/>
      <c r="SMP40" s="191"/>
      <c r="SMQ40" s="191"/>
      <c r="SMR40" s="191"/>
      <c r="SMT40" s="191"/>
      <c r="SMU40" s="191"/>
      <c r="SMV40" s="191"/>
      <c r="SMX40" s="191"/>
      <c r="SMY40" s="191"/>
      <c r="SMZ40" s="191"/>
      <c r="SNB40" s="191"/>
      <c r="SNC40" s="191"/>
      <c r="SND40" s="191"/>
      <c r="SNF40" s="191"/>
      <c r="SNG40" s="191"/>
      <c r="SNH40" s="191"/>
      <c r="SNJ40" s="191"/>
      <c r="SNK40" s="191"/>
      <c r="SNL40" s="191"/>
      <c r="SNN40" s="191"/>
      <c r="SNO40" s="191"/>
      <c r="SNP40" s="191"/>
      <c r="SNR40" s="191"/>
      <c r="SNS40" s="191"/>
      <c r="SNT40" s="191"/>
      <c r="SNV40" s="191"/>
      <c r="SNW40" s="191"/>
      <c r="SNX40" s="191"/>
      <c r="SNZ40" s="191"/>
      <c r="SOA40" s="191"/>
      <c r="SOB40" s="191"/>
      <c r="SOD40" s="191"/>
      <c r="SOE40" s="191"/>
      <c r="SOF40" s="191"/>
      <c r="SOH40" s="191"/>
      <c r="SOI40" s="191"/>
      <c r="SOJ40" s="191"/>
      <c r="SOL40" s="191"/>
      <c r="SOM40" s="191"/>
      <c r="SON40" s="191"/>
      <c r="SOP40" s="191"/>
      <c r="SOQ40" s="191"/>
      <c r="SOR40" s="191"/>
      <c r="SOT40" s="191"/>
      <c r="SOU40" s="191"/>
      <c r="SOV40" s="191"/>
      <c r="SOX40" s="191"/>
      <c r="SOY40" s="191"/>
      <c r="SOZ40" s="191"/>
      <c r="SPB40" s="191"/>
      <c r="SPC40" s="191"/>
      <c r="SPD40" s="191"/>
      <c r="SPF40" s="191"/>
      <c r="SPG40" s="191"/>
      <c r="SPH40" s="191"/>
      <c r="SPJ40" s="191"/>
      <c r="SPK40" s="191"/>
      <c r="SPL40" s="191"/>
      <c r="SPN40" s="191"/>
      <c r="SPO40" s="191"/>
      <c r="SPP40" s="191"/>
      <c r="SPR40" s="191"/>
      <c r="SPS40" s="191"/>
      <c r="SPT40" s="191"/>
      <c r="SPV40" s="191"/>
      <c r="SPW40" s="191"/>
      <c r="SPX40" s="191"/>
      <c r="SPZ40" s="191"/>
      <c r="SQA40" s="191"/>
      <c r="SQB40" s="191"/>
      <c r="SQD40" s="191"/>
      <c r="SQE40" s="191"/>
      <c r="SQF40" s="191"/>
      <c r="SQH40" s="191"/>
      <c r="SQI40" s="191"/>
      <c r="SQJ40" s="191"/>
      <c r="SQL40" s="191"/>
      <c r="SQM40" s="191"/>
      <c r="SQN40" s="191"/>
      <c r="SQP40" s="191"/>
      <c r="SQQ40" s="191"/>
      <c r="SQR40" s="191"/>
      <c r="SQT40" s="191"/>
      <c r="SQU40" s="191"/>
      <c r="SQV40" s="191"/>
      <c r="SQX40" s="191"/>
      <c r="SQY40" s="191"/>
      <c r="SQZ40" s="191"/>
      <c r="SRB40" s="191"/>
      <c r="SRC40" s="191"/>
      <c r="SRD40" s="191"/>
      <c r="SRF40" s="191"/>
      <c r="SRG40" s="191"/>
      <c r="SRH40" s="191"/>
      <c r="SRJ40" s="191"/>
      <c r="SRK40" s="191"/>
      <c r="SRL40" s="191"/>
      <c r="SRN40" s="191"/>
      <c r="SRO40" s="191"/>
      <c r="SRP40" s="191"/>
      <c r="SRR40" s="191"/>
      <c r="SRS40" s="191"/>
      <c r="SRT40" s="191"/>
      <c r="SRV40" s="191"/>
      <c r="SRW40" s="191"/>
      <c r="SRX40" s="191"/>
      <c r="SRZ40" s="191"/>
      <c r="SSA40" s="191"/>
      <c r="SSB40" s="191"/>
      <c r="SSD40" s="191"/>
      <c r="SSE40" s="191"/>
      <c r="SSF40" s="191"/>
      <c r="SSH40" s="191"/>
      <c r="SSI40" s="191"/>
      <c r="SSJ40" s="191"/>
      <c r="SSL40" s="191"/>
      <c r="SSM40" s="191"/>
      <c r="SSN40" s="191"/>
      <c r="SSP40" s="191"/>
      <c r="SSQ40" s="191"/>
      <c r="SSR40" s="191"/>
      <c r="SST40" s="191"/>
      <c r="SSU40" s="191"/>
      <c r="SSV40" s="191"/>
      <c r="SSX40" s="191"/>
      <c r="SSY40" s="191"/>
      <c r="SSZ40" s="191"/>
      <c r="STB40" s="191"/>
      <c r="STC40" s="191"/>
      <c r="STD40" s="191"/>
      <c r="STF40" s="191"/>
      <c r="STG40" s="191"/>
      <c r="STH40" s="191"/>
      <c r="STJ40" s="191"/>
      <c r="STK40" s="191"/>
      <c r="STL40" s="191"/>
      <c r="STN40" s="191"/>
      <c r="STO40" s="191"/>
      <c r="STP40" s="191"/>
      <c r="STR40" s="191"/>
      <c r="STS40" s="191"/>
      <c r="STT40" s="191"/>
      <c r="STV40" s="191"/>
      <c r="STW40" s="191"/>
      <c r="STX40" s="191"/>
      <c r="STZ40" s="191"/>
      <c r="SUA40" s="191"/>
      <c r="SUB40" s="191"/>
      <c r="SUD40" s="191"/>
      <c r="SUE40" s="191"/>
      <c r="SUF40" s="191"/>
      <c r="SUH40" s="191"/>
      <c r="SUI40" s="191"/>
      <c r="SUJ40" s="191"/>
      <c r="SUL40" s="191"/>
      <c r="SUM40" s="191"/>
      <c r="SUN40" s="191"/>
      <c r="SUP40" s="191"/>
      <c r="SUQ40" s="191"/>
      <c r="SUR40" s="191"/>
      <c r="SUT40" s="191"/>
      <c r="SUU40" s="191"/>
      <c r="SUV40" s="191"/>
      <c r="SUX40" s="191"/>
      <c r="SUY40" s="191"/>
      <c r="SUZ40" s="191"/>
      <c r="SVB40" s="191"/>
      <c r="SVC40" s="191"/>
      <c r="SVD40" s="191"/>
      <c r="SVF40" s="191"/>
      <c r="SVG40" s="191"/>
      <c r="SVH40" s="191"/>
      <c r="SVJ40" s="191"/>
      <c r="SVK40" s="191"/>
      <c r="SVL40" s="191"/>
      <c r="SVN40" s="191"/>
      <c r="SVO40" s="191"/>
      <c r="SVP40" s="191"/>
      <c r="SVR40" s="191"/>
      <c r="SVS40" s="191"/>
      <c r="SVT40" s="191"/>
      <c r="SVV40" s="191"/>
      <c r="SVW40" s="191"/>
      <c r="SVX40" s="191"/>
      <c r="SVZ40" s="191"/>
      <c r="SWA40" s="191"/>
      <c r="SWB40" s="191"/>
      <c r="SWD40" s="191"/>
      <c r="SWE40" s="191"/>
      <c r="SWF40" s="191"/>
      <c r="SWH40" s="191"/>
      <c r="SWI40" s="191"/>
      <c r="SWJ40" s="191"/>
      <c r="SWL40" s="191"/>
      <c r="SWM40" s="191"/>
      <c r="SWN40" s="191"/>
      <c r="SWP40" s="191"/>
      <c r="SWQ40" s="191"/>
      <c r="SWR40" s="191"/>
      <c r="SWT40" s="191"/>
      <c r="SWU40" s="191"/>
      <c r="SWV40" s="191"/>
      <c r="SWX40" s="191"/>
      <c r="SWY40" s="191"/>
      <c r="SWZ40" s="191"/>
      <c r="SXB40" s="191"/>
      <c r="SXC40" s="191"/>
      <c r="SXD40" s="191"/>
      <c r="SXF40" s="191"/>
      <c r="SXG40" s="191"/>
      <c r="SXH40" s="191"/>
      <c r="SXJ40" s="191"/>
      <c r="SXK40" s="191"/>
      <c r="SXL40" s="191"/>
      <c r="SXN40" s="191"/>
      <c r="SXO40" s="191"/>
      <c r="SXP40" s="191"/>
      <c r="SXR40" s="191"/>
      <c r="SXS40" s="191"/>
      <c r="SXT40" s="191"/>
      <c r="SXV40" s="191"/>
      <c r="SXW40" s="191"/>
      <c r="SXX40" s="191"/>
      <c r="SXZ40" s="191"/>
      <c r="SYA40" s="191"/>
      <c r="SYB40" s="191"/>
      <c r="SYD40" s="191"/>
      <c r="SYE40" s="191"/>
      <c r="SYF40" s="191"/>
      <c r="SYH40" s="191"/>
      <c r="SYI40" s="191"/>
      <c r="SYJ40" s="191"/>
      <c r="SYL40" s="191"/>
      <c r="SYM40" s="191"/>
      <c r="SYN40" s="191"/>
      <c r="SYP40" s="191"/>
      <c r="SYQ40" s="191"/>
      <c r="SYR40" s="191"/>
      <c r="SYT40" s="191"/>
      <c r="SYU40" s="191"/>
      <c r="SYV40" s="191"/>
      <c r="SYX40" s="191"/>
      <c r="SYY40" s="191"/>
      <c r="SYZ40" s="191"/>
      <c r="SZB40" s="191"/>
      <c r="SZC40" s="191"/>
      <c r="SZD40" s="191"/>
      <c r="SZF40" s="191"/>
      <c r="SZG40" s="191"/>
      <c r="SZH40" s="191"/>
      <c r="SZJ40" s="191"/>
      <c r="SZK40" s="191"/>
      <c r="SZL40" s="191"/>
      <c r="SZN40" s="191"/>
      <c r="SZO40" s="191"/>
      <c r="SZP40" s="191"/>
      <c r="SZR40" s="191"/>
      <c r="SZS40" s="191"/>
      <c r="SZT40" s="191"/>
      <c r="SZV40" s="191"/>
      <c r="SZW40" s="191"/>
      <c r="SZX40" s="191"/>
      <c r="SZZ40" s="191"/>
      <c r="TAA40" s="191"/>
      <c r="TAB40" s="191"/>
      <c r="TAD40" s="191"/>
      <c r="TAE40" s="191"/>
      <c r="TAF40" s="191"/>
      <c r="TAH40" s="191"/>
      <c r="TAI40" s="191"/>
      <c r="TAJ40" s="191"/>
      <c r="TAL40" s="191"/>
      <c r="TAM40" s="191"/>
      <c r="TAN40" s="191"/>
      <c r="TAP40" s="191"/>
      <c r="TAQ40" s="191"/>
      <c r="TAR40" s="191"/>
      <c r="TAT40" s="191"/>
      <c r="TAU40" s="191"/>
      <c r="TAV40" s="191"/>
      <c r="TAX40" s="191"/>
      <c r="TAY40" s="191"/>
      <c r="TAZ40" s="191"/>
      <c r="TBB40" s="191"/>
      <c r="TBC40" s="191"/>
      <c r="TBD40" s="191"/>
      <c r="TBF40" s="191"/>
      <c r="TBG40" s="191"/>
      <c r="TBH40" s="191"/>
      <c r="TBJ40" s="191"/>
      <c r="TBK40" s="191"/>
      <c r="TBL40" s="191"/>
      <c r="TBN40" s="191"/>
      <c r="TBO40" s="191"/>
      <c r="TBP40" s="191"/>
      <c r="TBR40" s="191"/>
      <c r="TBS40" s="191"/>
      <c r="TBT40" s="191"/>
      <c r="TBV40" s="191"/>
      <c r="TBW40" s="191"/>
      <c r="TBX40" s="191"/>
      <c r="TBZ40" s="191"/>
      <c r="TCA40" s="191"/>
      <c r="TCB40" s="191"/>
      <c r="TCD40" s="191"/>
      <c r="TCE40" s="191"/>
      <c r="TCF40" s="191"/>
      <c r="TCH40" s="191"/>
      <c r="TCI40" s="191"/>
      <c r="TCJ40" s="191"/>
      <c r="TCL40" s="191"/>
      <c r="TCM40" s="191"/>
      <c r="TCN40" s="191"/>
      <c r="TCP40" s="191"/>
      <c r="TCQ40" s="191"/>
      <c r="TCR40" s="191"/>
      <c r="TCT40" s="191"/>
      <c r="TCU40" s="191"/>
      <c r="TCV40" s="191"/>
      <c r="TCX40" s="191"/>
      <c r="TCY40" s="191"/>
      <c r="TCZ40" s="191"/>
      <c r="TDB40" s="191"/>
      <c r="TDC40" s="191"/>
      <c r="TDD40" s="191"/>
      <c r="TDF40" s="191"/>
      <c r="TDG40" s="191"/>
      <c r="TDH40" s="191"/>
      <c r="TDJ40" s="191"/>
      <c r="TDK40" s="191"/>
      <c r="TDL40" s="191"/>
      <c r="TDN40" s="191"/>
      <c r="TDO40" s="191"/>
      <c r="TDP40" s="191"/>
      <c r="TDR40" s="191"/>
      <c r="TDS40" s="191"/>
      <c r="TDT40" s="191"/>
      <c r="TDV40" s="191"/>
      <c r="TDW40" s="191"/>
      <c r="TDX40" s="191"/>
      <c r="TDZ40" s="191"/>
      <c r="TEA40" s="191"/>
      <c r="TEB40" s="191"/>
      <c r="TED40" s="191"/>
      <c r="TEE40" s="191"/>
      <c r="TEF40" s="191"/>
      <c r="TEH40" s="191"/>
      <c r="TEI40" s="191"/>
      <c r="TEJ40" s="191"/>
      <c r="TEL40" s="191"/>
      <c r="TEM40" s="191"/>
      <c r="TEN40" s="191"/>
      <c r="TEP40" s="191"/>
      <c r="TEQ40" s="191"/>
      <c r="TER40" s="191"/>
      <c r="TET40" s="191"/>
      <c r="TEU40" s="191"/>
      <c r="TEV40" s="191"/>
      <c r="TEX40" s="191"/>
      <c r="TEY40" s="191"/>
      <c r="TEZ40" s="191"/>
      <c r="TFB40" s="191"/>
      <c r="TFC40" s="191"/>
      <c r="TFD40" s="191"/>
      <c r="TFF40" s="191"/>
      <c r="TFG40" s="191"/>
      <c r="TFH40" s="191"/>
      <c r="TFJ40" s="191"/>
      <c r="TFK40" s="191"/>
      <c r="TFL40" s="191"/>
      <c r="TFN40" s="191"/>
      <c r="TFO40" s="191"/>
      <c r="TFP40" s="191"/>
      <c r="TFR40" s="191"/>
      <c r="TFS40" s="191"/>
      <c r="TFT40" s="191"/>
      <c r="TFV40" s="191"/>
      <c r="TFW40" s="191"/>
      <c r="TFX40" s="191"/>
      <c r="TFZ40" s="191"/>
      <c r="TGA40" s="191"/>
      <c r="TGB40" s="191"/>
      <c r="TGD40" s="191"/>
      <c r="TGE40" s="191"/>
      <c r="TGF40" s="191"/>
      <c r="TGH40" s="191"/>
      <c r="TGI40" s="191"/>
      <c r="TGJ40" s="191"/>
      <c r="TGL40" s="191"/>
      <c r="TGM40" s="191"/>
      <c r="TGN40" s="191"/>
      <c r="TGP40" s="191"/>
      <c r="TGQ40" s="191"/>
      <c r="TGR40" s="191"/>
      <c r="TGT40" s="191"/>
      <c r="TGU40" s="191"/>
      <c r="TGV40" s="191"/>
      <c r="TGX40" s="191"/>
      <c r="TGY40" s="191"/>
      <c r="TGZ40" s="191"/>
      <c r="THB40" s="191"/>
      <c r="THC40" s="191"/>
      <c r="THD40" s="191"/>
      <c r="THF40" s="191"/>
      <c r="THG40" s="191"/>
      <c r="THH40" s="191"/>
      <c r="THJ40" s="191"/>
      <c r="THK40" s="191"/>
      <c r="THL40" s="191"/>
      <c r="THN40" s="191"/>
      <c r="THO40" s="191"/>
      <c r="THP40" s="191"/>
      <c r="THR40" s="191"/>
      <c r="THS40" s="191"/>
      <c r="THT40" s="191"/>
      <c r="THV40" s="191"/>
      <c r="THW40" s="191"/>
      <c r="THX40" s="191"/>
      <c r="THZ40" s="191"/>
      <c r="TIA40" s="191"/>
      <c r="TIB40" s="191"/>
      <c r="TID40" s="191"/>
      <c r="TIE40" s="191"/>
      <c r="TIF40" s="191"/>
      <c r="TIH40" s="191"/>
      <c r="TII40" s="191"/>
      <c r="TIJ40" s="191"/>
      <c r="TIL40" s="191"/>
      <c r="TIM40" s="191"/>
      <c r="TIN40" s="191"/>
      <c r="TIP40" s="191"/>
      <c r="TIQ40" s="191"/>
      <c r="TIR40" s="191"/>
      <c r="TIT40" s="191"/>
      <c r="TIU40" s="191"/>
      <c r="TIV40" s="191"/>
      <c r="TIX40" s="191"/>
      <c r="TIY40" s="191"/>
      <c r="TIZ40" s="191"/>
      <c r="TJB40" s="191"/>
      <c r="TJC40" s="191"/>
      <c r="TJD40" s="191"/>
      <c r="TJF40" s="191"/>
      <c r="TJG40" s="191"/>
      <c r="TJH40" s="191"/>
      <c r="TJJ40" s="191"/>
      <c r="TJK40" s="191"/>
      <c r="TJL40" s="191"/>
      <c r="TJN40" s="191"/>
      <c r="TJO40" s="191"/>
      <c r="TJP40" s="191"/>
      <c r="TJR40" s="191"/>
      <c r="TJS40" s="191"/>
      <c r="TJT40" s="191"/>
      <c r="TJV40" s="191"/>
      <c r="TJW40" s="191"/>
      <c r="TJX40" s="191"/>
      <c r="TJZ40" s="191"/>
      <c r="TKA40" s="191"/>
      <c r="TKB40" s="191"/>
      <c r="TKD40" s="191"/>
      <c r="TKE40" s="191"/>
      <c r="TKF40" s="191"/>
      <c r="TKH40" s="191"/>
      <c r="TKI40" s="191"/>
      <c r="TKJ40" s="191"/>
      <c r="TKL40" s="191"/>
      <c r="TKM40" s="191"/>
      <c r="TKN40" s="191"/>
      <c r="TKP40" s="191"/>
      <c r="TKQ40" s="191"/>
      <c r="TKR40" s="191"/>
      <c r="TKT40" s="191"/>
      <c r="TKU40" s="191"/>
      <c r="TKV40" s="191"/>
      <c r="TKX40" s="191"/>
      <c r="TKY40" s="191"/>
      <c r="TKZ40" s="191"/>
      <c r="TLB40" s="191"/>
      <c r="TLC40" s="191"/>
      <c r="TLD40" s="191"/>
      <c r="TLF40" s="191"/>
      <c r="TLG40" s="191"/>
      <c r="TLH40" s="191"/>
      <c r="TLJ40" s="191"/>
      <c r="TLK40" s="191"/>
      <c r="TLL40" s="191"/>
      <c r="TLN40" s="191"/>
      <c r="TLO40" s="191"/>
      <c r="TLP40" s="191"/>
      <c r="TLR40" s="191"/>
      <c r="TLS40" s="191"/>
      <c r="TLT40" s="191"/>
      <c r="TLV40" s="191"/>
      <c r="TLW40" s="191"/>
      <c r="TLX40" s="191"/>
      <c r="TLZ40" s="191"/>
      <c r="TMA40" s="191"/>
      <c r="TMB40" s="191"/>
      <c r="TMD40" s="191"/>
      <c r="TME40" s="191"/>
      <c r="TMF40" s="191"/>
      <c r="TMH40" s="191"/>
      <c r="TMI40" s="191"/>
      <c r="TMJ40" s="191"/>
      <c r="TML40" s="191"/>
      <c r="TMM40" s="191"/>
      <c r="TMN40" s="191"/>
      <c r="TMP40" s="191"/>
      <c r="TMQ40" s="191"/>
      <c r="TMR40" s="191"/>
      <c r="TMT40" s="191"/>
      <c r="TMU40" s="191"/>
      <c r="TMV40" s="191"/>
      <c r="TMX40" s="191"/>
      <c r="TMY40" s="191"/>
      <c r="TMZ40" s="191"/>
      <c r="TNB40" s="191"/>
      <c r="TNC40" s="191"/>
      <c r="TND40" s="191"/>
      <c r="TNF40" s="191"/>
      <c r="TNG40" s="191"/>
      <c r="TNH40" s="191"/>
      <c r="TNJ40" s="191"/>
      <c r="TNK40" s="191"/>
      <c r="TNL40" s="191"/>
      <c r="TNN40" s="191"/>
      <c r="TNO40" s="191"/>
      <c r="TNP40" s="191"/>
      <c r="TNR40" s="191"/>
      <c r="TNS40" s="191"/>
      <c r="TNT40" s="191"/>
      <c r="TNV40" s="191"/>
      <c r="TNW40" s="191"/>
      <c r="TNX40" s="191"/>
      <c r="TNZ40" s="191"/>
      <c r="TOA40" s="191"/>
      <c r="TOB40" s="191"/>
      <c r="TOD40" s="191"/>
      <c r="TOE40" s="191"/>
      <c r="TOF40" s="191"/>
      <c r="TOH40" s="191"/>
      <c r="TOI40" s="191"/>
      <c r="TOJ40" s="191"/>
      <c r="TOL40" s="191"/>
      <c r="TOM40" s="191"/>
      <c r="TON40" s="191"/>
      <c r="TOP40" s="191"/>
      <c r="TOQ40" s="191"/>
      <c r="TOR40" s="191"/>
      <c r="TOT40" s="191"/>
      <c r="TOU40" s="191"/>
      <c r="TOV40" s="191"/>
      <c r="TOX40" s="191"/>
      <c r="TOY40" s="191"/>
      <c r="TOZ40" s="191"/>
      <c r="TPB40" s="191"/>
      <c r="TPC40" s="191"/>
      <c r="TPD40" s="191"/>
      <c r="TPF40" s="191"/>
      <c r="TPG40" s="191"/>
      <c r="TPH40" s="191"/>
      <c r="TPJ40" s="191"/>
      <c r="TPK40" s="191"/>
      <c r="TPL40" s="191"/>
      <c r="TPN40" s="191"/>
      <c r="TPO40" s="191"/>
      <c r="TPP40" s="191"/>
      <c r="TPR40" s="191"/>
      <c r="TPS40" s="191"/>
      <c r="TPT40" s="191"/>
      <c r="TPV40" s="191"/>
      <c r="TPW40" s="191"/>
      <c r="TPX40" s="191"/>
      <c r="TPZ40" s="191"/>
      <c r="TQA40" s="191"/>
      <c r="TQB40" s="191"/>
      <c r="TQD40" s="191"/>
      <c r="TQE40" s="191"/>
      <c r="TQF40" s="191"/>
      <c r="TQH40" s="191"/>
      <c r="TQI40" s="191"/>
      <c r="TQJ40" s="191"/>
      <c r="TQL40" s="191"/>
      <c r="TQM40" s="191"/>
      <c r="TQN40" s="191"/>
      <c r="TQP40" s="191"/>
      <c r="TQQ40" s="191"/>
      <c r="TQR40" s="191"/>
      <c r="TQT40" s="191"/>
      <c r="TQU40" s="191"/>
      <c r="TQV40" s="191"/>
      <c r="TQX40" s="191"/>
      <c r="TQY40" s="191"/>
      <c r="TQZ40" s="191"/>
      <c r="TRB40" s="191"/>
      <c r="TRC40" s="191"/>
      <c r="TRD40" s="191"/>
      <c r="TRF40" s="191"/>
      <c r="TRG40" s="191"/>
      <c r="TRH40" s="191"/>
      <c r="TRJ40" s="191"/>
      <c r="TRK40" s="191"/>
      <c r="TRL40" s="191"/>
      <c r="TRN40" s="191"/>
      <c r="TRO40" s="191"/>
      <c r="TRP40" s="191"/>
      <c r="TRR40" s="191"/>
      <c r="TRS40" s="191"/>
      <c r="TRT40" s="191"/>
      <c r="TRV40" s="191"/>
      <c r="TRW40" s="191"/>
      <c r="TRX40" s="191"/>
      <c r="TRZ40" s="191"/>
      <c r="TSA40" s="191"/>
      <c r="TSB40" s="191"/>
      <c r="TSD40" s="191"/>
      <c r="TSE40" s="191"/>
      <c r="TSF40" s="191"/>
      <c r="TSH40" s="191"/>
      <c r="TSI40" s="191"/>
      <c r="TSJ40" s="191"/>
      <c r="TSL40" s="191"/>
      <c r="TSM40" s="191"/>
      <c r="TSN40" s="191"/>
      <c r="TSP40" s="191"/>
      <c r="TSQ40" s="191"/>
      <c r="TSR40" s="191"/>
      <c r="TST40" s="191"/>
      <c r="TSU40" s="191"/>
      <c r="TSV40" s="191"/>
      <c r="TSX40" s="191"/>
      <c r="TSY40" s="191"/>
      <c r="TSZ40" s="191"/>
      <c r="TTB40" s="191"/>
      <c r="TTC40" s="191"/>
      <c r="TTD40" s="191"/>
      <c r="TTF40" s="191"/>
      <c r="TTG40" s="191"/>
      <c r="TTH40" s="191"/>
      <c r="TTJ40" s="191"/>
      <c r="TTK40" s="191"/>
      <c r="TTL40" s="191"/>
      <c r="TTN40" s="191"/>
      <c r="TTO40" s="191"/>
      <c r="TTP40" s="191"/>
      <c r="TTR40" s="191"/>
      <c r="TTS40" s="191"/>
      <c r="TTT40" s="191"/>
      <c r="TTV40" s="191"/>
      <c r="TTW40" s="191"/>
      <c r="TTX40" s="191"/>
      <c r="TTZ40" s="191"/>
      <c r="TUA40" s="191"/>
      <c r="TUB40" s="191"/>
      <c r="TUD40" s="191"/>
      <c r="TUE40" s="191"/>
      <c r="TUF40" s="191"/>
      <c r="TUH40" s="191"/>
      <c r="TUI40" s="191"/>
      <c r="TUJ40" s="191"/>
      <c r="TUL40" s="191"/>
      <c r="TUM40" s="191"/>
      <c r="TUN40" s="191"/>
      <c r="TUP40" s="191"/>
      <c r="TUQ40" s="191"/>
      <c r="TUR40" s="191"/>
      <c r="TUT40" s="191"/>
      <c r="TUU40" s="191"/>
      <c r="TUV40" s="191"/>
      <c r="TUX40" s="191"/>
      <c r="TUY40" s="191"/>
      <c r="TUZ40" s="191"/>
      <c r="TVB40" s="191"/>
      <c r="TVC40" s="191"/>
      <c r="TVD40" s="191"/>
      <c r="TVF40" s="191"/>
      <c r="TVG40" s="191"/>
      <c r="TVH40" s="191"/>
      <c r="TVJ40" s="191"/>
      <c r="TVK40" s="191"/>
      <c r="TVL40" s="191"/>
      <c r="TVN40" s="191"/>
      <c r="TVO40" s="191"/>
      <c r="TVP40" s="191"/>
      <c r="TVR40" s="191"/>
      <c r="TVS40" s="191"/>
      <c r="TVT40" s="191"/>
      <c r="TVV40" s="191"/>
      <c r="TVW40" s="191"/>
      <c r="TVX40" s="191"/>
      <c r="TVZ40" s="191"/>
      <c r="TWA40" s="191"/>
      <c r="TWB40" s="191"/>
      <c r="TWD40" s="191"/>
      <c r="TWE40" s="191"/>
      <c r="TWF40" s="191"/>
      <c r="TWH40" s="191"/>
      <c r="TWI40" s="191"/>
      <c r="TWJ40" s="191"/>
      <c r="TWL40" s="191"/>
      <c r="TWM40" s="191"/>
      <c r="TWN40" s="191"/>
      <c r="TWP40" s="191"/>
      <c r="TWQ40" s="191"/>
      <c r="TWR40" s="191"/>
      <c r="TWT40" s="191"/>
      <c r="TWU40" s="191"/>
      <c r="TWV40" s="191"/>
      <c r="TWX40" s="191"/>
      <c r="TWY40" s="191"/>
      <c r="TWZ40" s="191"/>
      <c r="TXB40" s="191"/>
      <c r="TXC40" s="191"/>
      <c r="TXD40" s="191"/>
      <c r="TXF40" s="191"/>
      <c r="TXG40" s="191"/>
      <c r="TXH40" s="191"/>
      <c r="TXJ40" s="191"/>
      <c r="TXK40" s="191"/>
      <c r="TXL40" s="191"/>
      <c r="TXN40" s="191"/>
      <c r="TXO40" s="191"/>
      <c r="TXP40" s="191"/>
      <c r="TXR40" s="191"/>
      <c r="TXS40" s="191"/>
      <c r="TXT40" s="191"/>
      <c r="TXV40" s="191"/>
      <c r="TXW40" s="191"/>
      <c r="TXX40" s="191"/>
      <c r="TXZ40" s="191"/>
      <c r="TYA40" s="191"/>
      <c r="TYB40" s="191"/>
      <c r="TYD40" s="191"/>
      <c r="TYE40" s="191"/>
      <c r="TYF40" s="191"/>
      <c r="TYH40" s="191"/>
      <c r="TYI40" s="191"/>
      <c r="TYJ40" s="191"/>
      <c r="TYL40" s="191"/>
      <c r="TYM40" s="191"/>
      <c r="TYN40" s="191"/>
      <c r="TYP40" s="191"/>
      <c r="TYQ40" s="191"/>
      <c r="TYR40" s="191"/>
      <c r="TYT40" s="191"/>
      <c r="TYU40" s="191"/>
      <c r="TYV40" s="191"/>
      <c r="TYX40" s="191"/>
      <c r="TYY40" s="191"/>
      <c r="TYZ40" s="191"/>
      <c r="TZB40" s="191"/>
      <c r="TZC40" s="191"/>
      <c r="TZD40" s="191"/>
      <c r="TZF40" s="191"/>
      <c r="TZG40" s="191"/>
      <c r="TZH40" s="191"/>
      <c r="TZJ40" s="191"/>
      <c r="TZK40" s="191"/>
      <c r="TZL40" s="191"/>
      <c r="TZN40" s="191"/>
      <c r="TZO40" s="191"/>
      <c r="TZP40" s="191"/>
      <c r="TZR40" s="191"/>
      <c r="TZS40" s="191"/>
      <c r="TZT40" s="191"/>
      <c r="TZV40" s="191"/>
      <c r="TZW40" s="191"/>
      <c r="TZX40" s="191"/>
      <c r="TZZ40" s="191"/>
      <c r="UAA40" s="191"/>
      <c r="UAB40" s="191"/>
      <c r="UAD40" s="191"/>
      <c r="UAE40" s="191"/>
      <c r="UAF40" s="191"/>
      <c r="UAH40" s="191"/>
      <c r="UAI40" s="191"/>
      <c r="UAJ40" s="191"/>
      <c r="UAL40" s="191"/>
      <c r="UAM40" s="191"/>
      <c r="UAN40" s="191"/>
      <c r="UAP40" s="191"/>
      <c r="UAQ40" s="191"/>
      <c r="UAR40" s="191"/>
      <c r="UAT40" s="191"/>
      <c r="UAU40" s="191"/>
      <c r="UAV40" s="191"/>
      <c r="UAX40" s="191"/>
      <c r="UAY40" s="191"/>
      <c r="UAZ40" s="191"/>
      <c r="UBB40" s="191"/>
      <c r="UBC40" s="191"/>
      <c r="UBD40" s="191"/>
      <c r="UBF40" s="191"/>
      <c r="UBG40" s="191"/>
      <c r="UBH40" s="191"/>
      <c r="UBJ40" s="191"/>
      <c r="UBK40" s="191"/>
      <c r="UBL40" s="191"/>
      <c r="UBN40" s="191"/>
      <c r="UBO40" s="191"/>
      <c r="UBP40" s="191"/>
      <c r="UBR40" s="191"/>
      <c r="UBS40" s="191"/>
      <c r="UBT40" s="191"/>
      <c r="UBV40" s="191"/>
      <c r="UBW40" s="191"/>
      <c r="UBX40" s="191"/>
      <c r="UBZ40" s="191"/>
      <c r="UCA40" s="191"/>
      <c r="UCB40" s="191"/>
      <c r="UCD40" s="191"/>
      <c r="UCE40" s="191"/>
      <c r="UCF40" s="191"/>
      <c r="UCH40" s="191"/>
      <c r="UCI40" s="191"/>
      <c r="UCJ40" s="191"/>
      <c r="UCL40" s="191"/>
      <c r="UCM40" s="191"/>
      <c r="UCN40" s="191"/>
      <c r="UCP40" s="191"/>
      <c r="UCQ40" s="191"/>
      <c r="UCR40" s="191"/>
      <c r="UCT40" s="191"/>
      <c r="UCU40" s="191"/>
      <c r="UCV40" s="191"/>
      <c r="UCX40" s="191"/>
      <c r="UCY40" s="191"/>
      <c r="UCZ40" s="191"/>
      <c r="UDB40" s="191"/>
      <c r="UDC40" s="191"/>
      <c r="UDD40" s="191"/>
      <c r="UDF40" s="191"/>
      <c r="UDG40" s="191"/>
      <c r="UDH40" s="191"/>
      <c r="UDJ40" s="191"/>
      <c r="UDK40" s="191"/>
      <c r="UDL40" s="191"/>
      <c r="UDN40" s="191"/>
      <c r="UDO40" s="191"/>
      <c r="UDP40" s="191"/>
      <c r="UDR40" s="191"/>
      <c r="UDS40" s="191"/>
      <c r="UDT40" s="191"/>
      <c r="UDV40" s="191"/>
      <c r="UDW40" s="191"/>
      <c r="UDX40" s="191"/>
      <c r="UDZ40" s="191"/>
      <c r="UEA40" s="191"/>
      <c r="UEB40" s="191"/>
      <c r="UED40" s="191"/>
      <c r="UEE40" s="191"/>
      <c r="UEF40" s="191"/>
      <c r="UEH40" s="191"/>
      <c r="UEI40" s="191"/>
      <c r="UEJ40" s="191"/>
      <c r="UEL40" s="191"/>
      <c r="UEM40" s="191"/>
      <c r="UEN40" s="191"/>
      <c r="UEP40" s="191"/>
      <c r="UEQ40" s="191"/>
      <c r="UER40" s="191"/>
      <c r="UET40" s="191"/>
      <c r="UEU40" s="191"/>
      <c r="UEV40" s="191"/>
      <c r="UEX40" s="191"/>
      <c r="UEY40" s="191"/>
      <c r="UEZ40" s="191"/>
      <c r="UFB40" s="191"/>
      <c r="UFC40" s="191"/>
      <c r="UFD40" s="191"/>
      <c r="UFF40" s="191"/>
      <c r="UFG40" s="191"/>
      <c r="UFH40" s="191"/>
      <c r="UFJ40" s="191"/>
      <c r="UFK40" s="191"/>
      <c r="UFL40" s="191"/>
      <c r="UFN40" s="191"/>
      <c r="UFO40" s="191"/>
      <c r="UFP40" s="191"/>
      <c r="UFR40" s="191"/>
      <c r="UFS40" s="191"/>
      <c r="UFT40" s="191"/>
      <c r="UFV40" s="191"/>
      <c r="UFW40" s="191"/>
      <c r="UFX40" s="191"/>
      <c r="UFZ40" s="191"/>
      <c r="UGA40" s="191"/>
      <c r="UGB40" s="191"/>
      <c r="UGD40" s="191"/>
      <c r="UGE40" s="191"/>
      <c r="UGF40" s="191"/>
      <c r="UGH40" s="191"/>
      <c r="UGI40" s="191"/>
      <c r="UGJ40" s="191"/>
      <c r="UGL40" s="191"/>
      <c r="UGM40" s="191"/>
      <c r="UGN40" s="191"/>
      <c r="UGP40" s="191"/>
      <c r="UGQ40" s="191"/>
      <c r="UGR40" s="191"/>
      <c r="UGT40" s="191"/>
      <c r="UGU40" s="191"/>
      <c r="UGV40" s="191"/>
      <c r="UGX40" s="191"/>
      <c r="UGY40" s="191"/>
      <c r="UGZ40" s="191"/>
      <c r="UHB40" s="191"/>
      <c r="UHC40" s="191"/>
      <c r="UHD40" s="191"/>
      <c r="UHF40" s="191"/>
      <c r="UHG40" s="191"/>
      <c r="UHH40" s="191"/>
      <c r="UHJ40" s="191"/>
      <c r="UHK40" s="191"/>
      <c r="UHL40" s="191"/>
      <c r="UHN40" s="191"/>
      <c r="UHO40" s="191"/>
      <c r="UHP40" s="191"/>
      <c r="UHR40" s="191"/>
      <c r="UHS40" s="191"/>
      <c r="UHT40" s="191"/>
      <c r="UHV40" s="191"/>
      <c r="UHW40" s="191"/>
      <c r="UHX40" s="191"/>
      <c r="UHZ40" s="191"/>
      <c r="UIA40" s="191"/>
      <c r="UIB40" s="191"/>
      <c r="UID40" s="191"/>
      <c r="UIE40" s="191"/>
      <c r="UIF40" s="191"/>
      <c r="UIH40" s="191"/>
      <c r="UII40" s="191"/>
      <c r="UIJ40" s="191"/>
      <c r="UIL40" s="191"/>
      <c r="UIM40" s="191"/>
      <c r="UIN40" s="191"/>
      <c r="UIP40" s="191"/>
      <c r="UIQ40" s="191"/>
      <c r="UIR40" s="191"/>
      <c r="UIT40" s="191"/>
      <c r="UIU40" s="191"/>
      <c r="UIV40" s="191"/>
      <c r="UIX40" s="191"/>
      <c r="UIY40" s="191"/>
      <c r="UIZ40" s="191"/>
      <c r="UJB40" s="191"/>
      <c r="UJC40" s="191"/>
      <c r="UJD40" s="191"/>
      <c r="UJF40" s="191"/>
      <c r="UJG40" s="191"/>
      <c r="UJH40" s="191"/>
      <c r="UJJ40" s="191"/>
      <c r="UJK40" s="191"/>
      <c r="UJL40" s="191"/>
      <c r="UJN40" s="191"/>
      <c r="UJO40" s="191"/>
      <c r="UJP40" s="191"/>
      <c r="UJR40" s="191"/>
      <c r="UJS40" s="191"/>
      <c r="UJT40" s="191"/>
      <c r="UJV40" s="191"/>
      <c r="UJW40" s="191"/>
      <c r="UJX40" s="191"/>
      <c r="UJZ40" s="191"/>
      <c r="UKA40" s="191"/>
      <c r="UKB40" s="191"/>
      <c r="UKD40" s="191"/>
      <c r="UKE40" s="191"/>
      <c r="UKF40" s="191"/>
      <c r="UKH40" s="191"/>
      <c r="UKI40" s="191"/>
      <c r="UKJ40" s="191"/>
      <c r="UKL40" s="191"/>
      <c r="UKM40" s="191"/>
      <c r="UKN40" s="191"/>
      <c r="UKP40" s="191"/>
      <c r="UKQ40" s="191"/>
      <c r="UKR40" s="191"/>
      <c r="UKT40" s="191"/>
      <c r="UKU40" s="191"/>
      <c r="UKV40" s="191"/>
      <c r="UKX40" s="191"/>
      <c r="UKY40" s="191"/>
      <c r="UKZ40" s="191"/>
      <c r="ULB40" s="191"/>
      <c r="ULC40" s="191"/>
      <c r="ULD40" s="191"/>
      <c r="ULF40" s="191"/>
      <c r="ULG40" s="191"/>
      <c r="ULH40" s="191"/>
      <c r="ULJ40" s="191"/>
      <c r="ULK40" s="191"/>
      <c r="ULL40" s="191"/>
      <c r="ULN40" s="191"/>
      <c r="ULO40" s="191"/>
      <c r="ULP40" s="191"/>
      <c r="ULR40" s="191"/>
      <c r="ULS40" s="191"/>
      <c r="ULT40" s="191"/>
      <c r="ULV40" s="191"/>
      <c r="ULW40" s="191"/>
      <c r="ULX40" s="191"/>
      <c r="ULZ40" s="191"/>
      <c r="UMA40" s="191"/>
      <c r="UMB40" s="191"/>
      <c r="UMD40" s="191"/>
      <c r="UME40" s="191"/>
      <c r="UMF40" s="191"/>
      <c r="UMH40" s="191"/>
      <c r="UMI40" s="191"/>
      <c r="UMJ40" s="191"/>
      <c r="UML40" s="191"/>
      <c r="UMM40" s="191"/>
      <c r="UMN40" s="191"/>
      <c r="UMP40" s="191"/>
      <c r="UMQ40" s="191"/>
      <c r="UMR40" s="191"/>
      <c r="UMT40" s="191"/>
      <c r="UMU40" s="191"/>
      <c r="UMV40" s="191"/>
      <c r="UMX40" s="191"/>
      <c r="UMY40" s="191"/>
      <c r="UMZ40" s="191"/>
      <c r="UNB40" s="191"/>
      <c r="UNC40" s="191"/>
      <c r="UND40" s="191"/>
      <c r="UNF40" s="191"/>
      <c r="UNG40" s="191"/>
      <c r="UNH40" s="191"/>
      <c r="UNJ40" s="191"/>
      <c r="UNK40" s="191"/>
      <c r="UNL40" s="191"/>
      <c r="UNN40" s="191"/>
      <c r="UNO40" s="191"/>
      <c r="UNP40" s="191"/>
      <c r="UNR40" s="191"/>
      <c r="UNS40" s="191"/>
      <c r="UNT40" s="191"/>
      <c r="UNV40" s="191"/>
      <c r="UNW40" s="191"/>
      <c r="UNX40" s="191"/>
      <c r="UNZ40" s="191"/>
      <c r="UOA40" s="191"/>
      <c r="UOB40" s="191"/>
      <c r="UOD40" s="191"/>
      <c r="UOE40" s="191"/>
      <c r="UOF40" s="191"/>
      <c r="UOH40" s="191"/>
      <c r="UOI40" s="191"/>
      <c r="UOJ40" s="191"/>
      <c r="UOL40" s="191"/>
      <c r="UOM40" s="191"/>
      <c r="UON40" s="191"/>
      <c r="UOP40" s="191"/>
      <c r="UOQ40" s="191"/>
      <c r="UOR40" s="191"/>
      <c r="UOT40" s="191"/>
      <c r="UOU40" s="191"/>
      <c r="UOV40" s="191"/>
      <c r="UOX40" s="191"/>
      <c r="UOY40" s="191"/>
      <c r="UOZ40" s="191"/>
      <c r="UPB40" s="191"/>
      <c r="UPC40" s="191"/>
      <c r="UPD40" s="191"/>
      <c r="UPF40" s="191"/>
      <c r="UPG40" s="191"/>
      <c r="UPH40" s="191"/>
      <c r="UPJ40" s="191"/>
      <c r="UPK40" s="191"/>
      <c r="UPL40" s="191"/>
      <c r="UPN40" s="191"/>
      <c r="UPO40" s="191"/>
      <c r="UPP40" s="191"/>
      <c r="UPR40" s="191"/>
      <c r="UPS40" s="191"/>
      <c r="UPT40" s="191"/>
      <c r="UPV40" s="191"/>
      <c r="UPW40" s="191"/>
      <c r="UPX40" s="191"/>
      <c r="UPZ40" s="191"/>
      <c r="UQA40" s="191"/>
      <c r="UQB40" s="191"/>
      <c r="UQD40" s="191"/>
      <c r="UQE40" s="191"/>
      <c r="UQF40" s="191"/>
      <c r="UQH40" s="191"/>
      <c r="UQI40" s="191"/>
      <c r="UQJ40" s="191"/>
      <c r="UQL40" s="191"/>
      <c r="UQM40" s="191"/>
      <c r="UQN40" s="191"/>
      <c r="UQP40" s="191"/>
      <c r="UQQ40" s="191"/>
      <c r="UQR40" s="191"/>
      <c r="UQT40" s="191"/>
      <c r="UQU40" s="191"/>
      <c r="UQV40" s="191"/>
      <c r="UQX40" s="191"/>
      <c r="UQY40" s="191"/>
      <c r="UQZ40" s="191"/>
      <c r="URB40" s="191"/>
      <c r="URC40" s="191"/>
      <c r="URD40" s="191"/>
      <c r="URF40" s="191"/>
      <c r="URG40" s="191"/>
      <c r="URH40" s="191"/>
      <c r="URJ40" s="191"/>
      <c r="URK40" s="191"/>
      <c r="URL40" s="191"/>
      <c r="URN40" s="191"/>
      <c r="URO40" s="191"/>
      <c r="URP40" s="191"/>
      <c r="URR40" s="191"/>
      <c r="URS40" s="191"/>
      <c r="URT40" s="191"/>
      <c r="URV40" s="191"/>
      <c r="URW40" s="191"/>
      <c r="URX40" s="191"/>
      <c r="URZ40" s="191"/>
      <c r="USA40" s="191"/>
      <c r="USB40" s="191"/>
      <c r="USD40" s="191"/>
      <c r="USE40" s="191"/>
      <c r="USF40" s="191"/>
      <c r="USH40" s="191"/>
      <c r="USI40" s="191"/>
      <c r="USJ40" s="191"/>
      <c r="USL40" s="191"/>
      <c r="USM40" s="191"/>
      <c r="USN40" s="191"/>
      <c r="USP40" s="191"/>
      <c r="USQ40" s="191"/>
      <c r="USR40" s="191"/>
      <c r="UST40" s="191"/>
      <c r="USU40" s="191"/>
      <c r="USV40" s="191"/>
      <c r="USX40" s="191"/>
      <c r="USY40" s="191"/>
      <c r="USZ40" s="191"/>
      <c r="UTB40" s="191"/>
      <c r="UTC40" s="191"/>
      <c r="UTD40" s="191"/>
      <c r="UTF40" s="191"/>
      <c r="UTG40" s="191"/>
      <c r="UTH40" s="191"/>
      <c r="UTJ40" s="191"/>
      <c r="UTK40" s="191"/>
      <c r="UTL40" s="191"/>
      <c r="UTN40" s="191"/>
      <c r="UTO40" s="191"/>
      <c r="UTP40" s="191"/>
      <c r="UTR40" s="191"/>
      <c r="UTS40" s="191"/>
      <c r="UTT40" s="191"/>
      <c r="UTV40" s="191"/>
      <c r="UTW40" s="191"/>
      <c r="UTX40" s="191"/>
      <c r="UTZ40" s="191"/>
      <c r="UUA40" s="191"/>
      <c r="UUB40" s="191"/>
      <c r="UUD40" s="191"/>
      <c r="UUE40" s="191"/>
      <c r="UUF40" s="191"/>
      <c r="UUH40" s="191"/>
      <c r="UUI40" s="191"/>
      <c r="UUJ40" s="191"/>
      <c r="UUL40" s="191"/>
      <c r="UUM40" s="191"/>
      <c r="UUN40" s="191"/>
      <c r="UUP40" s="191"/>
      <c r="UUQ40" s="191"/>
      <c r="UUR40" s="191"/>
      <c r="UUT40" s="191"/>
      <c r="UUU40" s="191"/>
      <c r="UUV40" s="191"/>
      <c r="UUX40" s="191"/>
      <c r="UUY40" s="191"/>
      <c r="UUZ40" s="191"/>
      <c r="UVB40" s="191"/>
      <c r="UVC40" s="191"/>
      <c r="UVD40" s="191"/>
      <c r="UVF40" s="191"/>
      <c r="UVG40" s="191"/>
      <c r="UVH40" s="191"/>
      <c r="UVJ40" s="191"/>
      <c r="UVK40" s="191"/>
      <c r="UVL40" s="191"/>
      <c r="UVN40" s="191"/>
      <c r="UVO40" s="191"/>
      <c r="UVP40" s="191"/>
      <c r="UVR40" s="191"/>
      <c r="UVS40" s="191"/>
      <c r="UVT40" s="191"/>
      <c r="UVV40" s="191"/>
      <c r="UVW40" s="191"/>
      <c r="UVX40" s="191"/>
      <c r="UVZ40" s="191"/>
      <c r="UWA40" s="191"/>
      <c r="UWB40" s="191"/>
      <c r="UWD40" s="191"/>
      <c r="UWE40" s="191"/>
      <c r="UWF40" s="191"/>
      <c r="UWH40" s="191"/>
      <c r="UWI40" s="191"/>
      <c r="UWJ40" s="191"/>
      <c r="UWL40" s="191"/>
      <c r="UWM40" s="191"/>
      <c r="UWN40" s="191"/>
      <c r="UWP40" s="191"/>
      <c r="UWQ40" s="191"/>
      <c r="UWR40" s="191"/>
      <c r="UWT40" s="191"/>
      <c r="UWU40" s="191"/>
      <c r="UWV40" s="191"/>
      <c r="UWX40" s="191"/>
      <c r="UWY40" s="191"/>
      <c r="UWZ40" s="191"/>
      <c r="UXB40" s="191"/>
      <c r="UXC40" s="191"/>
      <c r="UXD40" s="191"/>
      <c r="UXF40" s="191"/>
      <c r="UXG40" s="191"/>
      <c r="UXH40" s="191"/>
      <c r="UXJ40" s="191"/>
      <c r="UXK40" s="191"/>
      <c r="UXL40" s="191"/>
      <c r="UXN40" s="191"/>
      <c r="UXO40" s="191"/>
      <c r="UXP40" s="191"/>
      <c r="UXR40" s="191"/>
      <c r="UXS40" s="191"/>
      <c r="UXT40" s="191"/>
      <c r="UXV40" s="191"/>
      <c r="UXW40" s="191"/>
      <c r="UXX40" s="191"/>
      <c r="UXZ40" s="191"/>
      <c r="UYA40" s="191"/>
      <c r="UYB40" s="191"/>
      <c r="UYD40" s="191"/>
      <c r="UYE40" s="191"/>
      <c r="UYF40" s="191"/>
      <c r="UYH40" s="191"/>
      <c r="UYI40" s="191"/>
      <c r="UYJ40" s="191"/>
      <c r="UYL40" s="191"/>
      <c r="UYM40" s="191"/>
      <c r="UYN40" s="191"/>
      <c r="UYP40" s="191"/>
      <c r="UYQ40" s="191"/>
      <c r="UYR40" s="191"/>
      <c r="UYT40" s="191"/>
      <c r="UYU40" s="191"/>
      <c r="UYV40" s="191"/>
      <c r="UYX40" s="191"/>
      <c r="UYY40" s="191"/>
      <c r="UYZ40" s="191"/>
      <c r="UZB40" s="191"/>
      <c r="UZC40" s="191"/>
      <c r="UZD40" s="191"/>
      <c r="UZF40" s="191"/>
      <c r="UZG40" s="191"/>
      <c r="UZH40" s="191"/>
      <c r="UZJ40" s="191"/>
      <c r="UZK40" s="191"/>
      <c r="UZL40" s="191"/>
      <c r="UZN40" s="191"/>
      <c r="UZO40" s="191"/>
      <c r="UZP40" s="191"/>
      <c r="UZR40" s="191"/>
      <c r="UZS40" s="191"/>
      <c r="UZT40" s="191"/>
      <c r="UZV40" s="191"/>
      <c r="UZW40" s="191"/>
      <c r="UZX40" s="191"/>
      <c r="UZZ40" s="191"/>
      <c r="VAA40" s="191"/>
      <c r="VAB40" s="191"/>
      <c r="VAD40" s="191"/>
      <c r="VAE40" s="191"/>
      <c r="VAF40" s="191"/>
      <c r="VAH40" s="191"/>
      <c r="VAI40" s="191"/>
      <c r="VAJ40" s="191"/>
      <c r="VAL40" s="191"/>
      <c r="VAM40" s="191"/>
      <c r="VAN40" s="191"/>
      <c r="VAP40" s="191"/>
      <c r="VAQ40" s="191"/>
      <c r="VAR40" s="191"/>
      <c r="VAT40" s="191"/>
      <c r="VAU40" s="191"/>
      <c r="VAV40" s="191"/>
      <c r="VAX40" s="191"/>
      <c r="VAY40" s="191"/>
      <c r="VAZ40" s="191"/>
      <c r="VBB40" s="191"/>
      <c r="VBC40" s="191"/>
      <c r="VBD40" s="191"/>
      <c r="VBF40" s="191"/>
      <c r="VBG40" s="191"/>
      <c r="VBH40" s="191"/>
      <c r="VBJ40" s="191"/>
      <c r="VBK40" s="191"/>
      <c r="VBL40" s="191"/>
      <c r="VBN40" s="191"/>
      <c r="VBO40" s="191"/>
      <c r="VBP40" s="191"/>
      <c r="VBR40" s="191"/>
      <c r="VBS40" s="191"/>
      <c r="VBT40" s="191"/>
      <c r="VBV40" s="191"/>
      <c r="VBW40" s="191"/>
      <c r="VBX40" s="191"/>
      <c r="VBZ40" s="191"/>
      <c r="VCA40" s="191"/>
      <c r="VCB40" s="191"/>
      <c r="VCD40" s="191"/>
      <c r="VCE40" s="191"/>
      <c r="VCF40" s="191"/>
      <c r="VCH40" s="191"/>
      <c r="VCI40" s="191"/>
      <c r="VCJ40" s="191"/>
      <c r="VCL40" s="191"/>
      <c r="VCM40" s="191"/>
      <c r="VCN40" s="191"/>
      <c r="VCP40" s="191"/>
      <c r="VCQ40" s="191"/>
      <c r="VCR40" s="191"/>
      <c r="VCT40" s="191"/>
      <c r="VCU40" s="191"/>
      <c r="VCV40" s="191"/>
      <c r="VCX40" s="191"/>
      <c r="VCY40" s="191"/>
      <c r="VCZ40" s="191"/>
      <c r="VDB40" s="191"/>
      <c r="VDC40" s="191"/>
      <c r="VDD40" s="191"/>
      <c r="VDF40" s="191"/>
      <c r="VDG40" s="191"/>
      <c r="VDH40" s="191"/>
      <c r="VDJ40" s="191"/>
      <c r="VDK40" s="191"/>
      <c r="VDL40" s="191"/>
      <c r="VDN40" s="191"/>
      <c r="VDO40" s="191"/>
      <c r="VDP40" s="191"/>
      <c r="VDR40" s="191"/>
      <c r="VDS40" s="191"/>
      <c r="VDT40" s="191"/>
      <c r="VDV40" s="191"/>
      <c r="VDW40" s="191"/>
      <c r="VDX40" s="191"/>
      <c r="VDZ40" s="191"/>
      <c r="VEA40" s="191"/>
      <c r="VEB40" s="191"/>
      <c r="VED40" s="191"/>
      <c r="VEE40" s="191"/>
      <c r="VEF40" s="191"/>
      <c r="VEH40" s="191"/>
      <c r="VEI40" s="191"/>
      <c r="VEJ40" s="191"/>
      <c r="VEL40" s="191"/>
      <c r="VEM40" s="191"/>
      <c r="VEN40" s="191"/>
      <c r="VEP40" s="191"/>
      <c r="VEQ40" s="191"/>
      <c r="VER40" s="191"/>
      <c r="VET40" s="191"/>
      <c r="VEU40" s="191"/>
      <c r="VEV40" s="191"/>
      <c r="VEX40" s="191"/>
      <c r="VEY40" s="191"/>
      <c r="VEZ40" s="191"/>
      <c r="VFB40" s="191"/>
      <c r="VFC40" s="191"/>
      <c r="VFD40" s="191"/>
      <c r="VFF40" s="191"/>
      <c r="VFG40" s="191"/>
      <c r="VFH40" s="191"/>
      <c r="VFJ40" s="191"/>
      <c r="VFK40" s="191"/>
      <c r="VFL40" s="191"/>
      <c r="VFN40" s="191"/>
      <c r="VFO40" s="191"/>
      <c r="VFP40" s="191"/>
      <c r="VFR40" s="191"/>
      <c r="VFS40" s="191"/>
      <c r="VFT40" s="191"/>
      <c r="VFV40" s="191"/>
      <c r="VFW40" s="191"/>
      <c r="VFX40" s="191"/>
      <c r="VFZ40" s="191"/>
      <c r="VGA40" s="191"/>
      <c r="VGB40" s="191"/>
      <c r="VGD40" s="191"/>
      <c r="VGE40" s="191"/>
      <c r="VGF40" s="191"/>
      <c r="VGH40" s="191"/>
      <c r="VGI40" s="191"/>
      <c r="VGJ40" s="191"/>
      <c r="VGL40" s="191"/>
      <c r="VGM40" s="191"/>
      <c r="VGN40" s="191"/>
      <c r="VGP40" s="191"/>
      <c r="VGQ40" s="191"/>
      <c r="VGR40" s="191"/>
      <c r="VGT40" s="191"/>
      <c r="VGU40" s="191"/>
      <c r="VGV40" s="191"/>
      <c r="VGX40" s="191"/>
      <c r="VGY40" s="191"/>
      <c r="VGZ40" s="191"/>
      <c r="VHB40" s="191"/>
      <c r="VHC40" s="191"/>
      <c r="VHD40" s="191"/>
      <c r="VHF40" s="191"/>
      <c r="VHG40" s="191"/>
      <c r="VHH40" s="191"/>
      <c r="VHJ40" s="191"/>
      <c r="VHK40" s="191"/>
      <c r="VHL40" s="191"/>
      <c r="VHN40" s="191"/>
      <c r="VHO40" s="191"/>
      <c r="VHP40" s="191"/>
      <c r="VHR40" s="191"/>
      <c r="VHS40" s="191"/>
      <c r="VHT40" s="191"/>
      <c r="VHV40" s="191"/>
      <c r="VHW40" s="191"/>
      <c r="VHX40" s="191"/>
      <c r="VHZ40" s="191"/>
      <c r="VIA40" s="191"/>
      <c r="VIB40" s="191"/>
      <c r="VID40" s="191"/>
      <c r="VIE40" s="191"/>
      <c r="VIF40" s="191"/>
      <c r="VIH40" s="191"/>
      <c r="VII40" s="191"/>
      <c r="VIJ40" s="191"/>
      <c r="VIL40" s="191"/>
      <c r="VIM40" s="191"/>
      <c r="VIN40" s="191"/>
      <c r="VIP40" s="191"/>
      <c r="VIQ40" s="191"/>
      <c r="VIR40" s="191"/>
      <c r="VIT40" s="191"/>
      <c r="VIU40" s="191"/>
      <c r="VIV40" s="191"/>
      <c r="VIX40" s="191"/>
      <c r="VIY40" s="191"/>
      <c r="VIZ40" s="191"/>
      <c r="VJB40" s="191"/>
      <c r="VJC40" s="191"/>
      <c r="VJD40" s="191"/>
      <c r="VJF40" s="191"/>
      <c r="VJG40" s="191"/>
      <c r="VJH40" s="191"/>
      <c r="VJJ40" s="191"/>
      <c r="VJK40" s="191"/>
      <c r="VJL40" s="191"/>
      <c r="VJN40" s="191"/>
      <c r="VJO40" s="191"/>
      <c r="VJP40" s="191"/>
      <c r="VJR40" s="191"/>
      <c r="VJS40" s="191"/>
      <c r="VJT40" s="191"/>
      <c r="VJV40" s="191"/>
      <c r="VJW40" s="191"/>
      <c r="VJX40" s="191"/>
      <c r="VJZ40" s="191"/>
      <c r="VKA40" s="191"/>
      <c r="VKB40" s="191"/>
      <c r="VKD40" s="191"/>
      <c r="VKE40" s="191"/>
      <c r="VKF40" s="191"/>
      <c r="VKH40" s="191"/>
      <c r="VKI40" s="191"/>
      <c r="VKJ40" s="191"/>
      <c r="VKL40" s="191"/>
      <c r="VKM40" s="191"/>
      <c r="VKN40" s="191"/>
      <c r="VKP40" s="191"/>
      <c r="VKQ40" s="191"/>
      <c r="VKR40" s="191"/>
      <c r="VKT40" s="191"/>
      <c r="VKU40" s="191"/>
      <c r="VKV40" s="191"/>
      <c r="VKX40" s="191"/>
      <c r="VKY40" s="191"/>
      <c r="VKZ40" s="191"/>
      <c r="VLB40" s="191"/>
      <c r="VLC40" s="191"/>
      <c r="VLD40" s="191"/>
      <c r="VLF40" s="191"/>
      <c r="VLG40" s="191"/>
      <c r="VLH40" s="191"/>
      <c r="VLJ40" s="191"/>
      <c r="VLK40" s="191"/>
      <c r="VLL40" s="191"/>
      <c r="VLN40" s="191"/>
      <c r="VLO40" s="191"/>
      <c r="VLP40" s="191"/>
      <c r="VLR40" s="191"/>
      <c r="VLS40" s="191"/>
      <c r="VLT40" s="191"/>
      <c r="VLV40" s="191"/>
      <c r="VLW40" s="191"/>
      <c r="VLX40" s="191"/>
      <c r="VLZ40" s="191"/>
      <c r="VMA40" s="191"/>
      <c r="VMB40" s="191"/>
      <c r="VMD40" s="191"/>
      <c r="VME40" s="191"/>
      <c r="VMF40" s="191"/>
      <c r="VMH40" s="191"/>
      <c r="VMI40" s="191"/>
      <c r="VMJ40" s="191"/>
      <c r="VML40" s="191"/>
      <c r="VMM40" s="191"/>
      <c r="VMN40" s="191"/>
      <c r="VMP40" s="191"/>
      <c r="VMQ40" s="191"/>
      <c r="VMR40" s="191"/>
      <c r="VMT40" s="191"/>
      <c r="VMU40" s="191"/>
      <c r="VMV40" s="191"/>
      <c r="VMX40" s="191"/>
      <c r="VMY40" s="191"/>
      <c r="VMZ40" s="191"/>
      <c r="VNB40" s="191"/>
      <c r="VNC40" s="191"/>
      <c r="VND40" s="191"/>
      <c r="VNF40" s="191"/>
      <c r="VNG40" s="191"/>
      <c r="VNH40" s="191"/>
      <c r="VNJ40" s="191"/>
      <c r="VNK40" s="191"/>
      <c r="VNL40" s="191"/>
      <c r="VNN40" s="191"/>
      <c r="VNO40" s="191"/>
      <c r="VNP40" s="191"/>
      <c r="VNR40" s="191"/>
      <c r="VNS40" s="191"/>
      <c r="VNT40" s="191"/>
      <c r="VNV40" s="191"/>
      <c r="VNW40" s="191"/>
      <c r="VNX40" s="191"/>
      <c r="VNZ40" s="191"/>
      <c r="VOA40" s="191"/>
      <c r="VOB40" s="191"/>
      <c r="VOD40" s="191"/>
      <c r="VOE40" s="191"/>
      <c r="VOF40" s="191"/>
      <c r="VOH40" s="191"/>
      <c r="VOI40" s="191"/>
      <c r="VOJ40" s="191"/>
      <c r="VOL40" s="191"/>
      <c r="VOM40" s="191"/>
      <c r="VON40" s="191"/>
      <c r="VOP40" s="191"/>
      <c r="VOQ40" s="191"/>
      <c r="VOR40" s="191"/>
      <c r="VOT40" s="191"/>
      <c r="VOU40" s="191"/>
      <c r="VOV40" s="191"/>
      <c r="VOX40" s="191"/>
      <c r="VOY40" s="191"/>
      <c r="VOZ40" s="191"/>
      <c r="VPB40" s="191"/>
      <c r="VPC40" s="191"/>
      <c r="VPD40" s="191"/>
      <c r="VPF40" s="191"/>
      <c r="VPG40" s="191"/>
      <c r="VPH40" s="191"/>
      <c r="VPJ40" s="191"/>
      <c r="VPK40" s="191"/>
      <c r="VPL40" s="191"/>
      <c r="VPN40" s="191"/>
      <c r="VPO40" s="191"/>
      <c r="VPP40" s="191"/>
      <c r="VPR40" s="191"/>
      <c r="VPS40" s="191"/>
      <c r="VPT40" s="191"/>
      <c r="VPV40" s="191"/>
      <c r="VPW40" s="191"/>
      <c r="VPX40" s="191"/>
      <c r="VPZ40" s="191"/>
      <c r="VQA40" s="191"/>
      <c r="VQB40" s="191"/>
      <c r="VQD40" s="191"/>
      <c r="VQE40" s="191"/>
      <c r="VQF40" s="191"/>
      <c r="VQH40" s="191"/>
      <c r="VQI40" s="191"/>
      <c r="VQJ40" s="191"/>
      <c r="VQL40" s="191"/>
      <c r="VQM40" s="191"/>
      <c r="VQN40" s="191"/>
      <c r="VQP40" s="191"/>
      <c r="VQQ40" s="191"/>
      <c r="VQR40" s="191"/>
      <c r="VQT40" s="191"/>
      <c r="VQU40" s="191"/>
      <c r="VQV40" s="191"/>
      <c r="VQX40" s="191"/>
      <c r="VQY40" s="191"/>
      <c r="VQZ40" s="191"/>
      <c r="VRB40" s="191"/>
      <c r="VRC40" s="191"/>
      <c r="VRD40" s="191"/>
      <c r="VRF40" s="191"/>
      <c r="VRG40" s="191"/>
      <c r="VRH40" s="191"/>
      <c r="VRJ40" s="191"/>
      <c r="VRK40" s="191"/>
      <c r="VRL40" s="191"/>
      <c r="VRN40" s="191"/>
      <c r="VRO40" s="191"/>
      <c r="VRP40" s="191"/>
      <c r="VRR40" s="191"/>
      <c r="VRS40" s="191"/>
      <c r="VRT40" s="191"/>
      <c r="VRV40" s="191"/>
      <c r="VRW40" s="191"/>
      <c r="VRX40" s="191"/>
      <c r="VRZ40" s="191"/>
      <c r="VSA40" s="191"/>
      <c r="VSB40" s="191"/>
      <c r="VSD40" s="191"/>
      <c r="VSE40" s="191"/>
      <c r="VSF40" s="191"/>
      <c r="VSH40" s="191"/>
      <c r="VSI40" s="191"/>
      <c r="VSJ40" s="191"/>
      <c r="VSL40" s="191"/>
      <c r="VSM40" s="191"/>
      <c r="VSN40" s="191"/>
      <c r="VSP40" s="191"/>
      <c r="VSQ40" s="191"/>
      <c r="VSR40" s="191"/>
      <c r="VST40" s="191"/>
      <c r="VSU40" s="191"/>
      <c r="VSV40" s="191"/>
      <c r="VSX40" s="191"/>
      <c r="VSY40" s="191"/>
      <c r="VSZ40" s="191"/>
      <c r="VTB40" s="191"/>
      <c r="VTC40" s="191"/>
      <c r="VTD40" s="191"/>
      <c r="VTF40" s="191"/>
      <c r="VTG40" s="191"/>
      <c r="VTH40" s="191"/>
      <c r="VTJ40" s="191"/>
      <c r="VTK40" s="191"/>
      <c r="VTL40" s="191"/>
      <c r="VTN40" s="191"/>
      <c r="VTO40" s="191"/>
      <c r="VTP40" s="191"/>
      <c r="VTR40" s="191"/>
      <c r="VTS40" s="191"/>
      <c r="VTT40" s="191"/>
      <c r="VTV40" s="191"/>
      <c r="VTW40" s="191"/>
      <c r="VTX40" s="191"/>
      <c r="VTZ40" s="191"/>
      <c r="VUA40" s="191"/>
      <c r="VUB40" s="191"/>
      <c r="VUD40" s="191"/>
      <c r="VUE40" s="191"/>
      <c r="VUF40" s="191"/>
      <c r="VUH40" s="191"/>
      <c r="VUI40" s="191"/>
      <c r="VUJ40" s="191"/>
      <c r="VUL40" s="191"/>
      <c r="VUM40" s="191"/>
      <c r="VUN40" s="191"/>
      <c r="VUP40" s="191"/>
      <c r="VUQ40" s="191"/>
      <c r="VUR40" s="191"/>
      <c r="VUT40" s="191"/>
      <c r="VUU40" s="191"/>
      <c r="VUV40" s="191"/>
      <c r="VUX40" s="191"/>
      <c r="VUY40" s="191"/>
      <c r="VUZ40" s="191"/>
      <c r="VVB40" s="191"/>
      <c r="VVC40" s="191"/>
      <c r="VVD40" s="191"/>
      <c r="VVF40" s="191"/>
      <c r="VVG40" s="191"/>
      <c r="VVH40" s="191"/>
      <c r="VVJ40" s="191"/>
      <c r="VVK40" s="191"/>
      <c r="VVL40" s="191"/>
      <c r="VVN40" s="191"/>
      <c r="VVO40" s="191"/>
      <c r="VVP40" s="191"/>
      <c r="VVR40" s="191"/>
      <c r="VVS40" s="191"/>
      <c r="VVT40" s="191"/>
      <c r="VVV40" s="191"/>
      <c r="VVW40" s="191"/>
      <c r="VVX40" s="191"/>
      <c r="VVZ40" s="191"/>
      <c r="VWA40" s="191"/>
      <c r="VWB40" s="191"/>
      <c r="VWD40" s="191"/>
      <c r="VWE40" s="191"/>
      <c r="VWF40" s="191"/>
      <c r="VWH40" s="191"/>
      <c r="VWI40" s="191"/>
      <c r="VWJ40" s="191"/>
      <c r="VWL40" s="191"/>
      <c r="VWM40" s="191"/>
      <c r="VWN40" s="191"/>
      <c r="VWP40" s="191"/>
      <c r="VWQ40" s="191"/>
      <c r="VWR40" s="191"/>
      <c r="VWT40" s="191"/>
      <c r="VWU40" s="191"/>
      <c r="VWV40" s="191"/>
      <c r="VWX40" s="191"/>
      <c r="VWY40" s="191"/>
      <c r="VWZ40" s="191"/>
      <c r="VXB40" s="191"/>
      <c r="VXC40" s="191"/>
      <c r="VXD40" s="191"/>
      <c r="VXF40" s="191"/>
      <c r="VXG40" s="191"/>
      <c r="VXH40" s="191"/>
      <c r="VXJ40" s="191"/>
      <c r="VXK40" s="191"/>
      <c r="VXL40" s="191"/>
      <c r="VXN40" s="191"/>
      <c r="VXO40" s="191"/>
      <c r="VXP40" s="191"/>
      <c r="VXR40" s="191"/>
      <c r="VXS40" s="191"/>
      <c r="VXT40" s="191"/>
      <c r="VXV40" s="191"/>
      <c r="VXW40" s="191"/>
      <c r="VXX40" s="191"/>
      <c r="VXZ40" s="191"/>
      <c r="VYA40" s="191"/>
      <c r="VYB40" s="191"/>
      <c r="VYD40" s="191"/>
      <c r="VYE40" s="191"/>
      <c r="VYF40" s="191"/>
      <c r="VYH40" s="191"/>
      <c r="VYI40" s="191"/>
      <c r="VYJ40" s="191"/>
      <c r="VYL40" s="191"/>
      <c r="VYM40" s="191"/>
      <c r="VYN40" s="191"/>
      <c r="VYP40" s="191"/>
      <c r="VYQ40" s="191"/>
      <c r="VYR40" s="191"/>
      <c r="VYT40" s="191"/>
      <c r="VYU40" s="191"/>
      <c r="VYV40" s="191"/>
      <c r="VYX40" s="191"/>
      <c r="VYY40" s="191"/>
      <c r="VYZ40" s="191"/>
      <c r="VZB40" s="191"/>
      <c r="VZC40" s="191"/>
      <c r="VZD40" s="191"/>
      <c r="VZF40" s="191"/>
      <c r="VZG40" s="191"/>
      <c r="VZH40" s="191"/>
      <c r="VZJ40" s="191"/>
      <c r="VZK40" s="191"/>
      <c r="VZL40" s="191"/>
      <c r="VZN40" s="191"/>
      <c r="VZO40" s="191"/>
      <c r="VZP40" s="191"/>
      <c r="VZR40" s="191"/>
      <c r="VZS40" s="191"/>
      <c r="VZT40" s="191"/>
      <c r="VZV40" s="191"/>
      <c r="VZW40" s="191"/>
      <c r="VZX40" s="191"/>
      <c r="VZZ40" s="191"/>
      <c r="WAA40" s="191"/>
      <c r="WAB40" s="191"/>
      <c r="WAD40" s="191"/>
      <c r="WAE40" s="191"/>
      <c r="WAF40" s="191"/>
      <c r="WAH40" s="191"/>
      <c r="WAI40" s="191"/>
      <c r="WAJ40" s="191"/>
      <c r="WAL40" s="191"/>
      <c r="WAM40" s="191"/>
      <c r="WAN40" s="191"/>
      <c r="WAP40" s="191"/>
      <c r="WAQ40" s="191"/>
      <c r="WAR40" s="191"/>
      <c r="WAT40" s="191"/>
      <c r="WAU40" s="191"/>
      <c r="WAV40" s="191"/>
      <c r="WAX40" s="191"/>
      <c r="WAY40" s="191"/>
      <c r="WAZ40" s="191"/>
      <c r="WBB40" s="191"/>
      <c r="WBC40" s="191"/>
      <c r="WBD40" s="191"/>
      <c r="WBF40" s="191"/>
      <c r="WBG40" s="191"/>
      <c r="WBH40" s="191"/>
      <c r="WBJ40" s="191"/>
      <c r="WBK40" s="191"/>
      <c r="WBL40" s="191"/>
      <c r="WBN40" s="191"/>
      <c r="WBO40" s="191"/>
      <c r="WBP40" s="191"/>
      <c r="WBR40" s="191"/>
      <c r="WBS40" s="191"/>
      <c r="WBT40" s="191"/>
      <c r="WBV40" s="191"/>
      <c r="WBW40" s="191"/>
      <c r="WBX40" s="191"/>
      <c r="WBZ40" s="191"/>
      <c r="WCA40" s="191"/>
      <c r="WCB40" s="191"/>
      <c r="WCD40" s="191"/>
      <c r="WCE40" s="191"/>
      <c r="WCF40" s="191"/>
      <c r="WCH40" s="191"/>
      <c r="WCI40" s="191"/>
      <c r="WCJ40" s="191"/>
      <c r="WCL40" s="191"/>
      <c r="WCM40" s="191"/>
      <c r="WCN40" s="191"/>
      <c r="WCP40" s="191"/>
      <c r="WCQ40" s="191"/>
      <c r="WCR40" s="191"/>
      <c r="WCT40" s="191"/>
      <c r="WCU40" s="191"/>
      <c r="WCV40" s="191"/>
      <c r="WCX40" s="191"/>
      <c r="WCY40" s="191"/>
      <c r="WCZ40" s="191"/>
      <c r="WDB40" s="191"/>
      <c r="WDC40" s="191"/>
      <c r="WDD40" s="191"/>
      <c r="WDF40" s="191"/>
      <c r="WDG40" s="191"/>
      <c r="WDH40" s="191"/>
      <c r="WDJ40" s="191"/>
      <c r="WDK40" s="191"/>
      <c r="WDL40" s="191"/>
      <c r="WDN40" s="191"/>
      <c r="WDO40" s="191"/>
      <c r="WDP40" s="191"/>
      <c r="WDR40" s="191"/>
      <c r="WDS40" s="191"/>
      <c r="WDT40" s="191"/>
      <c r="WDV40" s="191"/>
      <c r="WDW40" s="191"/>
      <c r="WDX40" s="191"/>
      <c r="WDZ40" s="191"/>
      <c r="WEA40" s="191"/>
      <c r="WEB40" s="191"/>
      <c r="WED40" s="191"/>
      <c r="WEE40" s="191"/>
      <c r="WEF40" s="191"/>
      <c r="WEH40" s="191"/>
      <c r="WEI40" s="191"/>
      <c r="WEJ40" s="191"/>
      <c r="WEL40" s="191"/>
      <c r="WEM40" s="191"/>
      <c r="WEN40" s="191"/>
      <c r="WEP40" s="191"/>
      <c r="WEQ40" s="191"/>
      <c r="WER40" s="191"/>
      <c r="WET40" s="191"/>
      <c r="WEU40" s="191"/>
      <c r="WEV40" s="191"/>
      <c r="WEX40" s="191"/>
      <c r="WEY40" s="191"/>
      <c r="WEZ40" s="191"/>
      <c r="WFB40" s="191"/>
      <c r="WFC40" s="191"/>
      <c r="WFD40" s="191"/>
      <c r="WFF40" s="191"/>
      <c r="WFG40" s="191"/>
      <c r="WFH40" s="191"/>
      <c r="WFJ40" s="191"/>
      <c r="WFK40" s="191"/>
      <c r="WFL40" s="191"/>
      <c r="WFN40" s="191"/>
      <c r="WFO40" s="191"/>
      <c r="WFP40" s="191"/>
      <c r="WFR40" s="191"/>
      <c r="WFS40" s="191"/>
      <c r="WFT40" s="191"/>
      <c r="WFV40" s="191"/>
      <c r="WFW40" s="191"/>
      <c r="WFX40" s="191"/>
      <c r="WFZ40" s="191"/>
      <c r="WGA40" s="191"/>
      <c r="WGB40" s="191"/>
      <c r="WGD40" s="191"/>
      <c r="WGE40" s="191"/>
      <c r="WGF40" s="191"/>
      <c r="WGH40" s="191"/>
      <c r="WGI40" s="191"/>
      <c r="WGJ40" s="191"/>
      <c r="WGL40" s="191"/>
      <c r="WGM40" s="191"/>
      <c r="WGN40" s="191"/>
      <c r="WGP40" s="191"/>
      <c r="WGQ40" s="191"/>
      <c r="WGR40" s="191"/>
      <c r="WGT40" s="191"/>
      <c r="WGU40" s="191"/>
      <c r="WGV40" s="191"/>
      <c r="WGX40" s="191"/>
      <c r="WGY40" s="191"/>
      <c r="WGZ40" s="191"/>
      <c r="WHB40" s="191"/>
      <c r="WHC40" s="191"/>
      <c r="WHD40" s="191"/>
      <c r="WHF40" s="191"/>
      <c r="WHG40" s="191"/>
      <c r="WHH40" s="191"/>
      <c r="WHJ40" s="191"/>
      <c r="WHK40" s="191"/>
      <c r="WHL40" s="191"/>
      <c r="WHN40" s="191"/>
      <c r="WHO40" s="191"/>
      <c r="WHP40" s="191"/>
      <c r="WHR40" s="191"/>
      <c r="WHS40" s="191"/>
      <c r="WHT40" s="191"/>
      <c r="WHV40" s="191"/>
      <c r="WHW40" s="191"/>
      <c r="WHX40" s="191"/>
      <c r="WHZ40" s="191"/>
      <c r="WIA40" s="191"/>
      <c r="WIB40" s="191"/>
      <c r="WID40" s="191"/>
      <c r="WIE40" s="191"/>
      <c r="WIF40" s="191"/>
      <c r="WIH40" s="191"/>
      <c r="WII40" s="191"/>
      <c r="WIJ40" s="191"/>
      <c r="WIL40" s="191"/>
      <c r="WIM40" s="191"/>
      <c r="WIN40" s="191"/>
      <c r="WIP40" s="191"/>
      <c r="WIQ40" s="191"/>
      <c r="WIR40" s="191"/>
      <c r="WIT40" s="191"/>
      <c r="WIU40" s="191"/>
      <c r="WIV40" s="191"/>
      <c r="WIX40" s="191"/>
      <c r="WIY40" s="191"/>
      <c r="WIZ40" s="191"/>
      <c r="WJB40" s="191"/>
      <c r="WJC40" s="191"/>
      <c r="WJD40" s="191"/>
      <c r="WJF40" s="191"/>
      <c r="WJG40" s="191"/>
      <c r="WJH40" s="191"/>
      <c r="WJJ40" s="191"/>
      <c r="WJK40" s="191"/>
      <c r="WJL40" s="191"/>
      <c r="WJN40" s="191"/>
      <c r="WJO40" s="191"/>
      <c r="WJP40" s="191"/>
      <c r="WJR40" s="191"/>
      <c r="WJS40" s="191"/>
      <c r="WJT40" s="191"/>
      <c r="WJV40" s="191"/>
      <c r="WJW40" s="191"/>
      <c r="WJX40" s="191"/>
      <c r="WJZ40" s="191"/>
      <c r="WKA40" s="191"/>
      <c r="WKB40" s="191"/>
      <c r="WKD40" s="191"/>
      <c r="WKE40" s="191"/>
      <c r="WKF40" s="191"/>
      <c r="WKH40" s="191"/>
      <c r="WKI40" s="191"/>
      <c r="WKJ40" s="191"/>
      <c r="WKL40" s="191"/>
      <c r="WKM40" s="191"/>
      <c r="WKN40" s="191"/>
      <c r="WKP40" s="191"/>
      <c r="WKQ40" s="191"/>
      <c r="WKR40" s="191"/>
      <c r="WKT40" s="191"/>
      <c r="WKU40" s="191"/>
      <c r="WKV40" s="191"/>
      <c r="WKX40" s="191"/>
      <c r="WKY40" s="191"/>
      <c r="WKZ40" s="191"/>
      <c r="WLB40" s="191"/>
      <c r="WLC40" s="191"/>
      <c r="WLD40" s="191"/>
      <c r="WLF40" s="191"/>
      <c r="WLG40" s="191"/>
      <c r="WLH40" s="191"/>
      <c r="WLJ40" s="191"/>
      <c r="WLK40" s="191"/>
      <c r="WLL40" s="191"/>
      <c r="WLN40" s="191"/>
      <c r="WLO40" s="191"/>
      <c r="WLP40" s="191"/>
      <c r="WLR40" s="191"/>
      <c r="WLS40" s="191"/>
      <c r="WLT40" s="191"/>
      <c r="WLV40" s="191"/>
      <c r="WLW40" s="191"/>
      <c r="WLX40" s="191"/>
      <c r="WLZ40" s="191"/>
      <c r="WMA40" s="191"/>
      <c r="WMB40" s="191"/>
      <c r="WMD40" s="191"/>
      <c r="WME40" s="191"/>
      <c r="WMF40" s="191"/>
      <c r="WMH40" s="191"/>
      <c r="WMI40" s="191"/>
      <c r="WMJ40" s="191"/>
      <c r="WML40" s="191"/>
      <c r="WMM40" s="191"/>
      <c r="WMN40" s="191"/>
      <c r="WMP40" s="191"/>
      <c r="WMQ40" s="191"/>
      <c r="WMR40" s="191"/>
      <c r="WMT40" s="191"/>
      <c r="WMU40" s="191"/>
      <c r="WMV40" s="191"/>
      <c r="WMX40" s="191"/>
      <c r="WMY40" s="191"/>
      <c r="WMZ40" s="191"/>
      <c r="WNB40" s="191"/>
      <c r="WNC40" s="191"/>
      <c r="WND40" s="191"/>
      <c r="WNF40" s="191"/>
      <c r="WNG40" s="191"/>
      <c r="WNH40" s="191"/>
      <c r="WNJ40" s="191"/>
      <c r="WNK40" s="191"/>
      <c r="WNL40" s="191"/>
      <c r="WNN40" s="191"/>
      <c r="WNO40" s="191"/>
      <c r="WNP40" s="191"/>
      <c r="WNR40" s="191"/>
      <c r="WNS40" s="191"/>
      <c r="WNT40" s="191"/>
      <c r="WNV40" s="191"/>
      <c r="WNW40" s="191"/>
      <c r="WNX40" s="191"/>
      <c r="WNZ40" s="191"/>
      <c r="WOA40" s="191"/>
      <c r="WOB40" s="191"/>
      <c r="WOD40" s="191"/>
      <c r="WOE40" s="191"/>
      <c r="WOF40" s="191"/>
      <c r="WOH40" s="191"/>
      <c r="WOI40" s="191"/>
      <c r="WOJ40" s="191"/>
      <c r="WOL40" s="191"/>
      <c r="WOM40" s="191"/>
      <c r="WON40" s="191"/>
      <c r="WOP40" s="191"/>
      <c r="WOQ40" s="191"/>
      <c r="WOR40" s="191"/>
      <c r="WOT40" s="191"/>
      <c r="WOU40" s="191"/>
      <c r="WOV40" s="191"/>
      <c r="WOX40" s="191"/>
      <c r="WOY40" s="191"/>
      <c r="WOZ40" s="191"/>
      <c r="WPB40" s="191"/>
      <c r="WPC40" s="191"/>
      <c r="WPD40" s="191"/>
      <c r="WPF40" s="191"/>
      <c r="WPG40" s="191"/>
      <c r="WPH40" s="191"/>
      <c r="WPJ40" s="191"/>
      <c r="WPK40" s="191"/>
      <c r="WPL40" s="191"/>
      <c r="WPN40" s="191"/>
      <c r="WPO40" s="191"/>
      <c r="WPP40" s="191"/>
      <c r="WPR40" s="191"/>
      <c r="WPS40" s="191"/>
      <c r="WPT40" s="191"/>
      <c r="WPV40" s="191"/>
      <c r="WPW40" s="191"/>
      <c r="WPX40" s="191"/>
      <c r="WPZ40" s="191"/>
      <c r="WQA40" s="191"/>
      <c r="WQB40" s="191"/>
      <c r="WQD40" s="191"/>
      <c r="WQE40" s="191"/>
      <c r="WQF40" s="191"/>
      <c r="WQH40" s="191"/>
      <c r="WQI40" s="191"/>
      <c r="WQJ40" s="191"/>
      <c r="WQL40" s="191"/>
      <c r="WQM40" s="191"/>
      <c r="WQN40" s="191"/>
      <c r="WQP40" s="191"/>
      <c r="WQQ40" s="191"/>
      <c r="WQR40" s="191"/>
      <c r="WQT40" s="191"/>
      <c r="WQU40" s="191"/>
      <c r="WQV40" s="191"/>
      <c r="WQX40" s="191"/>
      <c r="WQY40" s="191"/>
      <c r="WQZ40" s="191"/>
      <c r="WRB40" s="191"/>
      <c r="WRC40" s="191"/>
      <c r="WRD40" s="191"/>
      <c r="WRF40" s="191"/>
      <c r="WRG40" s="191"/>
      <c r="WRH40" s="191"/>
      <c r="WRJ40" s="191"/>
      <c r="WRK40" s="191"/>
      <c r="WRL40" s="191"/>
      <c r="WRN40" s="191"/>
      <c r="WRO40" s="191"/>
      <c r="WRP40" s="191"/>
      <c r="WRR40" s="191"/>
      <c r="WRS40" s="191"/>
      <c r="WRT40" s="191"/>
      <c r="WRV40" s="191"/>
      <c r="WRW40" s="191"/>
      <c r="WRX40" s="191"/>
      <c r="WRZ40" s="191"/>
      <c r="WSA40" s="191"/>
      <c r="WSB40" s="191"/>
      <c r="WSD40" s="191"/>
      <c r="WSE40" s="191"/>
      <c r="WSF40" s="191"/>
      <c r="WSH40" s="191"/>
      <c r="WSI40" s="191"/>
      <c r="WSJ40" s="191"/>
      <c r="WSL40" s="191"/>
      <c r="WSM40" s="191"/>
      <c r="WSN40" s="191"/>
      <c r="WSP40" s="191"/>
      <c r="WSQ40" s="191"/>
      <c r="WSR40" s="191"/>
      <c r="WST40" s="191"/>
      <c r="WSU40" s="191"/>
      <c r="WSV40" s="191"/>
      <c r="WSX40" s="191"/>
      <c r="WSY40" s="191"/>
      <c r="WSZ40" s="191"/>
      <c r="WTB40" s="191"/>
      <c r="WTC40" s="191"/>
      <c r="WTD40" s="191"/>
      <c r="WTF40" s="191"/>
      <c r="WTG40" s="191"/>
      <c r="WTH40" s="191"/>
      <c r="WTJ40" s="191"/>
      <c r="WTK40" s="191"/>
      <c r="WTL40" s="191"/>
      <c r="WTN40" s="191"/>
      <c r="WTO40" s="191"/>
      <c r="WTP40" s="191"/>
      <c r="WTR40" s="191"/>
      <c r="WTS40" s="191"/>
      <c r="WTT40" s="191"/>
      <c r="WTV40" s="191"/>
      <c r="WTW40" s="191"/>
      <c r="WTX40" s="191"/>
      <c r="WTZ40" s="191"/>
      <c r="WUA40" s="191"/>
      <c r="WUB40" s="191"/>
      <c r="WUD40" s="191"/>
      <c r="WUE40" s="191"/>
      <c r="WUF40" s="191"/>
      <c r="WUH40" s="191"/>
      <c r="WUI40" s="191"/>
      <c r="WUJ40" s="191"/>
      <c r="WUL40" s="191"/>
      <c r="WUM40" s="191"/>
      <c r="WUN40" s="191"/>
      <c r="WUP40" s="191"/>
      <c r="WUQ40" s="191"/>
      <c r="WUR40" s="191"/>
      <c r="WUT40" s="191"/>
      <c r="WUU40" s="191"/>
      <c r="WUV40" s="191"/>
      <c r="WUX40" s="191"/>
      <c r="WUY40" s="191"/>
      <c r="WUZ40" s="191"/>
      <c r="WVB40" s="191"/>
      <c r="WVC40" s="191"/>
      <c r="WVD40" s="191"/>
      <c r="WVF40" s="191"/>
      <c r="WVG40" s="191"/>
      <c r="WVH40" s="191"/>
      <c r="WVJ40" s="191"/>
      <c r="WVK40" s="191"/>
      <c r="WVL40" s="191"/>
      <c r="WVN40" s="191"/>
      <c r="WVO40" s="191"/>
      <c r="WVP40" s="191"/>
      <c r="WVR40" s="191"/>
      <c r="WVS40" s="191"/>
      <c r="WVT40" s="191"/>
      <c r="WVV40" s="191"/>
      <c r="WVW40" s="191"/>
      <c r="WVX40" s="191"/>
      <c r="WVZ40" s="191"/>
      <c r="WWA40" s="191"/>
      <c r="WWB40" s="191"/>
      <c r="WWD40" s="191"/>
      <c r="WWE40" s="191"/>
      <c r="WWF40" s="191"/>
      <c r="WWH40" s="191"/>
      <c r="WWI40" s="191"/>
      <c r="WWJ40" s="191"/>
      <c r="WWL40" s="191"/>
      <c r="WWM40" s="191"/>
      <c r="WWN40" s="191"/>
      <c r="WWP40" s="191"/>
      <c r="WWQ40" s="191"/>
      <c r="WWR40" s="191"/>
      <c r="WWT40" s="191"/>
      <c r="WWU40" s="191"/>
      <c r="WWV40" s="191"/>
      <c r="WWX40" s="191"/>
      <c r="WWY40" s="191"/>
      <c r="WWZ40" s="191"/>
      <c r="WXB40" s="191"/>
      <c r="WXC40" s="191"/>
      <c r="WXD40" s="191"/>
      <c r="WXF40" s="191"/>
      <c r="WXG40" s="191"/>
      <c r="WXH40" s="191"/>
      <c r="WXJ40" s="191"/>
      <c r="WXK40" s="191"/>
      <c r="WXL40" s="191"/>
      <c r="WXN40" s="191"/>
      <c r="WXO40" s="191"/>
      <c r="WXP40" s="191"/>
      <c r="WXR40" s="191"/>
      <c r="WXS40" s="191"/>
      <c r="WXT40" s="191"/>
      <c r="WXV40" s="191"/>
      <c r="WXW40" s="191"/>
      <c r="WXX40" s="191"/>
      <c r="WXZ40" s="191"/>
      <c r="WYA40" s="191"/>
      <c r="WYB40" s="191"/>
      <c r="WYD40" s="191"/>
      <c r="WYE40" s="191"/>
      <c r="WYF40" s="191"/>
      <c r="WYH40" s="191"/>
      <c r="WYI40" s="191"/>
      <c r="WYJ40" s="191"/>
      <c r="WYL40" s="191"/>
      <c r="WYM40" s="191"/>
      <c r="WYN40" s="191"/>
      <c r="WYP40" s="191"/>
      <c r="WYQ40" s="191"/>
      <c r="WYR40" s="191"/>
      <c r="WYT40" s="191"/>
      <c r="WYU40" s="191"/>
      <c r="WYV40" s="191"/>
      <c r="WYX40" s="191"/>
      <c r="WYY40" s="191"/>
      <c r="WYZ40" s="191"/>
      <c r="WZB40" s="191"/>
      <c r="WZC40" s="191"/>
      <c r="WZD40" s="191"/>
      <c r="WZF40" s="191"/>
      <c r="WZG40" s="191"/>
      <c r="WZH40" s="191"/>
      <c r="WZJ40" s="191"/>
      <c r="WZK40" s="191"/>
      <c r="WZL40" s="191"/>
      <c r="WZN40" s="191"/>
      <c r="WZO40" s="191"/>
      <c r="WZP40" s="191"/>
      <c r="WZR40" s="191"/>
      <c r="WZS40" s="191"/>
      <c r="WZT40" s="191"/>
      <c r="WZV40" s="191"/>
      <c r="WZW40" s="191"/>
      <c r="WZX40" s="191"/>
      <c r="WZZ40" s="191"/>
      <c r="XAA40" s="191"/>
      <c r="XAB40" s="191"/>
      <c r="XAD40" s="191"/>
      <c r="XAE40" s="191"/>
      <c r="XAF40" s="191"/>
      <c r="XAH40" s="191"/>
      <c r="XAI40" s="191"/>
      <c r="XAJ40" s="191"/>
      <c r="XAL40" s="191"/>
      <c r="XAM40" s="191"/>
      <c r="XAN40" s="191"/>
      <c r="XAP40" s="191"/>
      <c r="XAQ40" s="191"/>
      <c r="XAR40" s="191"/>
      <c r="XAT40" s="191"/>
      <c r="XAU40" s="191"/>
      <c r="XAV40" s="191"/>
      <c r="XAX40" s="191"/>
      <c r="XAY40" s="191"/>
      <c r="XAZ40" s="191"/>
      <c r="XBB40" s="191"/>
      <c r="XBC40" s="191"/>
      <c r="XBD40" s="191"/>
      <c r="XBF40" s="191"/>
      <c r="XBG40" s="191"/>
      <c r="XBH40" s="191"/>
      <c r="XBJ40" s="191"/>
      <c r="XBK40" s="191"/>
      <c r="XBL40" s="191"/>
      <c r="XBN40" s="191"/>
      <c r="XBO40" s="191"/>
      <c r="XBP40" s="191"/>
      <c r="XBR40" s="191"/>
      <c r="XBS40" s="191"/>
      <c r="XBT40" s="191"/>
      <c r="XBV40" s="191"/>
      <c r="XBW40" s="191"/>
      <c r="XBX40" s="191"/>
      <c r="XBZ40" s="191"/>
      <c r="XCA40" s="191"/>
      <c r="XCB40" s="191"/>
      <c r="XCD40" s="191"/>
      <c r="XCE40" s="191"/>
      <c r="XCF40" s="191"/>
      <c r="XCH40" s="191"/>
      <c r="XCI40" s="191"/>
      <c r="XCJ40" s="191"/>
      <c r="XCL40" s="191"/>
      <c r="XCM40" s="191"/>
      <c r="XCN40" s="191"/>
      <c r="XCP40" s="191"/>
      <c r="XCQ40" s="191"/>
      <c r="XCR40" s="191"/>
      <c r="XCT40" s="191"/>
      <c r="XCU40" s="191"/>
      <c r="XCV40" s="191"/>
      <c r="XCX40" s="191"/>
      <c r="XCY40" s="191"/>
      <c r="XCZ40" s="191"/>
      <c r="XDB40" s="191"/>
      <c r="XDC40" s="191"/>
      <c r="XDD40" s="191"/>
      <c r="XDF40" s="191"/>
      <c r="XDG40" s="191"/>
      <c r="XDH40" s="191"/>
      <c r="XDJ40" s="191"/>
      <c r="XDK40" s="191"/>
      <c r="XDL40" s="191"/>
      <c r="XDN40" s="191"/>
      <c r="XDO40" s="191"/>
      <c r="XDP40" s="191"/>
      <c r="XDR40" s="191"/>
      <c r="XDS40" s="191"/>
      <c r="XDT40" s="191"/>
      <c r="XDV40" s="191"/>
      <c r="XDW40" s="191"/>
      <c r="XDX40" s="191"/>
      <c r="XDZ40" s="191"/>
      <c r="XEA40" s="191"/>
      <c r="XEB40" s="191"/>
      <c r="XED40" s="191"/>
      <c r="XEE40" s="191"/>
      <c r="XEF40" s="191"/>
      <c r="XEH40" s="191"/>
      <c r="XEI40" s="191"/>
      <c r="XEJ40" s="191"/>
      <c r="XEL40" s="191"/>
      <c r="XEM40" s="191"/>
      <c r="XEN40" s="191"/>
      <c r="XEP40" s="191"/>
      <c r="XEQ40" s="191"/>
      <c r="XER40" s="191"/>
      <c r="XET40" s="191"/>
      <c r="XEU40" s="191"/>
      <c r="XEV40" s="191"/>
      <c r="XEX40" s="191"/>
      <c r="XEY40" s="191"/>
      <c r="XEZ40" s="191"/>
      <c r="XFB40" s="191"/>
      <c r="XFC40" s="191"/>
      <c r="XFD40" s="191"/>
    </row>
    <row r="41" spans="1:1024 1026:2048 2050:3072 3074:4096 4098:5120 5122:6144 6146:7168 7170:8192 8194:9216 9218:10240 10242:11264 11266:12288 12290:13312 13314:14336 14338:15360 15362:16384" s="61" customFormat="1" x14ac:dyDescent="0.3">
      <c r="A41" s="196" t="s">
        <v>297</v>
      </c>
      <c r="B41" s="193">
        <v>9</v>
      </c>
      <c r="C41" s="193">
        <v>9</v>
      </c>
      <c r="D41" s="193">
        <v>9</v>
      </c>
      <c r="E41" s="193">
        <v>9</v>
      </c>
      <c r="F41" s="193">
        <v>9</v>
      </c>
      <c r="G41" s="193">
        <v>9</v>
      </c>
      <c r="H41" s="193">
        <v>9</v>
      </c>
      <c r="I41" s="193">
        <v>9</v>
      </c>
      <c r="J41" s="193">
        <v>9</v>
      </c>
      <c r="K41" s="193">
        <v>9</v>
      </c>
      <c r="L41" s="193">
        <v>9</v>
      </c>
      <c r="M41" s="193">
        <v>9</v>
      </c>
      <c r="N41" s="191"/>
      <c r="O41" s="191"/>
      <c r="P41" s="191"/>
      <c r="R41" s="191"/>
      <c r="S41" s="191"/>
      <c r="T41" s="191"/>
      <c r="V41" s="191"/>
      <c r="W41" s="191"/>
      <c r="X41" s="191"/>
      <c r="Z41" s="191"/>
      <c r="AA41" s="191"/>
      <c r="AB41" s="191"/>
      <c r="AD41" s="191"/>
      <c r="AE41" s="191"/>
      <c r="AF41" s="191"/>
      <c r="AH41" s="191"/>
      <c r="AI41" s="191"/>
      <c r="AJ41" s="191"/>
      <c r="AL41" s="191"/>
      <c r="AM41" s="191"/>
      <c r="AN41" s="191"/>
      <c r="AP41" s="191"/>
      <c r="AQ41" s="191"/>
      <c r="AR41" s="191"/>
      <c r="AT41" s="191"/>
      <c r="AU41" s="191"/>
      <c r="AV41" s="191"/>
      <c r="AX41" s="191"/>
      <c r="AY41" s="191"/>
      <c r="AZ41" s="191"/>
      <c r="BB41" s="191"/>
      <c r="BC41" s="191"/>
      <c r="BD41" s="191"/>
      <c r="BF41" s="191"/>
      <c r="BG41" s="191"/>
      <c r="BH41" s="191"/>
      <c r="BJ41" s="191"/>
      <c r="BK41" s="191"/>
      <c r="BL41" s="191"/>
      <c r="BN41" s="191"/>
      <c r="BO41" s="191"/>
      <c r="BP41" s="191"/>
      <c r="BR41" s="191"/>
      <c r="BS41" s="191"/>
      <c r="BT41" s="191"/>
      <c r="BV41" s="191"/>
      <c r="BW41" s="191"/>
      <c r="BX41" s="191"/>
      <c r="BZ41" s="191"/>
      <c r="CA41" s="191"/>
      <c r="CB41" s="191"/>
      <c r="CD41" s="191"/>
      <c r="CE41" s="191"/>
      <c r="CF41" s="191"/>
      <c r="CH41" s="191"/>
      <c r="CI41" s="191"/>
      <c r="CJ41" s="191"/>
      <c r="CL41" s="191"/>
      <c r="CM41" s="191"/>
      <c r="CN41" s="191"/>
      <c r="CP41" s="191"/>
      <c r="CQ41" s="191"/>
      <c r="CR41" s="191"/>
      <c r="CT41" s="191"/>
      <c r="CU41" s="191"/>
      <c r="CV41" s="191"/>
      <c r="CX41" s="191"/>
      <c r="CY41" s="191"/>
      <c r="CZ41" s="191"/>
      <c r="DB41" s="191"/>
      <c r="DC41" s="191"/>
      <c r="DD41" s="191"/>
      <c r="DF41" s="191"/>
      <c r="DG41" s="191"/>
      <c r="DH41" s="191"/>
      <c r="DJ41" s="191"/>
      <c r="DK41" s="191"/>
      <c r="DL41" s="191"/>
      <c r="DN41" s="191"/>
      <c r="DO41" s="191"/>
      <c r="DP41" s="191"/>
      <c r="DR41" s="191"/>
      <c r="DS41" s="191"/>
      <c r="DT41" s="191"/>
      <c r="DV41" s="191"/>
      <c r="DW41" s="191"/>
      <c r="DX41" s="191"/>
      <c r="DZ41" s="191"/>
      <c r="EA41" s="191"/>
      <c r="EB41" s="191"/>
      <c r="ED41" s="191"/>
      <c r="EE41" s="191"/>
      <c r="EF41" s="191"/>
      <c r="EH41" s="191"/>
      <c r="EI41" s="191"/>
      <c r="EJ41" s="191"/>
      <c r="EL41" s="191"/>
      <c r="EM41" s="191"/>
      <c r="EN41" s="191"/>
      <c r="EP41" s="191"/>
      <c r="EQ41" s="191"/>
      <c r="ER41" s="191"/>
      <c r="ET41" s="191"/>
      <c r="EU41" s="191"/>
      <c r="EV41" s="191"/>
      <c r="EX41" s="191"/>
      <c r="EY41" s="191"/>
      <c r="EZ41" s="191"/>
      <c r="FB41" s="191"/>
      <c r="FC41" s="191"/>
      <c r="FD41" s="191"/>
      <c r="FF41" s="191"/>
      <c r="FG41" s="191"/>
      <c r="FH41" s="191"/>
      <c r="FJ41" s="191"/>
      <c r="FK41" s="191"/>
      <c r="FL41" s="191"/>
      <c r="FN41" s="191"/>
      <c r="FO41" s="191"/>
      <c r="FP41" s="191"/>
      <c r="FR41" s="191"/>
      <c r="FS41" s="191"/>
      <c r="FT41" s="191"/>
      <c r="FV41" s="191"/>
      <c r="FW41" s="191"/>
      <c r="FX41" s="191"/>
      <c r="FZ41" s="191"/>
      <c r="GA41" s="191"/>
      <c r="GB41" s="191"/>
      <c r="GD41" s="191"/>
      <c r="GE41" s="191"/>
      <c r="GF41" s="191"/>
      <c r="GH41" s="191"/>
      <c r="GI41" s="191"/>
      <c r="GJ41" s="191"/>
      <c r="GL41" s="191"/>
      <c r="GM41" s="191"/>
      <c r="GN41" s="191"/>
      <c r="GP41" s="191"/>
      <c r="GQ41" s="191"/>
      <c r="GR41" s="191"/>
      <c r="GT41" s="191"/>
      <c r="GU41" s="191"/>
      <c r="GV41" s="191"/>
      <c r="GX41" s="191"/>
      <c r="GY41" s="191"/>
      <c r="GZ41" s="191"/>
      <c r="HB41" s="191"/>
      <c r="HC41" s="191"/>
      <c r="HD41" s="191"/>
      <c r="HF41" s="191"/>
      <c r="HG41" s="191"/>
      <c r="HH41" s="191"/>
      <c r="HJ41" s="191"/>
      <c r="HK41" s="191"/>
      <c r="HL41" s="191"/>
      <c r="HN41" s="191"/>
      <c r="HO41" s="191"/>
      <c r="HP41" s="191"/>
      <c r="HR41" s="191"/>
      <c r="HS41" s="191"/>
      <c r="HT41" s="191"/>
      <c r="HV41" s="191"/>
      <c r="HW41" s="191"/>
      <c r="HX41" s="191"/>
      <c r="HZ41" s="191"/>
      <c r="IA41" s="191"/>
      <c r="IB41" s="191"/>
      <c r="ID41" s="191"/>
      <c r="IE41" s="191"/>
      <c r="IF41" s="191"/>
      <c r="IH41" s="191"/>
      <c r="II41" s="191"/>
      <c r="IJ41" s="191"/>
      <c r="IL41" s="191"/>
      <c r="IM41" s="191"/>
      <c r="IN41" s="191"/>
      <c r="IP41" s="191"/>
      <c r="IQ41" s="191"/>
      <c r="IR41" s="191"/>
      <c r="IT41" s="191"/>
      <c r="IU41" s="191"/>
      <c r="IV41" s="191"/>
      <c r="IX41" s="191"/>
      <c r="IY41" s="191"/>
      <c r="IZ41" s="191"/>
      <c r="JB41" s="191"/>
      <c r="JC41" s="191"/>
      <c r="JD41" s="191"/>
      <c r="JF41" s="191"/>
      <c r="JG41" s="191"/>
      <c r="JH41" s="191"/>
      <c r="JJ41" s="191"/>
      <c r="JK41" s="191"/>
      <c r="JL41" s="191"/>
      <c r="JN41" s="191"/>
      <c r="JO41" s="191"/>
      <c r="JP41" s="191"/>
      <c r="JR41" s="191"/>
      <c r="JS41" s="191"/>
      <c r="JT41" s="191"/>
      <c r="JV41" s="191"/>
      <c r="JW41" s="191"/>
      <c r="JX41" s="191"/>
      <c r="JZ41" s="191"/>
      <c r="KA41" s="191"/>
      <c r="KB41" s="191"/>
      <c r="KD41" s="191"/>
      <c r="KE41" s="191"/>
      <c r="KF41" s="191"/>
      <c r="KH41" s="191"/>
      <c r="KI41" s="191"/>
      <c r="KJ41" s="191"/>
      <c r="KL41" s="191"/>
      <c r="KM41" s="191"/>
      <c r="KN41" s="191"/>
      <c r="KP41" s="191"/>
      <c r="KQ41" s="191"/>
      <c r="KR41" s="191"/>
      <c r="KT41" s="191"/>
      <c r="KU41" s="191"/>
      <c r="KV41" s="191"/>
      <c r="KX41" s="191"/>
      <c r="KY41" s="191"/>
      <c r="KZ41" s="191"/>
      <c r="LB41" s="191"/>
      <c r="LC41" s="191"/>
      <c r="LD41" s="191"/>
      <c r="LF41" s="191"/>
      <c r="LG41" s="191"/>
      <c r="LH41" s="191"/>
      <c r="LJ41" s="191"/>
      <c r="LK41" s="191"/>
      <c r="LL41" s="191"/>
      <c r="LN41" s="191"/>
      <c r="LO41" s="191"/>
      <c r="LP41" s="191"/>
      <c r="LR41" s="191"/>
      <c r="LS41" s="191"/>
      <c r="LT41" s="191"/>
      <c r="LV41" s="191"/>
      <c r="LW41" s="191"/>
      <c r="LX41" s="191"/>
      <c r="LZ41" s="191"/>
      <c r="MA41" s="191"/>
      <c r="MB41" s="191"/>
      <c r="MD41" s="191"/>
      <c r="ME41" s="191"/>
      <c r="MF41" s="191"/>
      <c r="MH41" s="191"/>
      <c r="MI41" s="191"/>
      <c r="MJ41" s="191"/>
      <c r="ML41" s="191"/>
      <c r="MM41" s="191"/>
      <c r="MN41" s="191"/>
      <c r="MP41" s="191"/>
      <c r="MQ41" s="191"/>
      <c r="MR41" s="191"/>
      <c r="MT41" s="191"/>
      <c r="MU41" s="191"/>
      <c r="MV41" s="191"/>
      <c r="MX41" s="191"/>
      <c r="MY41" s="191"/>
      <c r="MZ41" s="191"/>
      <c r="NB41" s="191"/>
      <c r="NC41" s="191"/>
      <c r="ND41" s="191"/>
      <c r="NF41" s="191"/>
      <c r="NG41" s="191"/>
      <c r="NH41" s="191"/>
      <c r="NJ41" s="191"/>
      <c r="NK41" s="191"/>
      <c r="NL41" s="191"/>
      <c r="NN41" s="191"/>
      <c r="NO41" s="191"/>
      <c r="NP41" s="191"/>
      <c r="NR41" s="191"/>
      <c r="NS41" s="191"/>
      <c r="NT41" s="191"/>
      <c r="NV41" s="191"/>
      <c r="NW41" s="191"/>
      <c r="NX41" s="191"/>
      <c r="NZ41" s="191"/>
      <c r="OA41" s="191"/>
      <c r="OB41" s="191"/>
      <c r="OD41" s="191"/>
      <c r="OE41" s="191"/>
      <c r="OF41" s="191"/>
      <c r="OH41" s="191"/>
      <c r="OI41" s="191"/>
      <c r="OJ41" s="191"/>
      <c r="OL41" s="191"/>
      <c r="OM41" s="191"/>
      <c r="ON41" s="191"/>
      <c r="OP41" s="191"/>
      <c r="OQ41" s="191"/>
      <c r="OR41" s="191"/>
      <c r="OT41" s="191"/>
      <c r="OU41" s="191"/>
      <c r="OV41" s="191"/>
      <c r="OX41" s="191"/>
      <c r="OY41" s="191"/>
      <c r="OZ41" s="191"/>
      <c r="PB41" s="191"/>
      <c r="PC41" s="191"/>
      <c r="PD41" s="191"/>
      <c r="PF41" s="191"/>
      <c r="PG41" s="191"/>
      <c r="PH41" s="191"/>
      <c r="PJ41" s="191"/>
      <c r="PK41" s="191"/>
      <c r="PL41" s="191"/>
      <c r="PN41" s="191"/>
      <c r="PO41" s="191"/>
      <c r="PP41" s="191"/>
      <c r="PR41" s="191"/>
      <c r="PS41" s="191"/>
      <c r="PT41" s="191"/>
      <c r="PV41" s="191"/>
      <c r="PW41" s="191"/>
      <c r="PX41" s="191"/>
      <c r="PZ41" s="191"/>
      <c r="QA41" s="191"/>
      <c r="QB41" s="191"/>
      <c r="QD41" s="191"/>
      <c r="QE41" s="191"/>
      <c r="QF41" s="191"/>
      <c r="QH41" s="191"/>
      <c r="QI41" s="191"/>
      <c r="QJ41" s="191"/>
      <c r="QL41" s="191"/>
      <c r="QM41" s="191"/>
      <c r="QN41" s="191"/>
      <c r="QP41" s="191"/>
      <c r="QQ41" s="191"/>
      <c r="QR41" s="191"/>
      <c r="QT41" s="191"/>
      <c r="QU41" s="191"/>
      <c r="QV41" s="191"/>
      <c r="QX41" s="191"/>
      <c r="QY41" s="191"/>
      <c r="QZ41" s="191"/>
      <c r="RB41" s="191"/>
      <c r="RC41" s="191"/>
      <c r="RD41" s="191"/>
      <c r="RF41" s="191"/>
      <c r="RG41" s="191"/>
      <c r="RH41" s="191"/>
      <c r="RJ41" s="191"/>
      <c r="RK41" s="191"/>
      <c r="RL41" s="191"/>
      <c r="RN41" s="191"/>
      <c r="RO41" s="191"/>
      <c r="RP41" s="191"/>
      <c r="RR41" s="191"/>
      <c r="RS41" s="191"/>
      <c r="RT41" s="191"/>
      <c r="RV41" s="191"/>
      <c r="RW41" s="191"/>
      <c r="RX41" s="191"/>
      <c r="RZ41" s="191"/>
      <c r="SA41" s="191"/>
      <c r="SB41" s="191"/>
      <c r="SD41" s="191"/>
      <c r="SE41" s="191"/>
      <c r="SF41" s="191"/>
      <c r="SH41" s="191"/>
      <c r="SI41" s="191"/>
      <c r="SJ41" s="191"/>
      <c r="SL41" s="191"/>
      <c r="SM41" s="191"/>
      <c r="SN41" s="191"/>
      <c r="SP41" s="191"/>
      <c r="SQ41" s="191"/>
      <c r="SR41" s="191"/>
      <c r="ST41" s="191"/>
      <c r="SU41" s="191"/>
      <c r="SV41" s="191"/>
      <c r="SX41" s="191"/>
      <c r="SY41" s="191"/>
      <c r="SZ41" s="191"/>
      <c r="TB41" s="191"/>
      <c r="TC41" s="191"/>
      <c r="TD41" s="191"/>
      <c r="TF41" s="191"/>
      <c r="TG41" s="191"/>
      <c r="TH41" s="191"/>
      <c r="TJ41" s="191"/>
      <c r="TK41" s="191"/>
      <c r="TL41" s="191"/>
      <c r="TN41" s="191"/>
      <c r="TO41" s="191"/>
      <c r="TP41" s="191"/>
      <c r="TR41" s="191"/>
      <c r="TS41" s="191"/>
      <c r="TT41" s="191"/>
      <c r="TV41" s="191"/>
      <c r="TW41" s="191"/>
      <c r="TX41" s="191"/>
      <c r="TZ41" s="191"/>
      <c r="UA41" s="191"/>
      <c r="UB41" s="191"/>
      <c r="UD41" s="191"/>
      <c r="UE41" s="191"/>
      <c r="UF41" s="191"/>
      <c r="UH41" s="191"/>
      <c r="UI41" s="191"/>
      <c r="UJ41" s="191"/>
      <c r="UL41" s="191"/>
      <c r="UM41" s="191"/>
      <c r="UN41" s="191"/>
      <c r="UP41" s="191"/>
      <c r="UQ41" s="191"/>
      <c r="UR41" s="191"/>
      <c r="UT41" s="191"/>
      <c r="UU41" s="191"/>
      <c r="UV41" s="191"/>
      <c r="UX41" s="191"/>
      <c r="UY41" s="191"/>
      <c r="UZ41" s="191"/>
      <c r="VB41" s="191"/>
      <c r="VC41" s="191"/>
      <c r="VD41" s="191"/>
      <c r="VF41" s="191"/>
      <c r="VG41" s="191"/>
      <c r="VH41" s="191"/>
      <c r="VJ41" s="191"/>
      <c r="VK41" s="191"/>
      <c r="VL41" s="191"/>
      <c r="VN41" s="191"/>
      <c r="VO41" s="191"/>
      <c r="VP41" s="191"/>
      <c r="VR41" s="191"/>
      <c r="VS41" s="191"/>
      <c r="VT41" s="191"/>
      <c r="VV41" s="191"/>
      <c r="VW41" s="191"/>
      <c r="VX41" s="191"/>
      <c r="VZ41" s="191"/>
      <c r="WA41" s="191"/>
      <c r="WB41" s="191"/>
      <c r="WD41" s="191"/>
      <c r="WE41" s="191"/>
      <c r="WF41" s="191"/>
      <c r="WH41" s="191"/>
      <c r="WI41" s="191"/>
      <c r="WJ41" s="191"/>
      <c r="WL41" s="191"/>
      <c r="WM41" s="191"/>
      <c r="WN41" s="191"/>
      <c r="WP41" s="191"/>
      <c r="WQ41" s="191"/>
      <c r="WR41" s="191"/>
      <c r="WT41" s="191"/>
      <c r="WU41" s="191"/>
      <c r="WV41" s="191"/>
      <c r="WX41" s="191"/>
      <c r="WY41" s="191"/>
      <c r="WZ41" s="191"/>
      <c r="XB41" s="191"/>
      <c r="XC41" s="191"/>
      <c r="XD41" s="191"/>
      <c r="XF41" s="191"/>
      <c r="XG41" s="191"/>
      <c r="XH41" s="191"/>
      <c r="XJ41" s="191"/>
      <c r="XK41" s="191"/>
      <c r="XL41" s="191"/>
      <c r="XN41" s="191"/>
      <c r="XO41" s="191"/>
      <c r="XP41" s="191"/>
      <c r="XR41" s="191"/>
      <c r="XS41" s="191"/>
      <c r="XT41" s="191"/>
      <c r="XV41" s="191"/>
      <c r="XW41" s="191"/>
      <c r="XX41" s="191"/>
      <c r="XZ41" s="191"/>
      <c r="YA41" s="191"/>
      <c r="YB41" s="191"/>
      <c r="YD41" s="191"/>
      <c r="YE41" s="191"/>
      <c r="YF41" s="191"/>
      <c r="YH41" s="191"/>
      <c r="YI41" s="191"/>
      <c r="YJ41" s="191"/>
      <c r="YL41" s="191"/>
      <c r="YM41" s="191"/>
      <c r="YN41" s="191"/>
      <c r="YP41" s="191"/>
      <c r="YQ41" s="191"/>
      <c r="YR41" s="191"/>
      <c r="YT41" s="191"/>
      <c r="YU41" s="191"/>
      <c r="YV41" s="191"/>
      <c r="YX41" s="191"/>
      <c r="YY41" s="191"/>
      <c r="YZ41" s="191"/>
      <c r="ZB41" s="191"/>
      <c r="ZC41" s="191"/>
      <c r="ZD41" s="191"/>
      <c r="ZF41" s="191"/>
      <c r="ZG41" s="191"/>
      <c r="ZH41" s="191"/>
      <c r="ZJ41" s="191"/>
      <c r="ZK41" s="191"/>
      <c r="ZL41" s="191"/>
      <c r="ZN41" s="191"/>
      <c r="ZO41" s="191"/>
      <c r="ZP41" s="191"/>
      <c r="ZR41" s="191"/>
      <c r="ZS41" s="191"/>
      <c r="ZT41" s="191"/>
      <c r="ZV41" s="191"/>
      <c r="ZW41" s="191"/>
      <c r="ZX41" s="191"/>
      <c r="ZZ41" s="191"/>
      <c r="AAA41" s="191"/>
      <c r="AAB41" s="191"/>
      <c r="AAD41" s="191"/>
      <c r="AAE41" s="191"/>
      <c r="AAF41" s="191"/>
      <c r="AAH41" s="191"/>
      <c r="AAI41" s="191"/>
      <c r="AAJ41" s="191"/>
      <c r="AAL41" s="191"/>
      <c r="AAM41" s="191"/>
      <c r="AAN41" s="191"/>
      <c r="AAP41" s="191"/>
      <c r="AAQ41" s="191"/>
      <c r="AAR41" s="191"/>
      <c r="AAT41" s="191"/>
      <c r="AAU41" s="191"/>
      <c r="AAV41" s="191"/>
      <c r="AAX41" s="191"/>
      <c r="AAY41" s="191"/>
      <c r="AAZ41" s="191"/>
      <c r="ABB41" s="191"/>
      <c r="ABC41" s="191"/>
      <c r="ABD41" s="191"/>
      <c r="ABF41" s="191"/>
      <c r="ABG41" s="191"/>
      <c r="ABH41" s="191"/>
      <c r="ABJ41" s="191"/>
      <c r="ABK41" s="191"/>
      <c r="ABL41" s="191"/>
      <c r="ABN41" s="191"/>
      <c r="ABO41" s="191"/>
      <c r="ABP41" s="191"/>
      <c r="ABR41" s="191"/>
      <c r="ABS41" s="191"/>
      <c r="ABT41" s="191"/>
      <c r="ABV41" s="191"/>
      <c r="ABW41" s="191"/>
      <c r="ABX41" s="191"/>
      <c r="ABZ41" s="191"/>
      <c r="ACA41" s="191"/>
      <c r="ACB41" s="191"/>
      <c r="ACD41" s="191"/>
      <c r="ACE41" s="191"/>
      <c r="ACF41" s="191"/>
      <c r="ACH41" s="191"/>
      <c r="ACI41" s="191"/>
      <c r="ACJ41" s="191"/>
      <c r="ACL41" s="191"/>
      <c r="ACM41" s="191"/>
      <c r="ACN41" s="191"/>
      <c r="ACP41" s="191"/>
      <c r="ACQ41" s="191"/>
      <c r="ACR41" s="191"/>
      <c r="ACT41" s="191"/>
      <c r="ACU41" s="191"/>
      <c r="ACV41" s="191"/>
      <c r="ACX41" s="191"/>
      <c r="ACY41" s="191"/>
      <c r="ACZ41" s="191"/>
      <c r="ADB41" s="191"/>
      <c r="ADC41" s="191"/>
      <c r="ADD41" s="191"/>
      <c r="ADF41" s="191"/>
      <c r="ADG41" s="191"/>
      <c r="ADH41" s="191"/>
      <c r="ADJ41" s="191"/>
      <c r="ADK41" s="191"/>
      <c r="ADL41" s="191"/>
      <c r="ADN41" s="191"/>
      <c r="ADO41" s="191"/>
      <c r="ADP41" s="191"/>
      <c r="ADR41" s="191"/>
      <c r="ADS41" s="191"/>
      <c r="ADT41" s="191"/>
      <c r="ADV41" s="191"/>
      <c r="ADW41" s="191"/>
      <c r="ADX41" s="191"/>
      <c r="ADZ41" s="191"/>
      <c r="AEA41" s="191"/>
      <c r="AEB41" s="191"/>
      <c r="AED41" s="191"/>
      <c r="AEE41" s="191"/>
      <c r="AEF41" s="191"/>
      <c r="AEH41" s="191"/>
      <c r="AEI41" s="191"/>
      <c r="AEJ41" s="191"/>
      <c r="AEL41" s="191"/>
      <c r="AEM41" s="191"/>
      <c r="AEN41" s="191"/>
      <c r="AEP41" s="191"/>
      <c r="AEQ41" s="191"/>
      <c r="AER41" s="191"/>
      <c r="AET41" s="191"/>
      <c r="AEU41" s="191"/>
      <c r="AEV41" s="191"/>
      <c r="AEX41" s="191"/>
      <c r="AEY41" s="191"/>
      <c r="AEZ41" s="191"/>
      <c r="AFB41" s="191"/>
      <c r="AFC41" s="191"/>
      <c r="AFD41" s="191"/>
      <c r="AFF41" s="191"/>
      <c r="AFG41" s="191"/>
      <c r="AFH41" s="191"/>
      <c r="AFJ41" s="191"/>
      <c r="AFK41" s="191"/>
      <c r="AFL41" s="191"/>
      <c r="AFN41" s="191"/>
      <c r="AFO41" s="191"/>
      <c r="AFP41" s="191"/>
      <c r="AFR41" s="191"/>
      <c r="AFS41" s="191"/>
      <c r="AFT41" s="191"/>
      <c r="AFV41" s="191"/>
      <c r="AFW41" s="191"/>
      <c r="AFX41" s="191"/>
      <c r="AFZ41" s="191"/>
      <c r="AGA41" s="191"/>
      <c r="AGB41" s="191"/>
      <c r="AGD41" s="191"/>
      <c r="AGE41" s="191"/>
      <c r="AGF41" s="191"/>
      <c r="AGH41" s="191"/>
      <c r="AGI41" s="191"/>
      <c r="AGJ41" s="191"/>
      <c r="AGL41" s="191"/>
      <c r="AGM41" s="191"/>
      <c r="AGN41" s="191"/>
      <c r="AGP41" s="191"/>
      <c r="AGQ41" s="191"/>
      <c r="AGR41" s="191"/>
      <c r="AGT41" s="191"/>
      <c r="AGU41" s="191"/>
      <c r="AGV41" s="191"/>
      <c r="AGX41" s="191"/>
      <c r="AGY41" s="191"/>
      <c r="AGZ41" s="191"/>
      <c r="AHB41" s="191"/>
      <c r="AHC41" s="191"/>
      <c r="AHD41" s="191"/>
      <c r="AHF41" s="191"/>
      <c r="AHG41" s="191"/>
      <c r="AHH41" s="191"/>
      <c r="AHJ41" s="191"/>
      <c r="AHK41" s="191"/>
      <c r="AHL41" s="191"/>
      <c r="AHN41" s="191"/>
      <c r="AHO41" s="191"/>
      <c r="AHP41" s="191"/>
      <c r="AHR41" s="191"/>
      <c r="AHS41" s="191"/>
      <c r="AHT41" s="191"/>
      <c r="AHV41" s="191"/>
      <c r="AHW41" s="191"/>
      <c r="AHX41" s="191"/>
      <c r="AHZ41" s="191"/>
      <c r="AIA41" s="191"/>
      <c r="AIB41" s="191"/>
      <c r="AID41" s="191"/>
      <c r="AIE41" s="191"/>
      <c r="AIF41" s="191"/>
      <c r="AIH41" s="191"/>
      <c r="AII41" s="191"/>
      <c r="AIJ41" s="191"/>
      <c r="AIL41" s="191"/>
      <c r="AIM41" s="191"/>
      <c r="AIN41" s="191"/>
      <c r="AIP41" s="191"/>
      <c r="AIQ41" s="191"/>
      <c r="AIR41" s="191"/>
      <c r="AIT41" s="191"/>
      <c r="AIU41" s="191"/>
      <c r="AIV41" s="191"/>
      <c r="AIX41" s="191"/>
      <c r="AIY41" s="191"/>
      <c r="AIZ41" s="191"/>
      <c r="AJB41" s="191"/>
      <c r="AJC41" s="191"/>
      <c r="AJD41" s="191"/>
      <c r="AJF41" s="191"/>
      <c r="AJG41" s="191"/>
      <c r="AJH41" s="191"/>
      <c r="AJJ41" s="191"/>
      <c r="AJK41" s="191"/>
      <c r="AJL41" s="191"/>
      <c r="AJN41" s="191"/>
      <c r="AJO41" s="191"/>
      <c r="AJP41" s="191"/>
      <c r="AJR41" s="191"/>
      <c r="AJS41" s="191"/>
      <c r="AJT41" s="191"/>
      <c r="AJV41" s="191"/>
      <c r="AJW41" s="191"/>
      <c r="AJX41" s="191"/>
      <c r="AJZ41" s="191"/>
      <c r="AKA41" s="191"/>
      <c r="AKB41" s="191"/>
      <c r="AKD41" s="191"/>
      <c r="AKE41" s="191"/>
      <c r="AKF41" s="191"/>
      <c r="AKH41" s="191"/>
      <c r="AKI41" s="191"/>
      <c r="AKJ41" s="191"/>
      <c r="AKL41" s="191"/>
      <c r="AKM41" s="191"/>
      <c r="AKN41" s="191"/>
      <c r="AKP41" s="191"/>
      <c r="AKQ41" s="191"/>
      <c r="AKR41" s="191"/>
      <c r="AKT41" s="191"/>
      <c r="AKU41" s="191"/>
      <c r="AKV41" s="191"/>
      <c r="AKX41" s="191"/>
      <c r="AKY41" s="191"/>
      <c r="AKZ41" s="191"/>
      <c r="ALB41" s="191"/>
      <c r="ALC41" s="191"/>
      <c r="ALD41" s="191"/>
      <c r="ALF41" s="191"/>
      <c r="ALG41" s="191"/>
      <c r="ALH41" s="191"/>
      <c r="ALJ41" s="191"/>
      <c r="ALK41" s="191"/>
      <c r="ALL41" s="191"/>
      <c r="ALN41" s="191"/>
      <c r="ALO41" s="191"/>
      <c r="ALP41" s="191"/>
      <c r="ALR41" s="191"/>
      <c r="ALS41" s="191"/>
      <c r="ALT41" s="191"/>
      <c r="ALV41" s="191"/>
      <c r="ALW41" s="191"/>
      <c r="ALX41" s="191"/>
      <c r="ALZ41" s="191"/>
      <c r="AMA41" s="191"/>
      <c r="AMB41" s="191"/>
      <c r="AMD41" s="191"/>
      <c r="AME41" s="191"/>
      <c r="AMF41" s="191"/>
      <c r="AMH41" s="191"/>
      <c r="AMI41" s="191"/>
      <c r="AMJ41" s="191"/>
      <c r="AML41" s="191"/>
      <c r="AMM41" s="191"/>
      <c r="AMN41" s="191"/>
      <c r="AMP41" s="191"/>
      <c r="AMQ41" s="191"/>
      <c r="AMR41" s="191"/>
      <c r="AMT41" s="191"/>
      <c r="AMU41" s="191"/>
      <c r="AMV41" s="191"/>
      <c r="AMX41" s="191"/>
      <c r="AMY41" s="191"/>
      <c r="AMZ41" s="191"/>
      <c r="ANB41" s="191"/>
      <c r="ANC41" s="191"/>
      <c r="AND41" s="191"/>
      <c r="ANF41" s="191"/>
      <c r="ANG41" s="191"/>
      <c r="ANH41" s="191"/>
      <c r="ANJ41" s="191"/>
      <c r="ANK41" s="191"/>
      <c r="ANL41" s="191"/>
      <c r="ANN41" s="191"/>
      <c r="ANO41" s="191"/>
      <c r="ANP41" s="191"/>
      <c r="ANR41" s="191"/>
      <c r="ANS41" s="191"/>
      <c r="ANT41" s="191"/>
      <c r="ANV41" s="191"/>
      <c r="ANW41" s="191"/>
      <c r="ANX41" s="191"/>
      <c r="ANZ41" s="191"/>
      <c r="AOA41" s="191"/>
      <c r="AOB41" s="191"/>
      <c r="AOD41" s="191"/>
      <c r="AOE41" s="191"/>
      <c r="AOF41" s="191"/>
      <c r="AOH41" s="191"/>
      <c r="AOI41" s="191"/>
      <c r="AOJ41" s="191"/>
      <c r="AOL41" s="191"/>
      <c r="AOM41" s="191"/>
      <c r="AON41" s="191"/>
      <c r="AOP41" s="191"/>
      <c r="AOQ41" s="191"/>
      <c r="AOR41" s="191"/>
      <c r="AOT41" s="191"/>
      <c r="AOU41" s="191"/>
      <c r="AOV41" s="191"/>
      <c r="AOX41" s="191"/>
      <c r="AOY41" s="191"/>
      <c r="AOZ41" s="191"/>
      <c r="APB41" s="191"/>
      <c r="APC41" s="191"/>
      <c r="APD41" s="191"/>
      <c r="APF41" s="191"/>
      <c r="APG41" s="191"/>
      <c r="APH41" s="191"/>
      <c r="APJ41" s="191"/>
      <c r="APK41" s="191"/>
      <c r="APL41" s="191"/>
      <c r="APN41" s="191"/>
      <c r="APO41" s="191"/>
      <c r="APP41" s="191"/>
      <c r="APR41" s="191"/>
      <c r="APS41" s="191"/>
      <c r="APT41" s="191"/>
      <c r="APV41" s="191"/>
      <c r="APW41" s="191"/>
      <c r="APX41" s="191"/>
      <c r="APZ41" s="191"/>
      <c r="AQA41" s="191"/>
      <c r="AQB41" s="191"/>
      <c r="AQD41" s="191"/>
      <c r="AQE41" s="191"/>
      <c r="AQF41" s="191"/>
      <c r="AQH41" s="191"/>
      <c r="AQI41" s="191"/>
      <c r="AQJ41" s="191"/>
      <c r="AQL41" s="191"/>
      <c r="AQM41" s="191"/>
      <c r="AQN41" s="191"/>
      <c r="AQP41" s="191"/>
      <c r="AQQ41" s="191"/>
      <c r="AQR41" s="191"/>
      <c r="AQT41" s="191"/>
      <c r="AQU41" s="191"/>
      <c r="AQV41" s="191"/>
      <c r="AQX41" s="191"/>
      <c r="AQY41" s="191"/>
      <c r="AQZ41" s="191"/>
      <c r="ARB41" s="191"/>
      <c r="ARC41" s="191"/>
      <c r="ARD41" s="191"/>
      <c r="ARF41" s="191"/>
      <c r="ARG41" s="191"/>
      <c r="ARH41" s="191"/>
      <c r="ARJ41" s="191"/>
      <c r="ARK41" s="191"/>
      <c r="ARL41" s="191"/>
      <c r="ARN41" s="191"/>
      <c r="ARO41" s="191"/>
      <c r="ARP41" s="191"/>
      <c r="ARR41" s="191"/>
      <c r="ARS41" s="191"/>
      <c r="ART41" s="191"/>
      <c r="ARV41" s="191"/>
      <c r="ARW41" s="191"/>
      <c r="ARX41" s="191"/>
      <c r="ARZ41" s="191"/>
      <c r="ASA41" s="191"/>
      <c r="ASB41" s="191"/>
      <c r="ASD41" s="191"/>
      <c r="ASE41" s="191"/>
      <c r="ASF41" s="191"/>
      <c r="ASH41" s="191"/>
      <c r="ASI41" s="191"/>
      <c r="ASJ41" s="191"/>
      <c r="ASL41" s="191"/>
      <c r="ASM41" s="191"/>
      <c r="ASN41" s="191"/>
      <c r="ASP41" s="191"/>
      <c r="ASQ41" s="191"/>
      <c r="ASR41" s="191"/>
      <c r="AST41" s="191"/>
      <c r="ASU41" s="191"/>
      <c r="ASV41" s="191"/>
      <c r="ASX41" s="191"/>
      <c r="ASY41" s="191"/>
      <c r="ASZ41" s="191"/>
      <c r="ATB41" s="191"/>
      <c r="ATC41" s="191"/>
      <c r="ATD41" s="191"/>
      <c r="ATF41" s="191"/>
      <c r="ATG41" s="191"/>
      <c r="ATH41" s="191"/>
      <c r="ATJ41" s="191"/>
      <c r="ATK41" s="191"/>
      <c r="ATL41" s="191"/>
      <c r="ATN41" s="191"/>
      <c r="ATO41" s="191"/>
      <c r="ATP41" s="191"/>
      <c r="ATR41" s="191"/>
      <c r="ATS41" s="191"/>
      <c r="ATT41" s="191"/>
      <c r="ATV41" s="191"/>
      <c r="ATW41" s="191"/>
      <c r="ATX41" s="191"/>
      <c r="ATZ41" s="191"/>
      <c r="AUA41" s="191"/>
      <c r="AUB41" s="191"/>
      <c r="AUD41" s="191"/>
      <c r="AUE41" s="191"/>
      <c r="AUF41" s="191"/>
      <c r="AUH41" s="191"/>
      <c r="AUI41" s="191"/>
      <c r="AUJ41" s="191"/>
      <c r="AUL41" s="191"/>
      <c r="AUM41" s="191"/>
      <c r="AUN41" s="191"/>
      <c r="AUP41" s="191"/>
      <c r="AUQ41" s="191"/>
      <c r="AUR41" s="191"/>
      <c r="AUT41" s="191"/>
      <c r="AUU41" s="191"/>
      <c r="AUV41" s="191"/>
      <c r="AUX41" s="191"/>
      <c r="AUY41" s="191"/>
      <c r="AUZ41" s="191"/>
      <c r="AVB41" s="191"/>
      <c r="AVC41" s="191"/>
      <c r="AVD41" s="191"/>
      <c r="AVF41" s="191"/>
      <c r="AVG41" s="191"/>
      <c r="AVH41" s="191"/>
      <c r="AVJ41" s="191"/>
      <c r="AVK41" s="191"/>
      <c r="AVL41" s="191"/>
      <c r="AVN41" s="191"/>
      <c r="AVO41" s="191"/>
      <c r="AVP41" s="191"/>
      <c r="AVR41" s="191"/>
      <c r="AVS41" s="191"/>
      <c r="AVT41" s="191"/>
      <c r="AVV41" s="191"/>
      <c r="AVW41" s="191"/>
      <c r="AVX41" s="191"/>
      <c r="AVZ41" s="191"/>
      <c r="AWA41" s="191"/>
      <c r="AWB41" s="191"/>
      <c r="AWD41" s="191"/>
      <c r="AWE41" s="191"/>
      <c r="AWF41" s="191"/>
      <c r="AWH41" s="191"/>
      <c r="AWI41" s="191"/>
      <c r="AWJ41" s="191"/>
      <c r="AWL41" s="191"/>
      <c r="AWM41" s="191"/>
      <c r="AWN41" s="191"/>
      <c r="AWP41" s="191"/>
      <c r="AWQ41" s="191"/>
      <c r="AWR41" s="191"/>
      <c r="AWT41" s="191"/>
      <c r="AWU41" s="191"/>
      <c r="AWV41" s="191"/>
      <c r="AWX41" s="191"/>
      <c r="AWY41" s="191"/>
      <c r="AWZ41" s="191"/>
      <c r="AXB41" s="191"/>
      <c r="AXC41" s="191"/>
      <c r="AXD41" s="191"/>
      <c r="AXF41" s="191"/>
      <c r="AXG41" s="191"/>
      <c r="AXH41" s="191"/>
      <c r="AXJ41" s="191"/>
      <c r="AXK41" s="191"/>
      <c r="AXL41" s="191"/>
      <c r="AXN41" s="191"/>
      <c r="AXO41" s="191"/>
      <c r="AXP41" s="191"/>
      <c r="AXR41" s="191"/>
      <c r="AXS41" s="191"/>
      <c r="AXT41" s="191"/>
      <c r="AXV41" s="191"/>
      <c r="AXW41" s="191"/>
      <c r="AXX41" s="191"/>
      <c r="AXZ41" s="191"/>
      <c r="AYA41" s="191"/>
      <c r="AYB41" s="191"/>
      <c r="AYD41" s="191"/>
      <c r="AYE41" s="191"/>
      <c r="AYF41" s="191"/>
      <c r="AYH41" s="191"/>
      <c r="AYI41" s="191"/>
      <c r="AYJ41" s="191"/>
      <c r="AYL41" s="191"/>
      <c r="AYM41" s="191"/>
      <c r="AYN41" s="191"/>
      <c r="AYP41" s="191"/>
      <c r="AYQ41" s="191"/>
      <c r="AYR41" s="191"/>
      <c r="AYT41" s="191"/>
      <c r="AYU41" s="191"/>
      <c r="AYV41" s="191"/>
      <c r="AYX41" s="191"/>
      <c r="AYY41" s="191"/>
      <c r="AYZ41" s="191"/>
      <c r="AZB41" s="191"/>
      <c r="AZC41" s="191"/>
      <c r="AZD41" s="191"/>
      <c r="AZF41" s="191"/>
      <c r="AZG41" s="191"/>
      <c r="AZH41" s="191"/>
      <c r="AZJ41" s="191"/>
      <c r="AZK41" s="191"/>
      <c r="AZL41" s="191"/>
      <c r="AZN41" s="191"/>
      <c r="AZO41" s="191"/>
      <c r="AZP41" s="191"/>
      <c r="AZR41" s="191"/>
      <c r="AZS41" s="191"/>
      <c r="AZT41" s="191"/>
      <c r="AZV41" s="191"/>
      <c r="AZW41" s="191"/>
      <c r="AZX41" s="191"/>
      <c r="AZZ41" s="191"/>
      <c r="BAA41" s="191"/>
      <c r="BAB41" s="191"/>
      <c r="BAD41" s="191"/>
      <c r="BAE41" s="191"/>
      <c r="BAF41" s="191"/>
      <c r="BAH41" s="191"/>
      <c r="BAI41" s="191"/>
      <c r="BAJ41" s="191"/>
      <c r="BAL41" s="191"/>
      <c r="BAM41" s="191"/>
      <c r="BAN41" s="191"/>
      <c r="BAP41" s="191"/>
      <c r="BAQ41" s="191"/>
      <c r="BAR41" s="191"/>
      <c r="BAT41" s="191"/>
      <c r="BAU41" s="191"/>
      <c r="BAV41" s="191"/>
      <c r="BAX41" s="191"/>
      <c r="BAY41" s="191"/>
      <c r="BAZ41" s="191"/>
      <c r="BBB41" s="191"/>
      <c r="BBC41" s="191"/>
      <c r="BBD41" s="191"/>
      <c r="BBF41" s="191"/>
      <c r="BBG41" s="191"/>
      <c r="BBH41" s="191"/>
      <c r="BBJ41" s="191"/>
      <c r="BBK41" s="191"/>
      <c r="BBL41" s="191"/>
      <c r="BBN41" s="191"/>
      <c r="BBO41" s="191"/>
      <c r="BBP41" s="191"/>
      <c r="BBR41" s="191"/>
      <c r="BBS41" s="191"/>
      <c r="BBT41" s="191"/>
      <c r="BBV41" s="191"/>
      <c r="BBW41" s="191"/>
      <c r="BBX41" s="191"/>
      <c r="BBZ41" s="191"/>
      <c r="BCA41" s="191"/>
      <c r="BCB41" s="191"/>
      <c r="BCD41" s="191"/>
      <c r="BCE41" s="191"/>
      <c r="BCF41" s="191"/>
      <c r="BCH41" s="191"/>
      <c r="BCI41" s="191"/>
      <c r="BCJ41" s="191"/>
      <c r="BCL41" s="191"/>
      <c r="BCM41" s="191"/>
      <c r="BCN41" s="191"/>
      <c r="BCP41" s="191"/>
      <c r="BCQ41" s="191"/>
      <c r="BCR41" s="191"/>
      <c r="BCT41" s="191"/>
      <c r="BCU41" s="191"/>
      <c r="BCV41" s="191"/>
      <c r="BCX41" s="191"/>
      <c r="BCY41" s="191"/>
      <c r="BCZ41" s="191"/>
      <c r="BDB41" s="191"/>
      <c r="BDC41" s="191"/>
      <c r="BDD41" s="191"/>
      <c r="BDF41" s="191"/>
      <c r="BDG41" s="191"/>
      <c r="BDH41" s="191"/>
      <c r="BDJ41" s="191"/>
      <c r="BDK41" s="191"/>
      <c r="BDL41" s="191"/>
      <c r="BDN41" s="191"/>
      <c r="BDO41" s="191"/>
      <c r="BDP41" s="191"/>
      <c r="BDR41" s="191"/>
      <c r="BDS41" s="191"/>
      <c r="BDT41" s="191"/>
      <c r="BDV41" s="191"/>
      <c r="BDW41" s="191"/>
      <c r="BDX41" s="191"/>
      <c r="BDZ41" s="191"/>
      <c r="BEA41" s="191"/>
      <c r="BEB41" s="191"/>
      <c r="BED41" s="191"/>
      <c r="BEE41" s="191"/>
      <c r="BEF41" s="191"/>
      <c r="BEH41" s="191"/>
      <c r="BEI41" s="191"/>
      <c r="BEJ41" s="191"/>
      <c r="BEL41" s="191"/>
      <c r="BEM41" s="191"/>
      <c r="BEN41" s="191"/>
      <c r="BEP41" s="191"/>
      <c r="BEQ41" s="191"/>
      <c r="BER41" s="191"/>
      <c r="BET41" s="191"/>
      <c r="BEU41" s="191"/>
      <c r="BEV41" s="191"/>
      <c r="BEX41" s="191"/>
      <c r="BEY41" s="191"/>
      <c r="BEZ41" s="191"/>
      <c r="BFB41" s="191"/>
      <c r="BFC41" s="191"/>
      <c r="BFD41" s="191"/>
      <c r="BFF41" s="191"/>
      <c r="BFG41" s="191"/>
      <c r="BFH41" s="191"/>
      <c r="BFJ41" s="191"/>
      <c r="BFK41" s="191"/>
      <c r="BFL41" s="191"/>
      <c r="BFN41" s="191"/>
      <c r="BFO41" s="191"/>
      <c r="BFP41" s="191"/>
      <c r="BFR41" s="191"/>
      <c r="BFS41" s="191"/>
      <c r="BFT41" s="191"/>
      <c r="BFV41" s="191"/>
      <c r="BFW41" s="191"/>
      <c r="BFX41" s="191"/>
      <c r="BFZ41" s="191"/>
      <c r="BGA41" s="191"/>
      <c r="BGB41" s="191"/>
      <c r="BGD41" s="191"/>
      <c r="BGE41" s="191"/>
      <c r="BGF41" s="191"/>
      <c r="BGH41" s="191"/>
      <c r="BGI41" s="191"/>
      <c r="BGJ41" s="191"/>
      <c r="BGL41" s="191"/>
      <c r="BGM41" s="191"/>
      <c r="BGN41" s="191"/>
      <c r="BGP41" s="191"/>
      <c r="BGQ41" s="191"/>
      <c r="BGR41" s="191"/>
      <c r="BGT41" s="191"/>
      <c r="BGU41" s="191"/>
      <c r="BGV41" s="191"/>
      <c r="BGX41" s="191"/>
      <c r="BGY41" s="191"/>
      <c r="BGZ41" s="191"/>
      <c r="BHB41" s="191"/>
      <c r="BHC41" s="191"/>
      <c r="BHD41" s="191"/>
      <c r="BHF41" s="191"/>
      <c r="BHG41" s="191"/>
      <c r="BHH41" s="191"/>
      <c r="BHJ41" s="191"/>
      <c r="BHK41" s="191"/>
      <c r="BHL41" s="191"/>
      <c r="BHN41" s="191"/>
      <c r="BHO41" s="191"/>
      <c r="BHP41" s="191"/>
      <c r="BHR41" s="191"/>
      <c r="BHS41" s="191"/>
      <c r="BHT41" s="191"/>
      <c r="BHV41" s="191"/>
      <c r="BHW41" s="191"/>
      <c r="BHX41" s="191"/>
      <c r="BHZ41" s="191"/>
      <c r="BIA41" s="191"/>
      <c r="BIB41" s="191"/>
      <c r="BID41" s="191"/>
      <c r="BIE41" s="191"/>
      <c r="BIF41" s="191"/>
      <c r="BIH41" s="191"/>
      <c r="BII41" s="191"/>
      <c r="BIJ41" s="191"/>
      <c r="BIL41" s="191"/>
      <c r="BIM41" s="191"/>
      <c r="BIN41" s="191"/>
      <c r="BIP41" s="191"/>
      <c r="BIQ41" s="191"/>
      <c r="BIR41" s="191"/>
      <c r="BIT41" s="191"/>
      <c r="BIU41" s="191"/>
      <c r="BIV41" s="191"/>
      <c r="BIX41" s="191"/>
      <c r="BIY41" s="191"/>
      <c r="BIZ41" s="191"/>
      <c r="BJB41" s="191"/>
      <c r="BJC41" s="191"/>
      <c r="BJD41" s="191"/>
      <c r="BJF41" s="191"/>
      <c r="BJG41" s="191"/>
      <c r="BJH41" s="191"/>
      <c r="BJJ41" s="191"/>
      <c r="BJK41" s="191"/>
      <c r="BJL41" s="191"/>
      <c r="BJN41" s="191"/>
      <c r="BJO41" s="191"/>
      <c r="BJP41" s="191"/>
      <c r="BJR41" s="191"/>
      <c r="BJS41" s="191"/>
      <c r="BJT41" s="191"/>
      <c r="BJV41" s="191"/>
      <c r="BJW41" s="191"/>
      <c r="BJX41" s="191"/>
      <c r="BJZ41" s="191"/>
      <c r="BKA41" s="191"/>
      <c r="BKB41" s="191"/>
      <c r="BKD41" s="191"/>
      <c r="BKE41" s="191"/>
      <c r="BKF41" s="191"/>
      <c r="BKH41" s="191"/>
      <c r="BKI41" s="191"/>
      <c r="BKJ41" s="191"/>
      <c r="BKL41" s="191"/>
      <c r="BKM41" s="191"/>
      <c r="BKN41" s="191"/>
      <c r="BKP41" s="191"/>
      <c r="BKQ41" s="191"/>
      <c r="BKR41" s="191"/>
      <c r="BKT41" s="191"/>
      <c r="BKU41" s="191"/>
      <c r="BKV41" s="191"/>
      <c r="BKX41" s="191"/>
      <c r="BKY41" s="191"/>
      <c r="BKZ41" s="191"/>
      <c r="BLB41" s="191"/>
      <c r="BLC41" s="191"/>
      <c r="BLD41" s="191"/>
      <c r="BLF41" s="191"/>
      <c r="BLG41" s="191"/>
      <c r="BLH41" s="191"/>
      <c r="BLJ41" s="191"/>
      <c r="BLK41" s="191"/>
      <c r="BLL41" s="191"/>
      <c r="BLN41" s="191"/>
      <c r="BLO41" s="191"/>
      <c r="BLP41" s="191"/>
      <c r="BLR41" s="191"/>
      <c r="BLS41" s="191"/>
      <c r="BLT41" s="191"/>
      <c r="BLV41" s="191"/>
      <c r="BLW41" s="191"/>
      <c r="BLX41" s="191"/>
      <c r="BLZ41" s="191"/>
      <c r="BMA41" s="191"/>
      <c r="BMB41" s="191"/>
      <c r="BMD41" s="191"/>
      <c r="BME41" s="191"/>
      <c r="BMF41" s="191"/>
      <c r="BMH41" s="191"/>
      <c r="BMI41" s="191"/>
      <c r="BMJ41" s="191"/>
      <c r="BML41" s="191"/>
      <c r="BMM41" s="191"/>
      <c r="BMN41" s="191"/>
      <c r="BMP41" s="191"/>
      <c r="BMQ41" s="191"/>
      <c r="BMR41" s="191"/>
      <c r="BMT41" s="191"/>
      <c r="BMU41" s="191"/>
      <c r="BMV41" s="191"/>
      <c r="BMX41" s="191"/>
      <c r="BMY41" s="191"/>
      <c r="BMZ41" s="191"/>
      <c r="BNB41" s="191"/>
      <c r="BNC41" s="191"/>
      <c r="BND41" s="191"/>
      <c r="BNF41" s="191"/>
      <c r="BNG41" s="191"/>
      <c r="BNH41" s="191"/>
      <c r="BNJ41" s="191"/>
      <c r="BNK41" s="191"/>
      <c r="BNL41" s="191"/>
      <c r="BNN41" s="191"/>
      <c r="BNO41" s="191"/>
      <c r="BNP41" s="191"/>
      <c r="BNR41" s="191"/>
      <c r="BNS41" s="191"/>
      <c r="BNT41" s="191"/>
      <c r="BNV41" s="191"/>
      <c r="BNW41" s="191"/>
      <c r="BNX41" s="191"/>
      <c r="BNZ41" s="191"/>
      <c r="BOA41" s="191"/>
      <c r="BOB41" s="191"/>
      <c r="BOD41" s="191"/>
      <c r="BOE41" s="191"/>
      <c r="BOF41" s="191"/>
      <c r="BOH41" s="191"/>
      <c r="BOI41" s="191"/>
      <c r="BOJ41" s="191"/>
      <c r="BOL41" s="191"/>
      <c r="BOM41" s="191"/>
      <c r="BON41" s="191"/>
      <c r="BOP41" s="191"/>
      <c r="BOQ41" s="191"/>
      <c r="BOR41" s="191"/>
      <c r="BOT41" s="191"/>
      <c r="BOU41" s="191"/>
      <c r="BOV41" s="191"/>
      <c r="BOX41" s="191"/>
      <c r="BOY41" s="191"/>
      <c r="BOZ41" s="191"/>
      <c r="BPB41" s="191"/>
      <c r="BPC41" s="191"/>
      <c r="BPD41" s="191"/>
      <c r="BPF41" s="191"/>
      <c r="BPG41" s="191"/>
      <c r="BPH41" s="191"/>
      <c r="BPJ41" s="191"/>
      <c r="BPK41" s="191"/>
      <c r="BPL41" s="191"/>
      <c r="BPN41" s="191"/>
      <c r="BPO41" s="191"/>
      <c r="BPP41" s="191"/>
      <c r="BPR41" s="191"/>
      <c r="BPS41" s="191"/>
      <c r="BPT41" s="191"/>
      <c r="BPV41" s="191"/>
      <c r="BPW41" s="191"/>
      <c r="BPX41" s="191"/>
      <c r="BPZ41" s="191"/>
      <c r="BQA41" s="191"/>
      <c r="BQB41" s="191"/>
      <c r="BQD41" s="191"/>
      <c r="BQE41" s="191"/>
      <c r="BQF41" s="191"/>
      <c r="BQH41" s="191"/>
      <c r="BQI41" s="191"/>
      <c r="BQJ41" s="191"/>
      <c r="BQL41" s="191"/>
      <c r="BQM41" s="191"/>
      <c r="BQN41" s="191"/>
      <c r="BQP41" s="191"/>
      <c r="BQQ41" s="191"/>
      <c r="BQR41" s="191"/>
      <c r="BQT41" s="191"/>
      <c r="BQU41" s="191"/>
      <c r="BQV41" s="191"/>
      <c r="BQX41" s="191"/>
      <c r="BQY41" s="191"/>
      <c r="BQZ41" s="191"/>
      <c r="BRB41" s="191"/>
      <c r="BRC41" s="191"/>
      <c r="BRD41" s="191"/>
      <c r="BRF41" s="191"/>
      <c r="BRG41" s="191"/>
      <c r="BRH41" s="191"/>
      <c r="BRJ41" s="191"/>
      <c r="BRK41" s="191"/>
      <c r="BRL41" s="191"/>
      <c r="BRN41" s="191"/>
      <c r="BRO41" s="191"/>
      <c r="BRP41" s="191"/>
      <c r="BRR41" s="191"/>
      <c r="BRS41" s="191"/>
      <c r="BRT41" s="191"/>
      <c r="BRV41" s="191"/>
      <c r="BRW41" s="191"/>
      <c r="BRX41" s="191"/>
      <c r="BRZ41" s="191"/>
      <c r="BSA41" s="191"/>
      <c r="BSB41" s="191"/>
      <c r="BSD41" s="191"/>
      <c r="BSE41" s="191"/>
      <c r="BSF41" s="191"/>
      <c r="BSH41" s="191"/>
      <c r="BSI41" s="191"/>
      <c r="BSJ41" s="191"/>
      <c r="BSL41" s="191"/>
      <c r="BSM41" s="191"/>
      <c r="BSN41" s="191"/>
      <c r="BSP41" s="191"/>
      <c r="BSQ41" s="191"/>
      <c r="BSR41" s="191"/>
      <c r="BST41" s="191"/>
      <c r="BSU41" s="191"/>
      <c r="BSV41" s="191"/>
      <c r="BSX41" s="191"/>
      <c r="BSY41" s="191"/>
      <c r="BSZ41" s="191"/>
      <c r="BTB41" s="191"/>
      <c r="BTC41" s="191"/>
      <c r="BTD41" s="191"/>
      <c r="BTF41" s="191"/>
      <c r="BTG41" s="191"/>
      <c r="BTH41" s="191"/>
      <c r="BTJ41" s="191"/>
      <c r="BTK41" s="191"/>
      <c r="BTL41" s="191"/>
      <c r="BTN41" s="191"/>
      <c r="BTO41" s="191"/>
      <c r="BTP41" s="191"/>
      <c r="BTR41" s="191"/>
      <c r="BTS41" s="191"/>
      <c r="BTT41" s="191"/>
      <c r="BTV41" s="191"/>
      <c r="BTW41" s="191"/>
      <c r="BTX41" s="191"/>
      <c r="BTZ41" s="191"/>
      <c r="BUA41" s="191"/>
      <c r="BUB41" s="191"/>
      <c r="BUD41" s="191"/>
      <c r="BUE41" s="191"/>
      <c r="BUF41" s="191"/>
      <c r="BUH41" s="191"/>
      <c r="BUI41" s="191"/>
      <c r="BUJ41" s="191"/>
      <c r="BUL41" s="191"/>
      <c r="BUM41" s="191"/>
      <c r="BUN41" s="191"/>
      <c r="BUP41" s="191"/>
      <c r="BUQ41" s="191"/>
      <c r="BUR41" s="191"/>
      <c r="BUT41" s="191"/>
      <c r="BUU41" s="191"/>
      <c r="BUV41" s="191"/>
      <c r="BUX41" s="191"/>
      <c r="BUY41" s="191"/>
      <c r="BUZ41" s="191"/>
      <c r="BVB41" s="191"/>
      <c r="BVC41" s="191"/>
      <c r="BVD41" s="191"/>
      <c r="BVF41" s="191"/>
      <c r="BVG41" s="191"/>
      <c r="BVH41" s="191"/>
      <c r="BVJ41" s="191"/>
      <c r="BVK41" s="191"/>
      <c r="BVL41" s="191"/>
      <c r="BVN41" s="191"/>
      <c r="BVO41" s="191"/>
      <c r="BVP41" s="191"/>
      <c r="BVR41" s="191"/>
      <c r="BVS41" s="191"/>
      <c r="BVT41" s="191"/>
      <c r="BVV41" s="191"/>
      <c r="BVW41" s="191"/>
      <c r="BVX41" s="191"/>
      <c r="BVZ41" s="191"/>
      <c r="BWA41" s="191"/>
      <c r="BWB41" s="191"/>
      <c r="BWD41" s="191"/>
      <c r="BWE41" s="191"/>
      <c r="BWF41" s="191"/>
      <c r="BWH41" s="191"/>
      <c r="BWI41" s="191"/>
      <c r="BWJ41" s="191"/>
      <c r="BWL41" s="191"/>
      <c r="BWM41" s="191"/>
      <c r="BWN41" s="191"/>
      <c r="BWP41" s="191"/>
      <c r="BWQ41" s="191"/>
      <c r="BWR41" s="191"/>
      <c r="BWT41" s="191"/>
      <c r="BWU41" s="191"/>
      <c r="BWV41" s="191"/>
      <c r="BWX41" s="191"/>
      <c r="BWY41" s="191"/>
      <c r="BWZ41" s="191"/>
      <c r="BXB41" s="191"/>
      <c r="BXC41" s="191"/>
      <c r="BXD41" s="191"/>
      <c r="BXF41" s="191"/>
      <c r="BXG41" s="191"/>
      <c r="BXH41" s="191"/>
      <c r="BXJ41" s="191"/>
      <c r="BXK41" s="191"/>
      <c r="BXL41" s="191"/>
      <c r="BXN41" s="191"/>
      <c r="BXO41" s="191"/>
      <c r="BXP41" s="191"/>
      <c r="BXR41" s="191"/>
      <c r="BXS41" s="191"/>
      <c r="BXT41" s="191"/>
      <c r="BXV41" s="191"/>
      <c r="BXW41" s="191"/>
      <c r="BXX41" s="191"/>
      <c r="BXZ41" s="191"/>
      <c r="BYA41" s="191"/>
      <c r="BYB41" s="191"/>
      <c r="BYD41" s="191"/>
      <c r="BYE41" s="191"/>
      <c r="BYF41" s="191"/>
      <c r="BYH41" s="191"/>
      <c r="BYI41" s="191"/>
      <c r="BYJ41" s="191"/>
      <c r="BYL41" s="191"/>
      <c r="BYM41" s="191"/>
      <c r="BYN41" s="191"/>
      <c r="BYP41" s="191"/>
      <c r="BYQ41" s="191"/>
      <c r="BYR41" s="191"/>
      <c r="BYT41" s="191"/>
      <c r="BYU41" s="191"/>
      <c r="BYV41" s="191"/>
      <c r="BYX41" s="191"/>
      <c r="BYY41" s="191"/>
      <c r="BYZ41" s="191"/>
      <c r="BZB41" s="191"/>
      <c r="BZC41" s="191"/>
      <c r="BZD41" s="191"/>
      <c r="BZF41" s="191"/>
      <c r="BZG41" s="191"/>
      <c r="BZH41" s="191"/>
      <c r="BZJ41" s="191"/>
      <c r="BZK41" s="191"/>
      <c r="BZL41" s="191"/>
      <c r="BZN41" s="191"/>
      <c r="BZO41" s="191"/>
      <c r="BZP41" s="191"/>
      <c r="BZR41" s="191"/>
      <c r="BZS41" s="191"/>
      <c r="BZT41" s="191"/>
      <c r="BZV41" s="191"/>
      <c r="BZW41" s="191"/>
      <c r="BZX41" s="191"/>
      <c r="BZZ41" s="191"/>
      <c r="CAA41" s="191"/>
      <c r="CAB41" s="191"/>
      <c r="CAD41" s="191"/>
      <c r="CAE41" s="191"/>
      <c r="CAF41" s="191"/>
      <c r="CAH41" s="191"/>
      <c r="CAI41" s="191"/>
      <c r="CAJ41" s="191"/>
      <c r="CAL41" s="191"/>
      <c r="CAM41" s="191"/>
      <c r="CAN41" s="191"/>
      <c r="CAP41" s="191"/>
      <c r="CAQ41" s="191"/>
      <c r="CAR41" s="191"/>
      <c r="CAT41" s="191"/>
      <c r="CAU41" s="191"/>
      <c r="CAV41" s="191"/>
      <c r="CAX41" s="191"/>
      <c r="CAY41" s="191"/>
      <c r="CAZ41" s="191"/>
      <c r="CBB41" s="191"/>
      <c r="CBC41" s="191"/>
      <c r="CBD41" s="191"/>
      <c r="CBF41" s="191"/>
      <c r="CBG41" s="191"/>
      <c r="CBH41" s="191"/>
      <c r="CBJ41" s="191"/>
      <c r="CBK41" s="191"/>
      <c r="CBL41" s="191"/>
      <c r="CBN41" s="191"/>
      <c r="CBO41" s="191"/>
      <c r="CBP41" s="191"/>
      <c r="CBR41" s="191"/>
      <c r="CBS41" s="191"/>
      <c r="CBT41" s="191"/>
      <c r="CBV41" s="191"/>
      <c r="CBW41" s="191"/>
      <c r="CBX41" s="191"/>
      <c r="CBZ41" s="191"/>
      <c r="CCA41" s="191"/>
      <c r="CCB41" s="191"/>
      <c r="CCD41" s="191"/>
      <c r="CCE41" s="191"/>
      <c r="CCF41" s="191"/>
      <c r="CCH41" s="191"/>
      <c r="CCI41" s="191"/>
      <c r="CCJ41" s="191"/>
      <c r="CCL41" s="191"/>
      <c r="CCM41" s="191"/>
      <c r="CCN41" s="191"/>
      <c r="CCP41" s="191"/>
      <c r="CCQ41" s="191"/>
      <c r="CCR41" s="191"/>
      <c r="CCT41" s="191"/>
      <c r="CCU41" s="191"/>
      <c r="CCV41" s="191"/>
      <c r="CCX41" s="191"/>
      <c r="CCY41" s="191"/>
      <c r="CCZ41" s="191"/>
      <c r="CDB41" s="191"/>
      <c r="CDC41" s="191"/>
      <c r="CDD41" s="191"/>
      <c r="CDF41" s="191"/>
      <c r="CDG41" s="191"/>
      <c r="CDH41" s="191"/>
      <c r="CDJ41" s="191"/>
      <c r="CDK41" s="191"/>
      <c r="CDL41" s="191"/>
      <c r="CDN41" s="191"/>
      <c r="CDO41" s="191"/>
      <c r="CDP41" s="191"/>
      <c r="CDR41" s="191"/>
      <c r="CDS41" s="191"/>
      <c r="CDT41" s="191"/>
      <c r="CDV41" s="191"/>
      <c r="CDW41" s="191"/>
      <c r="CDX41" s="191"/>
      <c r="CDZ41" s="191"/>
      <c r="CEA41" s="191"/>
      <c r="CEB41" s="191"/>
      <c r="CED41" s="191"/>
      <c r="CEE41" s="191"/>
      <c r="CEF41" s="191"/>
      <c r="CEH41" s="191"/>
      <c r="CEI41" s="191"/>
      <c r="CEJ41" s="191"/>
      <c r="CEL41" s="191"/>
      <c r="CEM41" s="191"/>
      <c r="CEN41" s="191"/>
      <c r="CEP41" s="191"/>
      <c r="CEQ41" s="191"/>
      <c r="CER41" s="191"/>
      <c r="CET41" s="191"/>
      <c r="CEU41" s="191"/>
      <c r="CEV41" s="191"/>
      <c r="CEX41" s="191"/>
      <c r="CEY41" s="191"/>
      <c r="CEZ41" s="191"/>
      <c r="CFB41" s="191"/>
      <c r="CFC41" s="191"/>
      <c r="CFD41" s="191"/>
      <c r="CFF41" s="191"/>
      <c r="CFG41" s="191"/>
      <c r="CFH41" s="191"/>
      <c r="CFJ41" s="191"/>
      <c r="CFK41" s="191"/>
      <c r="CFL41" s="191"/>
      <c r="CFN41" s="191"/>
      <c r="CFO41" s="191"/>
      <c r="CFP41" s="191"/>
      <c r="CFR41" s="191"/>
      <c r="CFS41" s="191"/>
      <c r="CFT41" s="191"/>
      <c r="CFV41" s="191"/>
      <c r="CFW41" s="191"/>
      <c r="CFX41" s="191"/>
      <c r="CFZ41" s="191"/>
      <c r="CGA41" s="191"/>
      <c r="CGB41" s="191"/>
      <c r="CGD41" s="191"/>
      <c r="CGE41" s="191"/>
      <c r="CGF41" s="191"/>
      <c r="CGH41" s="191"/>
      <c r="CGI41" s="191"/>
      <c r="CGJ41" s="191"/>
      <c r="CGL41" s="191"/>
      <c r="CGM41" s="191"/>
      <c r="CGN41" s="191"/>
      <c r="CGP41" s="191"/>
      <c r="CGQ41" s="191"/>
      <c r="CGR41" s="191"/>
      <c r="CGT41" s="191"/>
      <c r="CGU41" s="191"/>
      <c r="CGV41" s="191"/>
      <c r="CGX41" s="191"/>
      <c r="CGY41" s="191"/>
      <c r="CGZ41" s="191"/>
      <c r="CHB41" s="191"/>
      <c r="CHC41" s="191"/>
      <c r="CHD41" s="191"/>
      <c r="CHF41" s="191"/>
      <c r="CHG41" s="191"/>
      <c r="CHH41" s="191"/>
      <c r="CHJ41" s="191"/>
      <c r="CHK41" s="191"/>
      <c r="CHL41" s="191"/>
      <c r="CHN41" s="191"/>
      <c r="CHO41" s="191"/>
      <c r="CHP41" s="191"/>
      <c r="CHR41" s="191"/>
      <c r="CHS41" s="191"/>
      <c r="CHT41" s="191"/>
      <c r="CHV41" s="191"/>
      <c r="CHW41" s="191"/>
      <c r="CHX41" s="191"/>
      <c r="CHZ41" s="191"/>
      <c r="CIA41" s="191"/>
      <c r="CIB41" s="191"/>
      <c r="CID41" s="191"/>
      <c r="CIE41" s="191"/>
      <c r="CIF41" s="191"/>
      <c r="CIH41" s="191"/>
      <c r="CII41" s="191"/>
      <c r="CIJ41" s="191"/>
      <c r="CIL41" s="191"/>
      <c r="CIM41" s="191"/>
      <c r="CIN41" s="191"/>
      <c r="CIP41" s="191"/>
      <c r="CIQ41" s="191"/>
      <c r="CIR41" s="191"/>
      <c r="CIT41" s="191"/>
      <c r="CIU41" s="191"/>
      <c r="CIV41" s="191"/>
      <c r="CIX41" s="191"/>
      <c r="CIY41" s="191"/>
      <c r="CIZ41" s="191"/>
      <c r="CJB41" s="191"/>
      <c r="CJC41" s="191"/>
      <c r="CJD41" s="191"/>
      <c r="CJF41" s="191"/>
      <c r="CJG41" s="191"/>
      <c r="CJH41" s="191"/>
      <c r="CJJ41" s="191"/>
      <c r="CJK41" s="191"/>
      <c r="CJL41" s="191"/>
      <c r="CJN41" s="191"/>
      <c r="CJO41" s="191"/>
      <c r="CJP41" s="191"/>
      <c r="CJR41" s="191"/>
      <c r="CJS41" s="191"/>
      <c r="CJT41" s="191"/>
      <c r="CJV41" s="191"/>
      <c r="CJW41" s="191"/>
      <c r="CJX41" s="191"/>
      <c r="CJZ41" s="191"/>
      <c r="CKA41" s="191"/>
      <c r="CKB41" s="191"/>
      <c r="CKD41" s="191"/>
      <c r="CKE41" s="191"/>
      <c r="CKF41" s="191"/>
      <c r="CKH41" s="191"/>
      <c r="CKI41" s="191"/>
      <c r="CKJ41" s="191"/>
      <c r="CKL41" s="191"/>
      <c r="CKM41" s="191"/>
      <c r="CKN41" s="191"/>
      <c r="CKP41" s="191"/>
      <c r="CKQ41" s="191"/>
      <c r="CKR41" s="191"/>
      <c r="CKT41" s="191"/>
      <c r="CKU41" s="191"/>
      <c r="CKV41" s="191"/>
      <c r="CKX41" s="191"/>
      <c r="CKY41" s="191"/>
      <c r="CKZ41" s="191"/>
      <c r="CLB41" s="191"/>
      <c r="CLC41" s="191"/>
      <c r="CLD41" s="191"/>
      <c r="CLF41" s="191"/>
      <c r="CLG41" s="191"/>
      <c r="CLH41" s="191"/>
      <c r="CLJ41" s="191"/>
      <c r="CLK41" s="191"/>
      <c r="CLL41" s="191"/>
      <c r="CLN41" s="191"/>
      <c r="CLO41" s="191"/>
      <c r="CLP41" s="191"/>
      <c r="CLR41" s="191"/>
      <c r="CLS41" s="191"/>
      <c r="CLT41" s="191"/>
      <c r="CLV41" s="191"/>
      <c r="CLW41" s="191"/>
      <c r="CLX41" s="191"/>
      <c r="CLZ41" s="191"/>
      <c r="CMA41" s="191"/>
      <c r="CMB41" s="191"/>
      <c r="CMD41" s="191"/>
      <c r="CME41" s="191"/>
      <c r="CMF41" s="191"/>
      <c r="CMH41" s="191"/>
      <c r="CMI41" s="191"/>
      <c r="CMJ41" s="191"/>
      <c r="CML41" s="191"/>
      <c r="CMM41" s="191"/>
      <c r="CMN41" s="191"/>
      <c r="CMP41" s="191"/>
      <c r="CMQ41" s="191"/>
      <c r="CMR41" s="191"/>
      <c r="CMT41" s="191"/>
      <c r="CMU41" s="191"/>
      <c r="CMV41" s="191"/>
      <c r="CMX41" s="191"/>
      <c r="CMY41" s="191"/>
      <c r="CMZ41" s="191"/>
      <c r="CNB41" s="191"/>
      <c r="CNC41" s="191"/>
      <c r="CND41" s="191"/>
      <c r="CNF41" s="191"/>
      <c r="CNG41" s="191"/>
      <c r="CNH41" s="191"/>
      <c r="CNJ41" s="191"/>
      <c r="CNK41" s="191"/>
      <c r="CNL41" s="191"/>
      <c r="CNN41" s="191"/>
      <c r="CNO41" s="191"/>
      <c r="CNP41" s="191"/>
      <c r="CNR41" s="191"/>
      <c r="CNS41" s="191"/>
      <c r="CNT41" s="191"/>
      <c r="CNV41" s="191"/>
      <c r="CNW41" s="191"/>
      <c r="CNX41" s="191"/>
      <c r="CNZ41" s="191"/>
      <c r="COA41" s="191"/>
      <c r="COB41" s="191"/>
      <c r="COD41" s="191"/>
      <c r="COE41" s="191"/>
      <c r="COF41" s="191"/>
      <c r="COH41" s="191"/>
      <c r="COI41" s="191"/>
      <c r="COJ41" s="191"/>
      <c r="COL41" s="191"/>
      <c r="COM41" s="191"/>
      <c r="CON41" s="191"/>
      <c r="COP41" s="191"/>
      <c r="COQ41" s="191"/>
      <c r="COR41" s="191"/>
      <c r="COT41" s="191"/>
      <c r="COU41" s="191"/>
      <c r="COV41" s="191"/>
      <c r="COX41" s="191"/>
      <c r="COY41" s="191"/>
      <c r="COZ41" s="191"/>
      <c r="CPB41" s="191"/>
      <c r="CPC41" s="191"/>
      <c r="CPD41" s="191"/>
      <c r="CPF41" s="191"/>
      <c r="CPG41" s="191"/>
      <c r="CPH41" s="191"/>
      <c r="CPJ41" s="191"/>
      <c r="CPK41" s="191"/>
      <c r="CPL41" s="191"/>
      <c r="CPN41" s="191"/>
      <c r="CPO41" s="191"/>
      <c r="CPP41" s="191"/>
      <c r="CPR41" s="191"/>
      <c r="CPS41" s="191"/>
      <c r="CPT41" s="191"/>
      <c r="CPV41" s="191"/>
      <c r="CPW41" s="191"/>
      <c r="CPX41" s="191"/>
      <c r="CPZ41" s="191"/>
      <c r="CQA41" s="191"/>
      <c r="CQB41" s="191"/>
      <c r="CQD41" s="191"/>
      <c r="CQE41" s="191"/>
      <c r="CQF41" s="191"/>
      <c r="CQH41" s="191"/>
      <c r="CQI41" s="191"/>
      <c r="CQJ41" s="191"/>
      <c r="CQL41" s="191"/>
      <c r="CQM41" s="191"/>
      <c r="CQN41" s="191"/>
      <c r="CQP41" s="191"/>
      <c r="CQQ41" s="191"/>
      <c r="CQR41" s="191"/>
      <c r="CQT41" s="191"/>
      <c r="CQU41" s="191"/>
      <c r="CQV41" s="191"/>
      <c r="CQX41" s="191"/>
      <c r="CQY41" s="191"/>
      <c r="CQZ41" s="191"/>
      <c r="CRB41" s="191"/>
      <c r="CRC41" s="191"/>
      <c r="CRD41" s="191"/>
      <c r="CRF41" s="191"/>
      <c r="CRG41" s="191"/>
      <c r="CRH41" s="191"/>
      <c r="CRJ41" s="191"/>
      <c r="CRK41" s="191"/>
      <c r="CRL41" s="191"/>
      <c r="CRN41" s="191"/>
      <c r="CRO41" s="191"/>
      <c r="CRP41" s="191"/>
      <c r="CRR41" s="191"/>
      <c r="CRS41" s="191"/>
      <c r="CRT41" s="191"/>
      <c r="CRV41" s="191"/>
      <c r="CRW41" s="191"/>
      <c r="CRX41" s="191"/>
      <c r="CRZ41" s="191"/>
      <c r="CSA41" s="191"/>
      <c r="CSB41" s="191"/>
      <c r="CSD41" s="191"/>
      <c r="CSE41" s="191"/>
      <c r="CSF41" s="191"/>
      <c r="CSH41" s="191"/>
      <c r="CSI41" s="191"/>
      <c r="CSJ41" s="191"/>
      <c r="CSL41" s="191"/>
      <c r="CSM41" s="191"/>
      <c r="CSN41" s="191"/>
      <c r="CSP41" s="191"/>
      <c r="CSQ41" s="191"/>
      <c r="CSR41" s="191"/>
      <c r="CST41" s="191"/>
      <c r="CSU41" s="191"/>
      <c r="CSV41" s="191"/>
      <c r="CSX41" s="191"/>
      <c r="CSY41" s="191"/>
      <c r="CSZ41" s="191"/>
      <c r="CTB41" s="191"/>
      <c r="CTC41" s="191"/>
      <c r="CTD41" s="191"/>
      <c r="CTF41" s="191"/>
      <c r="CTG41" s="191"/>
      <c r="CTH41" s="191"/>
      <c r="CTJ41" s="191"/>
      <c r="CTK41" s="191"/>
      <c r="CTL41" s="191"/>
      <c r="CTN41" s="191"/>
      <c r="CTO41" s="191"/>
      <c r="CTP41" s="191"/>
      <c r="CTR41" s="191"/>
      <c r="CTS41" s="191"/>
      <c r="CTT41" s="191"/>
      <c r="CTV41" s="191"/>
      <c r="CTW41" s="191"/>
      <c r="CTX41" s="191"/>
      <c r="CTZ41" s="191"/>
      <c r="CUA41" s="191"/>
      <c r="CUB41" s="191"/>
      <c r="CUD41" s="191"/>
      <c r="CUE41" s="191"/>
      <c r="CUF41" s="191"/>
      <c r="CUH41" s="191"/>
      <c r="CUI41" s="191"/>
      <c r="CUJ41" s="191"/>
      <c r="CUL41" s="191"/>
      <c r="CUM41" s="191"/>
      <c r="CUN41" s="191"/>
      <c r="CUP41" s="191"/>
      <c r="CUQ41" s="191"/>
      <c r="CUR41" s="191"/>
      <c r="CUT41" s="191"/>
      <c r="CUU41" s="191"/>
      <c r="CUV41" s="191"/>
      <c r="CUX41" s="191"/>
      <c r="CUY41" s="191"/>
      <c r="CUZ41" s="191"/>
      <c r="CVB41" s="191"/>
      <c r="CVC41" s="191"/>
      <c r="CVD41" s="191"/>
      <c r="CVF41" s="191"/>
      <c r="CVG41" s="191"/>
      <c r="CVH41" s="191"/>
      <c r="CVJ41" s="191"/>
      <c r="CVK41" s="191"/>
      <c r="CVL41" s="191"/>
      <c r="CVN41" s="191"/>
      <c r="CVO41" s="191"/>
      <c r="CVP41" s="191"/>
      <c r="CVR41" s="191"/>
      <c r="CVS41" s="191"/>
      <c r="CVT41" s="191"/>
      <c r="CVV41" s="191"/>
      <c r="CVW41" s="191"/>
      <c r="CVX41" s="191"/>
      <c r="CVZ41" s="191"/>
      <c r="CWA41" s="191"/>
      <c r="CWB41" s="191"/>
      <c r="CWD41" s="191"/>
      <c r="CWE41" s="191"/>
      <c r="CWF41" s="191"/>
      <c r="CWH41" s="191"/>
      <c r="CWI41" s="191"/>
      <c r="CWJ41" s="191"/>
      <c r="CWL41" s="191"/>
      <c r="CWM41" s="191"/>
      <c r="CWN41" s="191"/>
      <c r="CWP41" s="191"/>
      <c r="CWQ41" s="191"/>
      <c r="CWR41" s="191"/>
      <c r="CWT41" s="191"/>
      <c r="CWU41" s="191"/>
      <c r="CWV41" s="191"/>
      <c r="CWX41" s="191"/>
      <c r="CWY41" s="191"/>
      <c r="CWZ41" s="191"/>
      <c r="CXB41" s="191"/>
      <c r="CXC41" s="191"/>
      <c r="CXD41" s="191"/>
      <c r="CXF41" s="191"/>
      <c r="CXG41" s="191"/>
      <c r="CXH41" s="191"/>
      <c r="CXJ41" s="191"/>
      <c r="CXK41" s="191"/>
      <c r="CXL41" s="191"/>
      <c r="CXN41" s="191"/>
      <c r="CXO41" s="191"/>
      <c r="CXP41" s="191"/>
      <c r="CXR41" s="191"/>
      <c r="CXS41" s="191"/>
      <c r="CXT41" s="191"/>
      <c r="CXV41" s="191"/>
      <c r="CXW41" s="191"/>
      <c r="CXX41" s="191"/>
      <c r="CXZ41" s="191"/>
      <c r="CYA41" s="191"/>
      <c r="CYB41" s="191"/>
      <c r="CYD41" s="191"/>
      <c r="CYE41" s="191"/>
      <c r="CYF41" s="191"/>
      <c r="CYH41" s="191"/>
      <c r="CYI41" s="191"/>
      <c r="CYJ41" s="191"/>
      <c r="CYL41" s="191"/>
      <c r="CYM41" s="191"/>
      <c r="CYN41" s="191"/>
      <c r="CYP41" s="191"/>
      <c r="CYQ41" s="191"/>
      <c r="CYR41" s="191"/>
      <c r="CYT41" s="191"/>
      <c r="CYU41" s="191"/>
      <c r="CYV41" s="191"/>
      <c r="CYX41" s="191"/>
      <c r="CYY41" s="191"/>
      <c r="CYZ41" s="191"/>
      <c r="CZB41" s="191"/>
      <c r="CZC41" s="191"/>
      <c r="CZD41" s="191"/>
      <c r="CZF41" s="191"/>
      <c r="CZG41" s="191"/>
      <c r="CZH41" s="191"/>
      <c r="CZJ41" s="191"/>
      <c r="CZK41" s="191"/>
      <c r="CZL41" s="191"/>
      <c r="CZN41" s="191"/>
      <c r="CZO41" s="191"/>
      <c r="CZP41" s="191"/>
      <c r="CZR41" s="191"/>
      <c r="CZS41" s="191"/>
      <c r="CZT41" s="191"/>
      <c r="CZV41" s="191"/>
      <c r="CZW41" s="191"/>
      <c r="CZX41" s="191"/>
      <c r="CZZ41" s="191"/>
      <c r="DAA41" s="191"/>
      <c r="DAB41" s="191"/>
      <c r="DAD41" s="191"/>
      <c r="DAE41" s="191"/>
      <c r="DAF41" s="191"/>
      <c r="DAH41" s="191"/>
      <c r="DAI41" s="191"/>
      <c r="DAJ41" s="191"/>
      <c r="DAL41" s="191"/>
      <c r="DAM41" s="191"/>
      <c r="DAN41" s="191"/>
      <c r="DAP41" s="191"/>
      <c r="DAQ41" s="191"/>
      <c r="DAR41" s="191"/>
      <c r="DAT41" s="191"/>
      <c r="DAU41" s="191"/>
      <c r="DAV41" s="191"/>
      <c r="DAX41" s="191"/>
      <c r="DAY41" s="191"/>
      <c r="DAZ41" s="191"/>
      <c r="DBB41" s="191"/>
      <c r="DBC41" s="191"/>
      <c r="DBD41" s="191"/>
      <c r="DBF41" s="191"/>
      <c r="DBG41" s="191"/>
      <c r="DBH41" s="191"/>
      <c r="DBJ41" s="191"/>
      <c r="DBK41" s="191"/>
      <c r="DBL41" s="191"/>
      <c r="DBN41" s="191"/>
      <c r="DBO41" s="191"/>
      <c r="DBP41" s="191"/>
      <c r="DBR41" s="191"/>
      <c r="DBS41" s="191"/>
      <c r="DBT41" s="191"/>
      <c r="DBV41" s="191"/>
      <c r="DBW41" s="191"/>
      <c r="DBX41" s="191"/>
      <c r="DBZ41" s="191"/>
      <c r="DCA41" s="191"/>
      <c r="DCB41" s="191"/>
      <c r="DCD41" s="191"/>
      <c r="DCE41" s="191"/>
      <c r="DCF41" s="191"/>
      <c r="DCH41" s="191"/>
      <c r="DCI41" s="191"/>
      <c r="DCJ41" s="191"/>
      <c r="DCL41" s="191"/>
      <c r="DCM41" s="191"/>
      <c r="DCN41" s="191"/>
      <c r="DCP41" s="191"/>
      <c r="DCQ41" s="191"/>
      <c r="DCR41" s="191"/>
      <c r="DCT41" s="191"/>
      <c r="DCU41" s="191"/>
      <c r="DCV41" s="191"/>
      <c r="DCX41" s="191"/>
      <c r="DCY41" s="191"/>
      <c r="DCZ41" s="191"/>
      <c r="DDB41" s="191"/>
      <c r="DDC41" s="191"/>
      <c r="DDD41" s="191"/>
      <c r="DDF41" s="191"/>
      <c r="DDG41" s="191"/>
      <c r="DDH41" s="191"/>
      <c r="DDJ41" s="191"/>
      <c r="DDK41" s="191"/>
      <c r="DDL41" s="191"/>
      <c r="DDN41" s="191"/>
      <c r="DDO41" s="191"/>
      <c r="DDP41" s="191"/>
      <c r="DDR41" s="191"/>
      <c r="DDS41" s="191"/>
      <c r="DDT41" s="191"/>
      <c r="DDV41" s="191"/>
      <c r="DDW41" s="191"/>
      <c r="DDX41" s="191"/>
      <c r="DDZ41" s="191"/>
      <c r="DEA41" s="191"/>
      <c r="DEB41" s="191"/>
      <c r="DED41" s="191"/>
      <c r="DEE41" s="191"/>
      <c r="DEF41" s="191"/>
      <c r="DEH41" s="191"/>
      <c r="DEI41" s="191"/>
      <c r="DEJ41" s="191"/>
      <c r="DEL41" s="191"/>
      <c r="DEM41" s="191"/>
      <c r="DEN41" s="191"/>
      <c r="DEP41" s="191"/>
      <c r="DEQ41" s="191"/>
      <c r="DER41" s="191"/>
      <c r="DET41" s="191"/>
      <c r="DEU41" s="191"/>
      <c r="DEV41" s="191"/>
      <c r="DEX41" s="191"/>
      <c r="DEY41" s="191"/>
      <c r="DEZ41" s="191"/>
      <c r="DFB41" s="191"/>
      <c r="DFC41" s="191"/>
      <c r="DFD41" s="191"/>
      <c r="DFF41" s="191"/>
      <c r="DFG41" s="191"/>
      <c r="DFH41" s="191"/>
      <c r="DFJ41" s="191"/>
      <c r="DFK41" s="191"/>
      <c r="DFL41" s="191"/>
      <c r="DFN41" s="191"/>
      <c r="DFO41" s="191"/>
      <c r="DFP41" s="191"/>
      <c r="DFR41" s="191"/>
      <c r="DFS41" s="191"/>
      <c r="DFT41" s="191"/>
      <c r="DFV41" s="191"/>
      <c r="DFW41" s="191"/>
      <c r="DFX41" s="191"/>
      <c r="DFZ41" s="191"/>
      <c r="DGA41" s="191"/>
      <c r="DGB41" s="191"/>
      <c r="DGD41" s="191"/>
      <c r="DGE41" s="191"/>
      <c r="DGF41" s="191"/>
      <c r="DGH41" s="191"/>
      <c r="DGI41" s="191"/>
      <c r="DGJ41" s="191"/>
      <c r="DGL41" s="191"/>
      <c r="DGM41" s="191"/>
      <c r="DGN41" s="191"/>
      <c r="DGP41" s="191"/>
      <c r="DGQ41" s="191"/>
      <c r="DGR41" s="191"/>
      <c r="DGT41" s="191"/>
      <c r="DGU41" s="191"/>
      <c r="DGV41" s="191"/>
      <c r="DGX41" s="191"/>
      <c r="DGY41" s="191"/>
      <c r="DGZ41" s="191"/>
      <c r="DHB41" s="191"/>
      <c r="DHC41" s="191"/>
      <c r="DHD41" s="191"/>
      <c r="DHF41" s="191"/>
      <c r="DHG41" s="191"/>
      <c r="DHH41" s="191"/>
      <c r="DHJ41" s="191"/>
      <c r="DHK41" s="191"/>
      <c r="DHL41" s="191"/>
      <c r="DHN41" s="191"/>
      <c r="DHO41" s="191"/>
      <c r="DHP41" s="191"/>
      <c r="DHR41" s="191"/>
      <c r="DHS41" s="191"/>
      <c r="DHT41" s="191"/>
      <c r="DHV41" s="191"/>
      <c r="DHW41" s="191"/>
      <c r="DHX41" s="191"/>
      <c r="DHZ41" s="191"/>
      <c r="DIA41" s="191"/>
      <c r="DIB41" s="191"/>
      <c r="DID41" s="191"/>
      <c r="DIE41" s="191"/>
      <c r="DIF41" s="191"/>
      <c r="DIH41" s="191"/>
      <c r="DII41" s="191"/>
      <c r="DIJ41" s="191"/>
      <c r="DIL41" s="191"/>
      <c r="DIM41" s="191"/>
      <c r="DIN41" s="191"/>
      <c r="DIP41" s="191"/>
      <c r="DIQ41" s="191"/>
      <c r="DIR41" s="191"/>
      <c r="DIT41" s="191"/>
      <c r="DIU41" s="191"/>
      <c r="DIV41" s="191"/>
      <c r="DIX41" s="191"/>
      <c r="DIY41" s="191"/>
      <c r="DIZ41" s="191"/>
      <c r="DJB41" s="191"/>
      <c r="DJC41" s="191"/>
      <c r="DJD41" s="191"/>
      <c r="DJF41" s="191"/>
      <c r="DJG41" s="191"/>
      <c r="DJH41" s="191"/>
      <c r="DJJ41" s="191"/>
      <c r="DJK41" s="191"/>
      <c r="DJL41" s="191"/>
      <c r="DJN41" s="191"/>
      <c r="DJO41" s="191"/>
      <c r="DJP41" s="191"/>
      <c r="DJR41" s="191"/>
      <c r="DJS41" s="191"/>
      <c r="DJT41" s="191"/>
      <c r="DJV41" s="191"/>
      <c r="DJW41" s="191"/>
      <c r="DJX41" s="191"/>
      <c r="DJZ41" s="191"/>
      <c r="DKA41" s="191"/>
      <c r="DKB41" s="191"/>
      <c r="DKD41" s="191"/>
      <c r="DKE41" s="191"/>
      <c r="DKF41" s="191"/>
      <c r="DKH41" s="191"/>
      <c r="DKI41" s="191"/>
      <c r="DKJ41" s="191"/>
      <c r="DKL41" s="191"/>
      <c r="DKM41" s="191"/>
      <c r="DKN41" s="191"/>
      <c r="DKP41" s="191"/>
      <c r="DKQ41" s="191"/>
      <c r="DKR41" s="191"/>
      <c r="DKT41" s="191"/>
      <c r="DKU41" s="191"/>
      <c r="DKV41" s="191"/>
      <c r="DKX41" s="191"/>
      <c r="DKY41" s="191"/>
      <c r="DKZ41" s="191"/>
      <c r="DLB41" s="191"/>
      <c r="DLC41" s="191"/>
      <c r="DLD41" s="191"/>
      <c r="DLF41" s="191"/>
      <c r="DLG41" s="191"/>
      <c r="DLH41" s="191"/>
      <c r="DLJ41" s="191"/>
      <c r="DLK41" s="191"/>
      <c r="DLL41" s="191"/>
      <c r="DLN41" s="191"/>
      <c r="DLO41" s="191"/>
      <c r="DLP41" s="191"/>
      <c r="DLR41" s="191"/>
      <c r="DLS41" s="191"/>
      <c r="DLT41" s="191"/>
      <c r="DLV41" s="191"/>
      <c r="DLW41" s="191"/>
      <c r="DLX41" s="191"/>
      <c r="DLZ41" s="191"/>
      <c r="DMA41" s="191"/>
      <c r="DMB41" s="191"/>
      <c r="DMD41" s="191"/>
      <c r="DME41" s="191"/>
      <c r="DMF41" s="191"/>
      <c r="DMH41" s="191"/>
      <c r="DMI41" s="191"/>
      <c r="DMJ41" s="191"/>
      <c r="DML41" s="191"/>
      <c r="DMM41" s="191"/>
      <c r="DMN41" s="191"/>
      <c r="DMP41" s="191"/>
      <c r="DMQ41" s="191"/>
      <c r="DMR41" s="191"/>
      <c r="DMT41" s="191"/>
      <c r="DMU41" s="191"/>
      <c r="DMV41" s="191"/>
      <c r="DMX41" s="191"/>
      <c r="DMY41" s="191"/>
      <c r="DMZ41" s="191"/>
      <c r="DNB41" s="191"/>
      <c r="DNC41" s="191"/>
      <c r="DND41" s="191"/>
      <c r="DNF41" s="191"/>
      <c r="DNG41" s="191"/>
      <c r="DNH41" s="191"/>
      <c r="DNJ41" s="191"/>
      <c r="DNK41" s="191"/>
      <c r="DNL41" s="191"/>
      <c r="DNN41" s="191"/>
      <c r="DNO41" s="191"/>
      <c r="DNP41" s="191"/>
      <c r="DNR41" s="191"/>
      <c r="DNS41" s="191"/>
      <c r="DNT41" s="191"/>
      <c r="DNV41" s="191"/>
      <c r="DNW41" s="191"/>
      <c r="DNX41" s="191"/>
      <c r="DNZ41" s="191"/>
      <c r="DOA41" s="191"/>
      <c r="DOB41" s="191"/>
      <c r="DOD41" s="191"/>
      <c r="DOE41" s="191"/>
      <c r="DOF41" s="191"/>
      <c r="DOH41" s="191"/>
      <c r="DOI41" s="191"/>
      <c r="DOJ41" s="191"/>
      <c r="DOL41" s="191"/>
      <c r="DOM41" s="191"/>
      <c r="DON41" s="191"/>
      <c r="DOP41" s="191"/>
      <c r="DOQ41" s="191"/>
      <c r="DOR41" s="191"/>
      <c r="DOT41" s="191"/>
      <c r="DOU41" s="191"/>
      <c r="DOV41" s="191"/>
      <c r="DOX41" s="191"/>
      <c r="DOY41" s="191"/>
      <c r="DOZ41" s="191"/>
      <c r="DPB41" s="191"/>
      <c r="DPC41" s="191"/>
      <c r="DPD41" s="191"/>
      <c r="DPF41" s="191"/>
      <c r="DPG41" s="191"/>
      <c r="DPH41" s="191"/>
      <c r="DPJ41" s="191"/>
      <c r="DPK41" s="191"/>
      <c r="DPL41" s="191"/>
      <c r="DPN41" s="191"/>
      <c r="DPO41" s="191"/>
      <c r="DPP41" s="191"/>
      <c r="DPR41" s="191"/>
      <c r="DPS41" s="191"/>
      <c r="DPT41" s="191"/>
      <c r="DPV41" s="191"/>
      <c r="DPW41" s="191"/>
      <c r="DPX41" s="191"/>
      <c r="DPZ41" s="191"/>
      <c r="DQA41" s="191"/>
      <c r="DQB41" s="191"/>
      <c r="DQD41" s="191"/>
      <c r="DQE41" s="191"/>
      <c r="DQF41" s="191"/>
      <c r="DQH41" s="191"/>
      <c r="DQI41" s="191"/>
      <c r="DQJ41" s="191"/>
      <c r="DQL41" s="191"/>
      <c r="DQM41" s="191"/>
      <c r="DQN41" s="191"/>
      <c r="DQP41" s="191"/>
      <c r="DQQ41" s="191"/>
      <c r="DQR41" s="191"/>
      <c r="DQT41" s="191"/>
      <c r="DQU41" s="191"/>
      <c r="DQV41" s="191"/>
      <c r="DQX41" s="191"/>
      <c r="DQY41" s="191"/>
      <c r="DQZ41" s="191"/>
      <c r="DRB41" s="191"/>
      <c r="DRC41" s="191"/>
      <c r="DRD41" s="191"/>
      <c r="DRF41" s="191"/>
      <c r="DRG41" s="191"/>
      <c r="DRH41" s="191"/>
      <c r="DRJ41" s="191"/>
      <c r="DRK41" s="191"/>
      <c r="DRL41" s="191"/>
      <c r="DRN41" s="191"/>
      <c r="DRO41" s="191"/>
      <c r="DRP41" s="191"/>
      <c r="DRR41" s="191"/>
      <c r="DRS41" s="191"/>
      <c r="DRT41" s="191"/>
      <c r="DRV41" s="191"/>
      <c r="DRW41" s="191"/>
      <c r="DRX41" s="191"/>
      <c r="DRZ41" s="191"/>
      <c r="DSA41" s="191"/>
      <c r="DSB41" s="191"/>
      <c r="DSD41" s="191"/>
      <c r="DSE41" s="191"/>
      <c r="DSF41" s="191"/>
      <c r="DSH41" s="191"/>
      <c r="DSI41" s="191"/>
      <c r="DSJ41" s="191"/>
      <c r="DSL41" s="191"/>
      <c r="DSM41" s="191"/>
      <c r="DSN41" s="191"/>
      <c r="DSP41" s="191"/>
      <c r="DSQ41" s="191"/>
      <c r="DSR41" s="191"/>
      <c r="DST41" s="191"/>
      <c r="DSU41" s="191"/>
      <c r="DSV41" s="191"/>
      <c r="DSX41" s="191"/>
      <c r="DSY41" s="191"/>
      <c r="DSZ41" s="191"/>
      <c r="DTB41" s="191"/>
      <c r="DTC41" s="191"/>
      <c r="DTD41" s="191"/>
      <c r="DTF41" s="191"/>
      <c r="DTG41" s="191"/>
      <c r="DTH41" s="191"/>
      <c r="DTJ41" s="191"/>
      <c r="DTK41" s="191"/>
      <c r="DTL41" s="191"/>
      <c r="DTN41" s="191"/>
      <c r="DTO41" s="191"/>
      <c r="DTP41" s="191"/>
      <c r="DTR41" s="191"/>
      <c r="DTS41" s="191"/>
      <c r="DTT41" s="191"/>
      <c r="DTV41" s="191"/>
      <c r="DTW41" s="191"/>
      <c r="DTX41" s="191"/>
      <c r="DTZ41" s="191"/>
      <c r="DUA41" s="191"/>
      <c r="DUB41" s="191"/>
      <c r="DUD41" s="191"/>
      <c r="DUE41" s="191"/>
      <c r="DUF41" s="191"/>
      <c r="DUH41" s="191"/>
      <c r="DUI41" s="191"/>
      <c r="DUJ41" s="191"/>
      <c r="DUL41" s="191"/>
      <c r="DUM41" s="191"/>
      <c r="DUN41" s="191"/>
      <c r="DUP41" s="191"/>
      <c r="DUQ41" s="191"/>
      <c r="DUR41" s="191"/>
      <c r="DUT41" s="191"/>
      <c r="DUU41" s="191"/>
      <c r="DUV41" s="191"/>
      <c r="DUX41" s="191"/>
      <c r="DUY41" s="191"/>
      <c r="DUZ41" s="191"/>
      <c r="DVB41" s="191"/>
      <c r="DVC41" s="191"/>
      <c r="DVD41" s="191"/>
      <c r="DVF41" s="191"/>
      <c r="DVG41" s="191"/>
      <c r="DVH41" s="191"/>
      <c r="DVJ41" s="191"/>
      <c r="DVK41" s="191"/>
      <c r="DVL41" s="191"/>
      <c r="DVN41" s="191"/>
      <c r="DVO41" s="191"/>
      <c r="DVP41" s="191"/>
      <c r="DVR41" s="191"/>
      <c r="DVS41" s="191"/>
      <c r="DVT41" s="191"/>
      <c r="DVV41" s="191"/>
      <c r="DVW41" s="191"/>
      <c r="DVX41" s="191"/>
      <c r="DVZ41" s="191"/>
      <c r="DWA41" s="191"/>
      <c r="DWB41" s="191"/>
      <c r="DWD41" s="191"/>
      <c r="DWE41" s="191"/>
      <c r="DWF41" s="191"/>
      <c r="DWH41" s="191"/>
      <c r="DWI41" s="191"/>
      <c r="DWJ41" s="191"/>
      <c r="DWL41" s="191"/>
      <c r="DWM41" s="191"/>
      <c r="DWN41" s="191"/>
      <c r="DWP41" s="191"/>
      <c r="DWQ41" s="191"/>
      <c r="DWR41" s="191"/>
      <c r="DWT41" s="191"/>
      <c r="DWU41" s="191"/>
      <c r="DWV41" s="191"/>
      <c r="DWX41" s="191"/>
      <c r="DWY41" s="191"/>
      <c r="DWZ41" s="191"/>
      <c r="DXB41" s="191"/>
      <c r="DXC41" s="191"/>
      <c r="DXD41" s="191"/>
      <c r="DXF41" s="191"/>
      <c r="DXG41" s="191"/>
      <c r="DXH41" s="191"/>
      <c r="DXJ41" s="191"/>
      <c r="DXK41" s="191"/>
      <c r="DXL41" s="191"/>
      <c r="DXN41" s="191"/>
      <c r="DXO41" s="191"/>
      <c r="DXP41" s="191"/>
      <c r="DXR41" s="191"/>
      <c r="DXS41" s="191"/>
      <c r="DXT41" s="191"/>
      <c r="DXV41" s="191"/>
      <c r="DXW41" s="191"/>
      <c r="DXX41" s="191"/>
      <c r="DXZ41" s="191"/>
      <c r="DYA41" s="191"/>
      <c r="DYB41" s="191"/>
      <c r="DYD41" s="191"/>
      <c r="DYE41" s="191"/>
      <c r="DYF41" s="191"/>
      <c r="DYH41" s="191"/>
      <c r="DYI41" s="191"/>
      <c r="DYJ41" s="191"/>
      <c r="DYL41" s="191"/>
      <c r="DYM41" s="191"/>
      <c r="DYN41" s="191"/>
      <c r="DYP41" s="191"/>
      <c r="DYQ41" s="191"/>
      <c r="DYR41" s="191"/>
      <c r="DYT41" s="191"/>
      <c r="DYU41" s="191"/>
      <c r="DYV41" s="191"/>
      <c r="DYX41" s="191"/>
      <c r="DYY41" s="191"/>
      <c r="DYZ41" s="191"/>
      <c r="DZB41" s="191"/>
      <c r="DZC41" s="191"/>
      <c r="DZD41" s="191"/>
      <c r="DZF41" s="191"/>
      <c r="DZG41" s="191"/>
      <c r="DZH41" s="191"/>
      <c r="DZJ41" s="191"/>
      <c r="DZK41" s="191"/>
      <c r="DZL41" s="191"/>
      <c r="DZN41" s="191"/>
      <c r="DZO41" s="191"/>
      <c r="DZP41" s="191"/>
      <c r="DZR41" s="191"/>
      <c r="DZS41" s="191"/>
      <c r="DZT41" s="191"/>
      <c r="DZV41" s="191"/>
      <c r="DZW41" s="191"/>
      <c r="DZX41" s="191"/>
      <c r="DZZ41" s="191"/>
      <c r="EAA41" s="191"/>
      <c r="EAB41" s="191"/>
      <c r="EAD41" s="191"/>
      <c r="EAE41" s="191"/>
      <c r="EAF41" s="191"/>
      <c r="EAH41" s="191"/>
      <c r="EAI41" s="191"/>
      <c r="EAJ41" s="191"/>
      <c r="EAL41" s="191"/>
      <c r="EAM41" s="191"/>
      <c r="EAN41" s="191"/>
      <c r="EAP41" s="191"/>
      <c r="EAQ41" s="191"/>
      <c r="EAR41" s="191"/>
      <c r="EAT41" s="191"/>
      <c r="EAU41" s="191"/>
      <c r="EAV41" s="191"/>
      <c r="EAX41" s="191"/>
      <c r="EAY41" s="191"/>
      <c r="EAZ41" s="191"/>
      <c r="EBB41" s="191"/>
      <c r="EBC41" s="191"/>
      <c r="EBD41" s="191"/>
      <c r="EBF41" s="191"/>
      <c r="EBG41" s="191"/>
      <c r="EBH41" s="191"/>
      <c r="EBJ41" s="191"/>
      <c r="EBK41" s="191"/>
      <c r="EBL41" s="191"/>
      <c r="EBN41" s="191"/>
      <c r="EBO41" s="191"/>
      <c r="EBP41" s="191"/>
      <c r="EBR41" s="191"/>
      <c r="EBS41" s="191"/>
      <c r="EBT41" s="191"/>
      <c r="EBV41" s="191"/>
      <c r="EBW41" s="191"/>
      <c r="EBX41" s="191"/>
      <c r="EBZ41" s="191"/>
      <c r="ECA41" s="191"/>
      <c r="ECB41" s="191"/>
      <c r="ECD41" s="191"/>
      <c r="ECE41" s="191"/>
      <c r="ECF41" s="191"/>
      <c r="ECH41" s="191"/>
      <c r="ECI41" s="191"/>
      <c r="ECJ41" s="191"/>
      <c r="ECL41" s="191"/>
      <c r="ECM41" s="191"/>
      <c r="ECN41" s="191"/>
      <c r="ECP41" s="191"/>
      <c r="ECQ41" s="191"/>
      <c r="ECR41" s="191"/>
      <c r="ECT41" s="191"/>
      <c r="ECU41" s="191"/>
      <c r="ECV41" s="191"/>
      <c r="ECX41" s="191"/>
      <c r="ECY41" s="191"/>
      <c r="ECZ41" s="191"/>
      <c r="EDB41" s="191"/>
      <c r="EDC41" s="191"/>
      <c r="EDD41" s="191"/>
      <c r="EDF41" s="191"/>
      <c r="EDG41" s="191"/>
      <c r="EDH41" s="191"/>
      <c r="EDJ41" s="191"/>
      <c r="EDK41" s="191"/>
      <c r="EDL41" s="191"/>
      <c r="EDN41" s="191"/>
      <c r="EDO41" s="191"/>
      <c r="EDP41" s="191"/>
      <c r="EDR41" s="191"/>
      <c r="EDS41" s="191"/>
      <c r="EDT41" s="191"/>
      <c r="EDV41" s="191"/>
      <c r="EDW41" s="191"/>
      <c r="EDX41" s="191"/>
      <c r="EDZ41" s="191"/>
      <c r="EEA41" s="191"/>
      <c r="EEB41" s="191"/>
      <c r="EED41" s="191"/>
      <c r="EEE41" s="191"/>
      <c r="EEF41" s="191"/>
      <c r="EEH41" s="191"/>
      <c r="EEI41" s="191"/>
      <c r="EEJ41" s="191"/>
      <c r="EEL41" s="191"/>
      <c r="EEM41" s="191"/>
      <c r="EEN41" s="191"/>
      <c r="EEP41" s="191"/>
      <c r="EEQ41" s="191"/>
      <c r="EER41" s="191"/>
      <c r="EET41" s="191"/>
      <c r="EEU41" s="191"/>
      <c r="EEV41" s="191"/>
      <c r="EEX41" s="191"/>
      <c r="EEY41" s="191"/>
      <c r="EEZ41" s="191"/>
      <c r="EFB41" s="191"/>
      <c r="EFC41" s="191"/>
      <c r="EFD41" s="191"/>
      <c r="EFF41" s="191"/>
      <c r="EFG41" s="191"/>
      <c r="EFH41" s="191"/>
      <c r="EFJ41" s="191"/>
      <c r="EFK41" s="191"/>
      <c r="EFL41" s="191"/>
      <c r="EFN41" s="191"/>
      <c r="EFO41" s="191"/>
      <c r="EFP41" s="191"/>
      <c r="EFR41" s="191"/>
      <c r="EFS41" s="191"/>
      <c r="EFT41" s="191"/>
      <c r="EFV41" s="191"/>
      <c r="EFW41" s="191"/>
      <c r="EFX41" s="191"/>
      <c r="EFZ41" s="191"/>
      <c r="EGA41" s="191"/>
      <c r="EGB41" s="191"/>
      <c r="EGD41" s="191"/>
      <c r="EGE41" s="191"/>
      <c r="EGF41" s="191"/>
      <c r="EGH41" s="191"/>
      <c r="EGI41" s="191"/>
      <c r="EGJ41" s="191"/>
      <c r="EGL41" s="191"/>
      <c r="EGM41" s="191"/>
      <c r="EGN41" s="191"/>
      <c r="EGP41" s="191"/>
      <c r="EGQ41" s="191"/>
      <c r="EGR41" s="191"/>
      <c r="EGT41" s="191"/>
      <c r="EGU41" s="191"/>
      <c r="EGV41" s="191"/>
      <c r="EGX41" s="191"/>
      <c r="EGY41" s="191"/>
      <c r="EGZ41" s="191"/>
      <c r="EHB41" s="191"/>
      <c r="EHC41" s="191"/>
      <c r="EHD41" s="191"/>
      <c r="EHF41" s="191"/>
      <c r="EHG41" s="191"/>
      <c r="EHH41" s="191"/>
      <c r="EHJ41" s="191"/>
      <c r="EHK41" s="191"/>
      <c r="EHL41" s="191"/>
      <c r="EHN41" s="191"/>
      <c r="EHO41" s="191"/>
      <c r="EHP41" s="191"/>
      <c r="EHR41" s="191"/>
      <c r="EHS41" s="191"/>
      <c r="EHT41" s="191"/>
      <c r="EHV41" s="191"/>
      <c r="EHW41" s="191"/>
      <c r="EHX41" s="191"/>
      <c r="EHZ41" s="191"/>
      <c r="EIA41" s="191"/>
      <c r="EIB41" s="191"/>
      <c r="EID41" s="191"/>
      <c r="EIE41" s="191"/>
      <c r="EIF41" s="191"/>
      <c r="EIH41" s="191"/>
      <c r="EII41" s="191"/>
      <c r="EIJ41" s="191"/>
      <c r="EIL41" s="191"/>
      <c r="EIM41" s="191"/>
      <c r="EIN41" s="191"/>
      <c r="EIP41" s="191"/>
      <c r="EIQ41" s="191"/>
      <c r="EIR41" s="191"/>
      <c r="EIT41" s="191"/>
      <c r="EIU41" s="191"/>
      <c r="EIV41" s="191"/>
      <c r="EIX41" s="191"/>
      <c r="EIY41" s="191"/>
      <c r="EIZ41" s="191"/>
      <c r="EJB41" s="191"/>
      <c r="EJC41" s="191"/>
      <c r="EJD41" s="191"/>
      <c r="EJF41" s="191"/>
      <c r="EJG41" s="191"/>
      <c r="EJH41" s="191"/>
      <c r="EJJ41" s="191"/>
      <c r="EJK41" s="191"/>
      <c r="EJL41" s="191"/>
      <c r="EJN41" s="191"/>
      <c r="EJO41" s="191"/>
      <c r="EJP41" s="191"/>
      <c r="EJR41" s="191"/>
      <c r="EJS41" s="191"/>
      <c r="EJT41" s="191"/>
      <c r="EJV41" s="191"/>
      <c r="EJW41" s="191"/>
      <c r="EJX41" s="191"/>
      <c r="EJZ41" s="191"/>
      <c r="EKA41" s="191"/>
      <c r="EKB41" s="191"/>
      <c r="EKD41" s="191"/>
      <c r="EKE41" s="191"/>
      <c r="EKF41" s="191"/>
      <c r="EKH41" s="191"/>
      <c r="EKI41" s="191"/>
      <c r="EKJ41" s="191"/>
      <c r="EKL41" s="191"/>
      <c r="EKM41" s="191"/>
      <c r="EKN41" s="191"/>
      <c r="EKP41" s="191"/>
      <c r="EKQ41" s="191"/>
      <c r="EKR41" s="191"/>
      <c r="EKT41" s="191"/>
      <c r="EKU41" s="191"/>
      <c r="EKV41" s="191"/>
      <c r="EKX41" s="191"/>
      <c r="EKY41" s="191"/>
      <c r="EKZ41" s="191"/>
      <c r="ELB41" s="191"/>
      <c r="ELC41" s="191"/>
      <c r="ELD41" s="191"/>
      <c r="ELF41" s="191"/>
      <c r="ELG41" s="191"/>
      <c r="ELH41" s="191"/>
      <c r="ELJ41" s="191"/>
      <c r="ELK41" s="191"/>
      <c r="ELL41" s="191"/>
      <c r="ELN41" s="191"/>
      <c r="ELO41" s="191"/>
      <c r="ELP41" s="191"/>
      <c r="ELR41" s="191"/>
      <c r="ELS41" s="191"/>
      <c r="ELT41" s="191"/>
      <c r="ELV41" s="191"/>
      <c r="ELW41" s="191"/>
      <c r="ELX41" s="191"/>
      <c r="ELZ41" s="191"/>
      <c r="EMA41" s="191"/>
      <c r="EMB41" s="191"/>
      <c r="EMD41" s="191"/>
      <c r="EME41" s="191"/>
      <c r="EMF41" s="191"/>
      <c r="EMH41" s="191"/>
      <c r="EMI41" s="191"/>
      <c r="EMJ41" s="191"/>
      <c r="EML41" s="191"/>
      <c r="EMM41" s="191"/>
      <c r="EMN41" s="191"/>
      <c r="EMP41" s="191"/>
      <c r="EMQ41" s="191"/>
      <c r="EMR41" s="191"/>
      <c r="EMT41" s="191"/>
      <c r="EMU41" s="191"/>
      <c r="EMV41" s="191"/>
      <c r="EMX41" s="191"/>
      <c r="EMY41" s="191"/>
      <c r="EMZ41" s="191"/>
      <c r="ENB41" s="191"/>
      <c r="ENC41" s="191"/>
      <c r="END41" s="191"/>
      <c r="ENF41" s="191"/>
      <c r="ENG41" s="191"/>
      <c r="ENH41" s="191"/>
      <c r="ENJ41" s="191"/>
      <c r="ENK41" s="191"/>
      <c r="ENL41" s="191"/>
      <c r="ENN41" s="191"/>
      <c r="ENO41" s="191"/>
      <c r="ENP41" s="191"/>
      <c r="ENR41" s="191"/>
      <c r="ENS41" s="191"/>
      <c r="ENT41" s="191"/>
      <c r="ENV41" s="191"/>
      <c r="ENW41" s="191"/>
      <c r="ENX41" s="191"/>
      <c r="ENZ41" s="191"/>
      <c r="EOA41" s="191"/>
      <c r="EOB41" s="191"/>
      <c r="EOD41" s="191"/>
      <c r="EOE41" s="191"/>
      <c r="EOF41" s="191"/>
      <c r="EOH41" s="191"/>
      <c r="EOI41" s="191"/>
      <c r="EOJ41" s="191"/>
      <c r="EOL41" s="191"/>
      <c r="EOM41" s="191"/>
      <c r="EON41" s="191"/>
      <c r="EOP41" s="191"/>
      <c r="EOQ41" s="191"/>
      <c r="EOR41" s="191"/>
      <c r="EOT41" s="191"/>
      <c r="EOU41" s="191"/>
      <c r="EOV41" s="191"/>
      <c r="EOX41" s="191"/>
      <c r="EOY41" s="191"/>
      <c r="EOZ41" s="191"/>
      <c r="EPB41" s="191"/>
      <c r="EPC41" s="191"/>
      <c r="EPD41" s="191"/>
      <c r="EPF41" s="191"/>
      <c r="EPG41" s="191"/>
      <c r="EPH41" s="191"/>
      <c r="EPJ41" s="191"/>
      <c r="EPK41" s="191"/>
      <c r="EPL41" s="191"/>
      <c r="EPN41" s="191"/>
      <c r="EPO41" s="191"/>
      <c r="EPP41" s="191"/>
      <c r="EPR41" s="191"/>
      <c r="EPS41" s="191"/>
      <c r="EPT41" s="191"/>
      <c r="EPV41" s="191"/>
      <c r="EPW41" s="191"/>
      <c r="EPX41" s="191"/>
      <c r="EPZ41" s="191"/>
      <c r="EQA41" s="191"/>
      <c r="EQB41" s="191"/>
      <c r="EQD41" s="191"/>
      <c r="EQE41" s="191"/>
      <c r="EQF41" s="191"/>
      <c r="EQH41" s="191"/>
      <c r="EQI41" s="191"/>
      <c r="EQJ41" s="191"/>
      <c r="EQL41" s="191"/>
      <c r="EQM41" s="191"/>
      <c r="EQN41" s="191"/>
      <c r="EQP41" s="191"/>
      <c r="EQQ41" s="191"/>
      <c r="EQR41" s="191"/>
      <c r="EQT41" s="191"/>
      <c r="EQU41" s="191"/>
      <c r="EQV41" s="191"/>
      <c r="EQX41" s="191"/>
      <c r="EQY41" s="191"/>
      <c r="EQZ41" s="191"/>
      <c r="ERB41" s="191"/>
      <c r="ERC41" s="191"/>
      <c r="ERD41" s="191"/>
      <c r="ERF41" s="191"/>
      <c r="ERG41" s="191"/>
      <c r="ERH41" s="191"/>
      <c r="ERJ41" s="191"/>
      <c r="ERK41" s="191"/>
      <c r="ERL41" s="191"/>
      <c r="ERN41" s="191"/>
      <c r="ERO41" s="191"/>
      <c r="ERP41" s="191"/>
      <c r="ERR41" s="191"/>
      <c r="ERS41" s="191"/>
      <c r="ERT41" s="191"/>
      <c r="ERV41" s="191"/>
      <c r="ERW41" s="191"/>
      <c r="ERX41" s="191"/>
      <c r="ERZ41" s="191"/>
      <c r="ESA41" s="191"/>
      <c r="ESB41" s="191"/>
      <c r="ESD41" s="191"/>
      <c r="ESE41" s="191"/>
      <c r="ESF41" s="191"/>
      <c r="ESH41" s="191"/>
      <c r="ESI41" s="191"/>
      <c r="ESJ41" s="191"/>
      <c r="ESL41" s="191"/>
      <c r="ESM41" s="191"/>
      <c r="ESN41" s="191"/>
      <c r="ESP41" s="191"/>
      <c r="ESQ41" s="191"/>
      <c r="ESR41" s="191"/>
      <c r="EST41" s="191"/>
      <c r="ESU41" s="191"/>
      <c r="ESV41" s="191"/>
      <c r="ESX41" s="191"/>
      <c r="ESY41" s="191"/>
      <c r="ESZ41" s="191"/>
      <c r="ETB41" s="191"/>
      <c r="ETC41" s="191"/>
      <c r="ETD41" s="191"/>
      <c r="ETF41" s="191"/>
      <c r="ETG41" s="191"/>
      <c r="ETH41" s="191"/>
      <c r="ETJ41" s="191"/>
      <c r="ETK41" s="191"/>
      <c r="ETL41" s="191"/>
      <c r="ETN41" s="191"/>
      <c r="ETO41" s="191"/>
      <c r="ETP41" s="191"/>
      <c r="ETR41" s="191"/>
      <c r="ETS41" s="191"/>
      <c r="ETT41" s="191"/>
      <c r="ETV41" s="191"/>
      <c r="ETW41" s="191"/>
      <c r="ETX41" s="191"/>
      <c r="ETZ41" s="191"/>
      <c r="EUA41" s="191"/>
      <c r="EUB41" s="191"/>
      <c r="EUD41" s="191"/>
      <c r="EUE41" s="191"/>
      <c r="EUF41" s="191"/>
      <c r="EUH41" s="191"/>
      <c r="EUI41" s="191"/>
      <c r="EUJ41" s="191"/>
      <c r="EUL41" s="191"/>
      <c r="EUM41" s="191"/>
      <c r="EUN41" s="191"/>
      <c r="EUP41" s="191"/>
      <c r="EUQ41" s="191"/>
      <c r="EUR41" s="191"/>
      <c r="EUT41" s="191"/>
      <c r="EUU41" s="191"/>
      <c r="EUV41" s="191"/>
      <c r="EUX41" s="191"/>
      <c r="EUY41" s="191"/>
      <c r="EUZ41" s="191"/>
      <c r="EVB41" s="191"/>
      <c r="EVC41" s="191"/>
      <c r="EVD41" s="191"/>
      <c r="EVF41" s="191"/>
      <c r="EVG41" s="191"/>
      <c r="EVH41" s="191"/>
      <c r="EVJ41" s="191"/>
      <c r="EVK41" s="191"/>
      <c r="EVL41" s="191"/>
      <c r="EVN41" s="191"/>
      <c r="EVO41" s="191"/>
      <c r="EVP41" s="191"/>
      <c r="EVR41" s="191"/>
      <c r="EVS41" s="191"/>
      <c r="EVT41" s="191"/>
      <c r="EVV41" s="191"/>
      <c r="EVW41" s="191"/>
      <c r="EVX41" s="191"/>
      <c r="EVZ41" s="191"/>
      <c r="EWA41" s="191"/>
      <c r="EWB41" s="191"/>
      <c r="EWD41" s="191"/>
      <c r="EWE41" s="191"/>
      <c r="EWF41" s="191"/>
      <c r="EWH41" s="191"/>
      <c r="EWI41" s="191"/>
      <c r="EWJ41" s="191"/>
      <c r="EWL41" s="191"/>
      <c r="EWM41" s="191"/>
      <c r="EWN41" s="191"/>
      <c r="EWP41" s="191"/>
      <c r="EWQ41" s="191"/>
      <c r="EWR41" s="191"/>
      <c r="EWT41" s="191"/>
      <c r="EWU41" s="191"/>
      <c r="EWV41" s="191"/>
      <c r="EWX41" s="191"/>
      <c r="EWY41" s="191"/>
      <c r="EWZ41" s="191"/>
      <c r="EXB41" s="191"/>
      <c r="EXC41" s="191"/>
      <c r="EXD41" s="191"/>
      <c r="EXF41" s="191"/>
      <c r="EXG41" s="191"/>
      <c r="EXH41" s="191"/>
      <c r="EXJ41" s="191"/>
      <c r="EXK41" s="191"/>
      <c r="EXL41" s="191"/>
      <c r="EXN41" s="191"/>
      <c r="EXO41" s="191"/>
      <c r="EXP41" s="191"/>
      <c r="EXR41" s="191"/>
      <c r="EXS41" s="191"/>
      <c r="EXT41" s="191"/>
      <c r="EXV41" s="191"/>
      <c r="EXW41" s="191"/>
      <c r="EXX41" s="191"/>
      <c r="EXZ41" s="191"/>
      <c r="EYA41" s="191"/>
      <c r="EYB41" s="191"/>
      <c r="EYD41" s="191"/>
      <c r="EYE41" s="191"/>
      <c r="EYF41" s="191"/>
      <c r="EYH41" s="191"/>
      <c r="EYI41" s="191"/>
      <c r="EYJ41" s="191"/>
      <c r="EYL41" s="191"/>
      <c r="EYM41" s="191"/>
      <c r="EYN41" s="191"/>
      <c r="EYP41" s="191"/>
      <c r="EYQ41" s="191"/>
      <c r="EYR41" s="191"/>
      <c r="EYT41" s="191"/>
      <c r="EYU41" s="191"/>
      <c r="EYV41" s="191"/>
      <c r="EYX41" s="191"/>
      <c r="EYY41" s="191"/>
      <c r="EYZ41" s="191"/>
      <c r="EZB41" s="191"/>
      <c r="EZC41" s="191"/>
      <c r="EZD41" s="191"/>
      <c r="EZF41" s="191"/>
      <c r="EZG41" s="191"/>
      <c r="EZH41" s="191"/>
      <c r="EZJ41" s="191"/>
      <c r="EZK41" s="191"/>
      <c r="EZL41" s="191"/>
      <c r="EZN41" s="191"/>
      <c r="EZO41" s="191"/>
      <c r="EZP41" s="191"/>
      <c r="EZR41" s="191"/>
      <c r="EZS41" s="191"/>
      <c r="EZT41" s="191"/>
      <c r="EZV41" s="191"/>
      <c r="EZW41" s="191"/>
      <c r="EZX41" s="191"/>
      <c r="EZZ41" s="191"/>
      <c r="FAA41" s="191"/>
      <c r="FAB41" s="191"/>
      <c r="FAD41" s="191"/>
      <c r="FAE41" s="191"/>
      <c r="FAF41" s="191"/>
      <c r="FAH41" s="191"/>
      <c r="FAI41" s="191"/>
      <c r="FAJ41" s="191"/>
      <c r="FAL41" s="191"/>
      <c r="FAM41" s="191"/>
      <c r="FAN41" s="191"/>
      <c r="FAP41" s="191"/>
      <c r="FAQ41" s="191"/>
      <c r="FAR41" s="191"/>
      <c r="FAT41" s="191"/>
      <c r="FAU41" s="191"/>
      <c r="FAV41" s="191"/>
      <c r="FAX41" s="191"/>
      <c r="FAY41" s="191"/>
      <c r="FAZ41" s="191"/>
      <c r="FBB41" s="191"/>
      <c r="FBC41" s="191"/>
      <c r="FBD41" s="191"/>
      <c r="FBF41" s="191"/>
      <c r="FBG41" s="191"/>
      <c r="FBH41" s="191"/>
      <c r="FBJ41" s="191"/>
      <c r="FBK41" s="191"/>
      <c r="FBL41" s="191"/>
      <c r="FBN41" s="191"/>
      <c r="FBO41" s="191"/>
      <c r="FBP41" s="191"/>
      <c r="FBR41" s="191"/>
      <c r="FBS41" s="191"/>
      <c r="FBT41" s="191"/>
      <c r="FBV41" s="191"/>
      <c r="FBW41" s="191"/>
      <c r="FBX41" s="191"/>
      <c r="FBZ41" s="191"/>
      <c r="FCA41" s="191"/>
      <c r="FCB41" s="191"/>
      <c r="FCD41" s="191"/>
      <c r="FCE41" s="191"/>
      <c r="FCF41" s="191"/>
      <c r="FCH41" s="191"/>
      <c r="FCI41" s="191"/>
      <c r="FCJ41" s="191"/>
      <c r="FCL41" s="191"/>
      <c r="FCM41" s="191"/>
      <c r="FCN41" s="191"/>
      <c r="FCP41" s="191"/>
      <c r="FCQ41" s="191"/>
      <c r="FCR41" s="191"/>
      <c r="FCT41" s="191"/>
      <c r="FCU41" s="191"/>
      <c r="FCV41" s="191"/>
      <c r="FCX41" s="191"/>
      <c r="FCY41" s="191"/>
      <c r="FCZ41" s="191"/>
      <c r="FDB41" s="191"/>
      <c r="FDC41" s="191"/>
      <c r="FDD41" s="191"/>
      <c r="FDF41" s="191"/>
      <c r="FDG41" s="191"/>
      <c r="FDH41" s="191"/>
      <c r="FDJ41" s="191"/>
      <c r="FDK41" s="191"/>
      <c r="FDL41" s="191"/>
      <c r="FDN41" s="191"/>
      <c r="FDO41" s="191"/>
      <c r="FDP41" s="191"/>
      <c r="FDR41" s="191"/>
      <c r="FDS41" s="191"/>
      <c r="FDT41" s="191"/>
      <c r="FDV41" s="191"/>
      <c r="FDW41" s="191"/>
      <c r="FDX41" s="191"/>
      <c r="FDZ41" s="191"/>
      <c r="FEA41" s="191"/>
      <c r="FEB41" s="191"/>
      <c r="FED41" s="191"/>
      <c r="FEE41" s="191"/>
      <c r="FEF41" s="191"/>
      <c r="FEH41" s="191"/>
      <c r="FEI41" s="191"/>
      <c r="FEJ41" s="191"/>
      <c r="FEL41" s="191"/>
      <c r="FEM41" s="191"/>
      <c r="FEN41" s="191"/>
      <c r="FEP41" s="191"/>
      <c r="FEQ41" s="191"/>
      <c r="FER41" s="191"/>
      <c r="FET41" s="191"/>
      <c r="FEU41" s="191"/>
      <c r="FEV41" s="191"/>
      <c r="FEX41" s="191"/>
      <c r="FEY41" s="191"/>
      <c r="FEZ41" s="191"/>
      <c r="FFB41" s="191"/>
      <c r="FFC41" s="191"/>
      <c r="FFD41" s="191"/>
      <c r="FFF41" s="191"/>
      <c r="FFG41" s="191"/>
      <c r="FFH41" s="191"/>
      <c r="FFJ41" s="191"/>
      <c r="FFK41" s="191"/>
      <c r="FFL41" s="191"/>
      <c r="FFN41" s="191"/>
      <c r="FFO41" s="191"/>
      <c r="FFP41" s="191"/>
      <c r="FFR41" s="191"/>
      <c r="FFS41" s="191"/>
      <c r="FFT41" s="191"/>
      <c r="FFV41" s="191"/>
      <c r="FFW41" s="191"/>
      <c r="FFX41" s="191"/>
      <c r="FFZ41" s="191"/>
      <c r="FGA41" s="191"/>
      <c r="FGB41" s="191"/>
      <c r="FGD41" s="191"/>
      <c r="FGE41" s="191"/>
      <c r="FGF41" s="191"/>
      <c r="FGH41" s="191"/>
      <c r="FGI41" s="191"/>
      <c r="FGJ41" s="191"/>
      <c r="FGL41" s="191"/>
      <c r="FGM41" s="191"/>
      <c r="FGN41" s="191"/>
      <c r="FGP41" s="191"/>
      <c r="FGQ41" s="191"/>
      <c r="FGR41" s="191"/>
      <c r="FGT41" s="191"/>
      <c r="FGU41" s="191"/>
      <c r="FGV41" s="191"/>
      <c r="FGX41" s="191"/>
      <c r="FGY41" s="191"/>
      <c r="FGZ41" s="191"/>
      <c r="FHB41" s="191"/>
      <c r="FHC41" s="191"/>
      <c r="FHD41" s="191"/>
      <c r="FHF41" s="191"/>
      <c r="FHG41" s="191"/>
      <c r="FHH41" s="191"/>
      <c r="FHJ41" s="191"/>
      <c r="FHK41" s="191"/>
      <c r="FHL41" s="191"/>
      <c r="FHN41" s="191"/>
      <c r="FHO41" s="191"/>
      <c r="FHP41" s="191"/>
      <c r="FHR41" s="191"/>
      <c r="FHS41" s="191"/>
      <c r="FHT41" s="191"/>
      <c r="FHV41" s="191"/>
      <c r="FHW41" s="191"/>
      <c r="FHX41" s="191"/>
      <c r="FHZ41" s="191"/>
      <c r="FIA41" s="191"/>
      <c r="FIB41" s="191"/>
      <c r="FID41" s="191"/>
      <c r="FIE41" s="191"/>
      <c r="FIF41" s="191"/>
      <c r="FIH41" s="191"/>
      <c r="FII41" s="191"/>
      <c r="FIJ41" s="191"/>
      <c r="FIL41" s="191"/>
      <c r="FIM41" s="191"/>
      <c r="FIN41" s="191"/>
      <c r="FIP41" s="191"/>
      <c r="FIQ41" s="191"/>
      <c r="FIR41" s="191"/>
      <c r="FIT41" s="191"/>
      <c r="FIU41" s="191"/>
      <c r="FIV41" s="191"/>
      <c r="FIX41" s="191"/>
      <c r="FIY41" s="191"/>
      <c r="FIZ41" s="191"/>
      <c r="FJB41" s="191"/>
      <c r="FJC41" s="191"/>
      <c r="FJD41" s="191"/>
      <c r="FJF41" s="191"/>
      <c r="FJG41" s="191"/>
      <c r="FJH41" s="191"/>
      <c r="FJJ41" s="191"/>
      <c r="FJK41" s="191"/>
      <c r="FJL41" s="191"/>
      <c r="FJN41" s="191"/>
      <c r="FJO41" s="191"/>
      <c r="FJP41" s="191"/>
      <c r="FJR41" s="191"/>
      <c r="FJS41" s="191"/>
      <c r="FJT41" s="191"/>
      <c r="FJV41" s="191"/>
      <c r="FJW41" s="191"/>
      <c r="FJX41" s="191"/>
      <c r="FJZ41" s="191"/>
      <c r="FKA41" s="191"/>
      <c r="FKB41" s="191"/>
      <c r="FKD41" s="191"/>
      <c r="FKE41" s="191"/>
      <c r="FKF41" s="191"/>
      <c r="FKH41" s="191"/>
      <c r="FKI41" s="191"/>
      <c r="FKJ41" s="191"/>
      <c r="FKL41" s="191"/>
      <c r="FKM41" s="191"/>
      <c r="FKN41" s="191"/>
      <c r="FKP41" s="191"/>
      <c r="FKQ41" s="191"/>
      <c r="FKR41" s="191"/>
      <c r="FKT41" s="191"/>
      <c r="FKU41" s="191"/>
      <c r="FKV41" s="191"/>
      <c r="FKX41" s="191"/>
      <c r="FKY41" s="191"/>
      <c r="FKZ41" s="191"/>
      <c r="FLB41" s="191"/>
      <c r="FLC41" s="191"/>
      <c r="FLD41" s="191"/>
      <c r="FLF41" s="191"/>
      <c r="FLG41" s="191"/>
      <c r="FLH41" s="191"/>
      <c r="FLJ41" s="191"/>
      <c r="FLK41" s="191"/>
      <c r="FLL41" s="191"/>
      <c r="FLN41" s="191"/>
      <c r="FLO41" s="191"/>
      <c r="FLP41" s="191"/>
      <c r="FLR41" s="191"/>
      <c r="FLS41" s="191"/>
      <c r="FLT41" s="191"/>
      <c r="FLV41" s="191"/>
      <c r="FLW41" s="191"/>
      <c r="FLX41" s="191"/>
      <c r="FLZ41" s="191"/>
      <c r="FMA41" s="191"/>
      <c r="FMB41" s="191"/>
      <c r="FMD41" s="191"/>
      <c r="FME41" s="191"/>
      <c r="FMF41" s="191"/>
      <c r="FMH41" s="191"/>
      <c r="FMI41" s="191"/>
      <c r="FMJ41" s="191"/>
      <c r="FML41" s="191"/>
      <c r="FMM41" s="191"/>
      <c r="FMN41" s="191"/>
      <c r="FMP41" s="191"/>
      <c r="FMQ41" s="191"/>
      <c r="FMR41" s="191"/>
      <c r="FMT41" s="191"/>
      <c r="FMU41" s="191"/>
      <c r="FMV41" s="191"/>
      <c r="FMX41" s="191"/>
      <c r="FMY41" s="191"/>
      <c r="FMZ41" s="191"/>
      <c r="FNB41" s="191"/>
      <c r="FNC41" s="191"/>
      <c r="FND41" s="191"/>
      <c r="FNF41" s="191"/>
      <c r="FNG41" s="191"/>
      <c r="FNH41" s="191"/>
      <c r="FNJ41" s="191"/>
      <c r="FNK41" s="191"/>
      <c r="FNL41" s="191"/>
      <c r="FNN41" s="191"/>
      <c r="FNO41" s="191"/>
      <c r="FNP41" s="191"/>
      <c r="FNR41" s="191"/>
      <c r="FNS41" s="191"/>
      <c r="FNT41" s="191"/>
      <c r="FNV41" s="191"/>
      <c r="FNW41" s="191"/>
      <c r="FNX41" s="191"/>
      <c r="FNZ41" s="191"/>
      <c r="FOA41" s="191"/>
      <c r="FOB41" s="191"/>
      <c r="FOD41" s="191"/>
      <c r="FOE41" s="191"/>
      <c r="FOF41" s="191"/>
      <c r="FOH41" s="191"/>
      <c r="FOI41" s="191"/>
      <c r="FOJ41" s="191"/>
      <c r="FOL41" s="191"/>
      <c r="FOM41" s="191"/>
      <c r="FON41" s="191"/>
      <c r="FOP41" s="191"/>
      <c r="FOQ41" s="191"/>
      <c r="FOR41" s="191"/>
      <c r="FOT41" s="191"/>
      <c r="FOU41" s="191"/>
      <c r="FOV41" s="191"/>
      <c r="FOX41" s="191"/>
      <c r="FOY41" s="191"/>
      <c r="FOZ41" s="191"/>
      <c r="FPB41" s="191"/>
      <c r="FPC41" s="191"/>
      <c r="FPD41" s="191"/>
      <c r="FPF41" s="191"/>
      <c r="FPG41" s="191"/>
      <c r="FPH41" s="191"/>
      <c r="FPJ41" s="191"/>
      <c r="FPK41" s="191"/>
      <c r="FPL41" s="191"/>
      <c r="FPN41" s="191"/>
      <c r="FPO41" s="191"/>
      <c r="FPP41" s="191"/>
      <c r="FPR41" s="191"/>
      <c r="FPS41" s="191"/>
      <c r="FPT41" s="191"/>
      <c r="FPV41" s="191"/>
      <c r="FPW41" s="191"/>
      <c r="FPX41" s="191"/>
      <c r="FPZ41" s="191"/>
      <c r="FQA41" s="191"/>
      <c r="FQB41" s="191"/>
      <c r="FQD41" s="191"/>
      <c r="FQE41" s="191"/>
      <c r="FQF41" s="191"/>
      <c r="FQH41" s="191"/>
      <c r="FQI41" s="191"/>
      <c r="FQJ41" s="191"/>
      <c r="FQL41" s="191"/>
      <c r="FQM41" s="191"/>
      <c r="FQN41" s="191"/>
      <c r="FQP41" s="191"/>
      <c r="FQQ41" s="191"/>
      <c r="FQR41" s="191"/>
      <c r="FQT41" s="191"/>
      <c r="FQU41" s="191"/>
      <c r="FQV41" s="191"/>
      <c r="FQX41" s="191"/>
      <c r="FQY41" s="191"/>
      <c r="FQZ41" s="191"/>
      <c r="FRB41" s="191"/>
      <c r="FRC41" s="191"/>
      <c r="FRD41" s="191"/>
      <c r="FRF41" s="191"/>
      <c r="FRG41" s="191"/>
      <c r="FRH41" s="191"/>
      <c r="FRJ41" s="191"/>
      <c r="FRK41" s="191"/>
      <c r="FRL41" s="191"/>
      <c r="FRN41" s="191"/>
      <c r="FRO41" s="191"/>
      <c r="FRP41" s="191"/>
      <c r="FRR41" s="191"/>
      <c r="FRS41" s="191"/>
      <c r="FRT41" s="191"/>
      <c r="FRV41" s="191"/>
      <c r="FRW41" s="191"/>
      <c r="FRX41" s="191"/>
      <c r="FRZ41" s="191"/>
      <c r="FSA41" s="191"/>
      <c r="FSB41" s="191"/>
      <c r="FSD41" s="191"/>
      <c r="FSE41" s="191"/>
      <c r="FSF41" s="191"/>
      <c r="FSH41" s="191"/>
      <c r="FSI41" s="191"/>
      <c r="FSJ41" s="191"/>
      <c r="FSL41" s="191"/>
      <c r="FSM41" s="191"/>
      <c r="FSN41" s="191"/>
      <c r="FSP41" s="191"/>
      <c r="FSQ41" s="191"/>
      <c r="FSR41" s="191"/>
      <c r="FST41" s="191"/>
      <c r="FSU41" s="191"/>
      <c r="FSV41" s="191"/>
      <c r="FSX41" s="191"/>
      <c r="FSY41" s="191"/>
      <c r="FSZ41" s="191"/>
      <c r="FTB41" s="191"/>
      <c r="FTC41" s="191"/>
      <c r="FTD41" s="191"/>
      <c r="FTF41" s="191"/>
      <c r="FTG41" s="191"/>
      <c r="FTH41" s="191"/>
      <c r="FTJ41" s="191"/>
      <c r="FTK41" s="191"/>
      <c r="FTL41" s="191"/>
      <c r="FTN41" s="191"/>
      <c r="FTO41" s="191"/>
      <c r="FTP41" s="191"/>
      <c r="FTR41" s="191"/>
      <c r="FTS41" s="191"/>
      <c r="FTT41" s="191"/>
      <c r="FTV41" s="191"/>
      <c r="FTW41" s="191"/>
      <c r="FTX41" s="191"/>
      <c r="FTZ41" s="191"/>
      <c r="FUA41" s="191"/>
      <c r="FUB41" s="191"/>
      <c r="FUD41" s="191"/>
      <c r="FUE41" s="191"/>
      <c r="FUF41" s="191"/>
      <c r="FUH41" s="191"/>
      <c r="FUI41" s="191"/>
      <c r="FUJ41" s="191"/>
      <c r="FUL41" s="191"/>
      <c r="FUM41" s="191"/>
      <c r="FUN41" s="191"/>
      <c r="FUP41" s="191"/>
      <c r="FUQ41" s="191"/>
      <c r="FUR41" s="191"/>
      <c r="FUT41" s="191"/>
      <c r="FUU41" s="191"/>
      <c r="FUV41" s="191"/>
      <c r="FUX41" s="191"/>
      <c r="FUY41" s="191"/>
      <c r="FUZ41" s="191"/>
      <c r="FVB41" s="191"/>
      <c r="FVC41" s="191"/>
      <c r="FVD41" s="191"/>
      <c r="FVF41" s="191"/>
      <c r="FVG41" s="191"/>
      <c r="FVH41" s="191"/>
      <c r="FVJ41" s="191"/>
      <c r="FVK41" s="191"/>
      <c r="FVL41" s="191"/>
      <c r="FVN41" s="191"/>
      <c r="FVO41" s="191"/>
      <c r="FVP41" s="191"/>
      <c r="FVR41" s="191"/>
      <c r="FVS41" s="191"/>
      <c r="FVT41" s="191"/>
      <c r="FVV41" s="191"/>
      <c r="FVW41" s="191"/>
      <c r="FVX41" s="191"/>
      <c r="FVZ41" s="191"/>
      <c r="FWA41" s="191"/>
      <c r="FWB41" s="191"/>
      <c r="FWD41" s="191"/>
      <c r="FWE41" s="191"/>
      <c r="FWF41" s="191"/>
      <c r="FWH41" s="191"/>
      <c r="FWI41" s="191"/>
      <c r="FWJ41" s="191"/>
      <c r="FWL41" s="191"/>
      <c r="FWM41" s="191"/>
      <c r="FWN41" s="191"/>
      <c r="FWP41" s="191"/>
      <c r="FWQ41" s="191"/>
      <c r="FWR41" s="191"/>
      <c r="FWT41" s="191"/>
      <c r="FWU41" s="191"/>
      <c r="FWV41" s="191"/>
      <c r="FWX41" s="191"/>
      <c r="FWY41" s="191"/>
      <c r="FWZ41" s="191"/>
      <c r="FXB41" s="191"/>
      <c r="FXC41" s="191"/>
      <c r="FXD41" s="191"/>
      <c r="FXF41" s="191"/>
      <c r="FXG41" s="191"/>
      <c r="FXH41" s="191"/>
      <c r="FXJ41" s="191"/>
      <c r="FXK41" s="191"/>
      <c r="FXL41" s="191"/>
      <c r="FXN41" s="191"/>
      <c r="FXO41" s="191"/>
      <c r="FXP41" s="191"/>
      <c r="FXR41" s="191"/>
      <c r="FXS41" s="191"/>
      <c r="FXT41" s="191"/>
      <c r="FXV41" s="191"/>
      <c r="FXW41" s="191"/>
      <c r="FXX41" s="191"/>
      <c r="FXZ41" s="191"/>
      <c r="FYA41" s="191"/>
      <c r="FYB41" s="191"/>
      <c r="FYD41" s="191"/>
      <c r="FYE41" s="191"/>
      <c r="FYF41" s="191"/>
      <c r="FYH41" s="191"/>
      <c r="FYI41" s="191"/>
      <c r="FYJ41" s="191"/>
      <c r="FYL41" s="191"/>
      <c r="FYM41" s="191"/>
      <c r="FYN41" s="191"/>
      <c r="FYP41" s="191"/>
      <c r="FYQ41" s="191"/>
      <c r="FYR41" s="191"/>
      <c r="FYT41" s="191"/>
      <c r="FYU41" s="191"/>
      <c r="FYV41" s="191"/>
      <c r="FYX41" s="191"/>
      <c r="FYY41" s="191"/>
      <c r="FYZ41" s="191"/>
      <c r="FZB41" s="191"/>
      <c r="FZC41" s="191"/>
      <c r="FZD41" s="191"/>
      <c r="FZF41" s="191"/>
      <c r="FZG41" s="191"/>
      <c r="FZH41" s="191"/>
      <c r="FZJ41" s="191"/>
      <c r="FZK41" s="191"/>
      <c r="FZL41" s="191"/>
      <c r="FZN41" s="191"/>
      <c r="FZO41" s="191"/>
      <c r="FZP41" s="191"/>
      <c r="FZR41" s="191"/>
      <c r="FZS41" s="191"/>
      <c r="FZT41" s="191"/>
      <c r="FZV41" s="191"/>
      <c r="FZW41" s="191"/>
      <c r="FZX41" s="191"/>
      <c r="FZZ41" s="191"/>
      <c r="GAA41" s="191"/>
      <c r="GAB41" s="191"/>
      <c r="GAD41" s="191"/>
      <c r="GAE41" s="191"/>
      <c r="GAF41" s="191"/>
      <c r="GAH41" s="191"/>
      <c r="GAI41" s="191"/>
      <c r="GAJ41" s="191"/>
      <c r="GAL41" s="191"/>
      <c r="GAM41" s="191"/>
      <c r="GAN41" s="191"/>
      <c r="GAP41" s="191"/>
      <c r="GAQ41" s="191"/>
      <c r="GAR41" s="191"/>
      <c r="GAT41" s="191"/>
      <c r="GAU41" s="191"/>
      <c r="GAV41" s="191"/>
      <c r="GAX41" s="191"/>
      <c r="GAY41" s="191"/>
      <c r="GAZ41" s="191"/>
      <c r="GBB41" s="191"/>
      <c r="GBC41" s="191"/>
      <c r="GBD41" s="191"/>
      <c r="GBF41" s="191"/>
      <c r="GBG41" s="191"/>
      <c r="GBH41" s="191"/>
      <c r="GBJ41" s="191"/>
      <c r="GBK41" s="191"/>
      <c r="GBL41" s="191"/>
      <c r="GBN41" s="191"/>
      <c r="GBO41" s="191"/>
      <c r="GBP41" s="191"/>
      <c r="GBR41" s="191"/>
      <c r="GBS41" s="191"/>
      <c r="GBT41" s="191"/>
      <c r="GBV41" s="191"/>
      <c r="GBW41" s="191"/>
      <c r="GBX41" s="191"/>
      <c r="GBZ41" s="191"/>
      <c r="GCA41" s="191"/>
      <c r="GCB41" s="191"/>
      <c r="GCD41" s="191"/>
      <c r="GCE41" s="191"/>
      <c r="GCF41" s="191"/>
      <c r="GCH41" s="191"/>
      <c r="GCI41" s="191"/>
      <c r="GCJ41" s="191"/>
      <c r="GCL41" s="191"/>
      <c r="GCM41" s="191"/>
      <c r="GCN41" s="191"/>
      <c r="GCP41" s="191"/>
      <c r="GCQ41" s="191"/>
      <c r="GCR41" s="191"/>
      <c r="GCT41" s="191"/>
      <c r="GCU41" s="191"/>
      <c r="GCV41" s="191"/>
      <c r="GCX41" s="191"/>
      <c r="GCY41" s="191"/>
      <c r="GCZ41" s="191"/>
      <c r="GDB41" s="191"/>
      <c r="GDC41" s="191"/>
      <c r="GDD41" s="191"/>
      <c r="GDF41" s="191"/>
      <c r="GDG41" s="191"/>
      <c r="GDH41" s="191"/>
      <c r="GDJ41" s="191"/>
      <c r="GDK41" s="191"/>
      <c r="GDL41" s="191"/>
      <c r="GDN41" s="191"/>
      <c r="GDO41" s="191"/>
      <c r="GDP41" s="191"/>
      <c r="GDR41" s="191"/>
      <c r="GDS41" s="191"/>
      <c r="GDT41" s="191"/>
      <c r="GDV41" s="191"/>
      <c r="GDW41" s="191"/>
      <c r="GDX41" s="191"/>
      <c r="GDZ41" s="191"/>
      <c r="GEA41" s="191"/>
      <c r="GEB41" s="191"/>
      <c r="GED41" s="191"/>
      <c r="GEE41" s="191"/>
      <c r="GEF41" s="191"/>
      <c r="GEH41" s="191"/>
      <c r="GEI41" s="191"/>
      <c r="GEJ41" s="191"/>
      <c r="GEL41" s="191"/>
      <c r="GEM41" s="191"/>
      <c r="GEN41" s="191"/>
      <c r="GEP41" s="191"/>
      <c r="GEQ41" s="191"/>
      <c r="GER41" s="191"/>
      <c r="GET41" s="191"/>
      <c r="GEU41" s="191"/>
      <c r="GEV41" s="191"/>
      <c r="GEX41" s="191"/>
      <c r="GEY41" s="191"/>
      <c r="GEZ41" s="191"/>
      <c r="GFB41" s="191"/>
      <c r="GFC41" s="191"/>
      <c r="GFD41" s="191"/>
      <c r="GFF41" s="191"/>
      <c r="GFG41" s="191"/>
      <c r="GFH41" s="191"/>
      <c r="GFJ41" s="191"/>
      <c r="GFK41" s="191"/>
      <c r="GFL41" s="191"/>
      <c r="GFN41" s="191"/>
      <c r="GFO41" s="191"/>
      <c r="GFP41" s="191"/>
      <c r="GFR41" s="191"/>
      <c r="GFS41" s="191"/>
      <c r="GFT41" s="191"/>
      <c r="GFV41" s="191"/>
      <c r="GFW41" s="191"/>
      <c r="GFX41" s="191"/>
      <c r="GFZ41" s="191"/>
      <c r="GGA41" s="191"/>
      <c r="GGB41" s="191"/>
      <c r="GGD41" s="191"/>
      <c r="GGE41" s="191"/>
      <c r="GGF41" s="191"/>
      <c r="GGH41" s="191"/>
      <c r="GGI41" s="191"/>
      <c r="GGJ41" s="191"/>
      <c r="GGL41" s="191"/>
      <c r="GGM41" s="191"/>
      <c r="GGN41" s="191"/>
      <c r="GGP41" s="191"/>
      <c r="GGQ41" s="191"/>
      <c r="GGR41" s="191"/>
      <c r="GGT41" s="191"/>
      <c r="GGU41" s="191"/>
      <c r="GGV41" s="191"/>
      <c r="GGX41" s="191"/>
      <c r="GGY41" s="191"/>
      <c r="GGZ41" s="191"/>
      <c r="GHB41" s="191"/>
      <c r="GHC41" s="191"/>
      <c r="GHD41" s="191"/>
      <c r="GHF41" s="191"/>
      <c r="GHG41" s="191"/>
      <c r="GHH41" s="191"/>
      <c r="GHJ41" s="191"/>
      <c r="GHK41" s="191"/>
      <c r="GHL41" s="191"/>
      <c r="GHN41" s="191"/>
      <c r="GHO41" s="191"/>
      <c r="GHP41" s="191"/>
      <c r="GHR41" s="191"/>
      <c r="GHS41" s="191"/>
      <c r="GHT41" s="191"/>
      <c r="GHV41" s="191"/>
      <c r="GHW41" s="191"/>
      <c r="GHX41" s="191"/>
      <c r="GHZ41" s="191"/>
      <c r="GIA41" s="191"/>
      <c r="GIB41" s="191"/>
      <c r="GID41" s="191"/>
      <c r="GIE41" s="191"/>
      <c r="GIF41" s="191"/>
      <c r="GIH41" s="191"/>
      <c r="GII41" s="191"/>
      <c r="GIJ41" s="191"/>
      <c r="GIL41" s="191"/>
      <c r="GIM41" s="191"/>
      <c r="GIN41" s="191"/>
      <c r="GIP41" s="191"/>
      <c r="GIQ41" s="191"/>
      <c r="GIR41" s="191"/>
      <c r="GIT41" s="191"/>
      <c r="GIU41" s="191"/>
      <c r="GIV41" s="191"/>
      <c r="GIX41" s="191"/>
      <c r="GIY41" s="191"/>
      <c r="GIZ41" s="191"/>
      <c r="GJB41" s="191"/>
      <c r="GJC41" s="191"/>
      <c r="GJD41" s="191"/>
      <c r="GJF41" s="191"/>
      <c r="GJG41" s="191"/>
      <c r="GJH41" s="191"/>
      <c r="GJJ41" s="191"/>
      <c r="GJK41" s="191"/>
      <c r="GJL41" s="191"/>
      <c r="GJN41" s="191"/>
      <c r="GJO41" s="191"/>
      <c r="GJP41" s="191"/>
      <c r="GJR41" s="191"/>
      <c r="GJS41" s="191"/>
      <c r="GJT41" s="191"/>
      <c r="GJV41" s="191"/>
      <c r="GJW41" s="191"/>
      <c r="GJX41" s="191"/>
      <c r="GJZ41" s="191"/>
      <c r="GKA41" s="191"/>
      <c r="GKB41" s="191"/>
      <c r="GKD41" s="191"/>
      <c r="GKE41" s="191"/>
      <c r="GKF41" s="191"/>
      <c r="GKH41" s="191"/>
      <c r="GKI41" s="191"/>
      <c r="GKJ41" s="191"/>
      <c r="GKL41" s="191"/>
      <c r="GKM41" s="191"/>
      <c r="GKN41" s="191"/>
      <c r="GKP41" s="191"/>
      <c r="GKQ41" s="191"/>
      <c r="GKR41" s="191"/>
      <c r="GKT41" s="191"/>
      <c r="GKU41" s="191"/>
      <c r="GKV41" s="191"/>
      <c r="GKX41" s="191"/>
      <c r="GKY41" s="191"/>
      <c r="GKZ41" s="191"/>
      <c r="GLB41" s="191"/>
      <c r="GLC41" s="191"/>
      <c r="GLD41" s="191"/>
      <c r="GLF41" s="191"/>
      <c r="GLG41" s="191"/>
      <c r="GLH41" s="191"/>
      <c r="GLJ41" s="191"/>
      <c r="GLK41" s="191"/>
      <c r="GLL41" s="191"/>
      <c r="GLN41" s="191"/>
      <c r="GLO41" s="191"/>
      <c r="GLP41" s="191"/>
      <c r="GLR41" s="191"/>
      <c r="GLS41" s="191"/>
      <c r="GLT41" s="191"/>
      <c r="GLV41" s="191"/>
      <c r="GLW41" s="191"/>
      <c r="GLX41" s="191"/>
      <c r="GLZ41" s="191"/>
      <c r="GMA41" s="191"/>
      <c r="GMB41" s="191"/>
      <c r="GMD41" s="191"/>
      <c r="GME41" s="191"/>
      <c r="GMF41" s="191"/>
      <c r="GMH41" s="191"/>
      <c r="GMI41" s="191"/>
      <c r="GMJ41" s="191"/>
      <c r="GML41" s="191"/>
      <c r="GMM41" s="191"/>
      <c r="GMN41" s="191"/>
      <c r="GMP41" s="191"/>
      <c r="GMQ41" s="191"/>
      <c r="GMR41" s="191"/>
      <c r="GMT41" s="191"/>
      <c r="GMU41" s="191"/>
      <c r="GMV41" s="191"/>
      <c r="GMX41" s="191"/>
      <c r="GMY41" s="191"/>
      <c r="GMZ41" s="191"/>
      <c r="GNB41" s="191"/>
      <c r="GNC41" s="191"/>
      <c r="GND41" s="191"/>
      <c r="GNF41" s="191"/>
      <c r="GNG41" s="191"/>
      <c r="GNH41" s="191"/>
      <c r="GNJ41" s="191"/>
      <c r="GNK41" s="191"/>
      <c r="GNL41" s="191"/>
      <c r="GNN41" s="191"/>
      <c r="GNO41" s="191"/>
      <c r="GNP41" s="191"/>
      <c r="GNR41" s="191"/>
      <c r="GNS41" s="191"/>
      <c r="GNT41" s="191"/>
      <c r="GNV41" s="191"/>
      <c r="GNW41" s="191"/>
      <c r="GNX41" s="191"/>
      <c r="GNZ41" s="191"/>
      <c r="GOA41" s="191"/>
      <c r="GOB41" s="191"/>
      <c r="GOD41" s="191"/>
      <c r="GOE41" s="191"/>
      <c r="GOF41" s="191"/>
      <c r="GOH41" s="191"/>
      <c r="GOI41" s="191"/>
      <c r="GOJ41" s="191"/>
      <c r="GOL41" s="191"/>
      <c r="GOM41" s="191"/>
      <c r="GON41" s="191"/>
      <c r="GOP41" s="191"/>
      <c r="GOQ41" s="191"/>
      <c r="GOR41" s="191"/>
      <c r="GOT41" s="191"/>
      <c r="GOU41" s="191"/>
      <c r="GOV41" s="191"/>
      <c r="GOX41" s="191"/>
      <c r="GOY41" s="191"/>
      <c r="GOZ41" s="191"/>
      <c r="GPB41" s="191"/>
      <c r="GPC41" s="191"/>
      <c r="GPD41" s="191"/>
      <c r="GPF41" s="191"/>
      <c r="GPG41" s="191"/>
      <c r="GPH41" s="191"/>
      <c r="GPJ41" s="191"/>
      <c r="GPK41" s="191"/>
      <c r="GPL41" s="191"/>
      <c r="GPN41" s="191"/>
      <c r="GPO41" s="191"/>
      <c r="GPP41" s="191"/>
      <c r="GPR41" s="191"/>
      <c r="GPS41" s="191"/>
      <c r="GPT41" s="191"/>
      <c r="GPV41" s="191"/>
      <c r="GPW41" s="191"/>
      <c r="GPX41" s="191"/>
      <c r="GPZ41" s="191"/>
      <c r="GQA41" s="191"/>
      <c r="GQB41" s="191"/>
      <c r="GQD41" s="191"/>
      <c r="GQE41" s="191"/>
      <c r="GQF41" s="191"/>
      <c r="GQH41" s="191"/>
      <c r="GQI41" s="191"/>
      <c r="GQJ41" s="191"/>
      <c r="GQL41" s="191"/>
      <c r="GQM41" s="191"/>
      <c r="GQN41" s="191"/>
      <c r="GQP41" s="191"/>
      <c r="GQQ41" s="191"/>
      <c r="GQR41" s="191"/>
      <c r="GQT41" s="191"/>
      <c r="GQU41" s="191"/>
      <c r="GQV41" s="191"/>
      <c r="GQX41" s="191"/>
      <c r="GQY41" s="191"/>
      <c r="GQZ41" s="191"/>
      <c r="GRB41" s="191"/>
      <c r="GRC41" s="191"/>
      <c r="GRD41" s="191"/>
      <c r="GRF41" s="191"/>
      <c r="GRG41" s="191"/>
      <c r="GRH41" s="191"/>
      <c r="GRJ41" s="191"/>
      <c r="GRK41" s="191"/>
      <c r="GRL41" s="191"/>
      <c r="GRN41" s="191"/>
      <c r="GRO41" s="191"/>
      <c r="GRP41" s="191"/>
      <c r="GRR41" s="191"/>
      <c r="GRS41" s="191"/>
      <c r="GRT41" s="191"/>
      <c r="GRV41" s="191"/>
      <c r="GRW41" s="191"/>
      <c r="GRX41" s="191"/>
      <c r="GRZ41" s="191"/>
      <c r="GSA41" s="191"/>
      <c r="GSB41" s="191"/>
      <c r="GSD41" s="191"/>
      <c r="GSE41" s="191"/>
      <c r="GSF41" s="191"/>
      <c r="GSH41" s="191"/>
      <c r="GSI41" s="191"/>
      <c r="GSJ41" s="191"/>
      <c r="GSL41" s="191"/>
      <c r="GSM41" s="191"/>
      <c r="GSN41" s="191"/>
      <c r="GSP41" s="191"/>
      <c r="GSQ41" s="191"/>
      <c r="GSR41" s="191"/>
      <c r="GST41" s="191"/>
      <c r="GSU41" s="191"/>
      <c r="GSV41" s="191"/>
      <c r="GSX41" s="191"/>
      <c r="GSY41" s="191"/>
      <c r="GSZ41" s="191"/>
      <c r="GTB41" s="191"/>
      <c r="GTC41" s="191"/>
      <c r="GTD41" s="191"/>
      <c r="GTF41" s="191"/>
      <c r="GTG41" s="191"/>
      <c r="GTH41" s="191"/>
      <c r="GTJ41" s="191"/>
      <c r="GTK41" s="191"/>
      <c r="GTL41" s="191"/>
      <c r="GTN41" s="191"/>
      <c r="GTO41" s="191"/>
      <c r="GTP41" s="191"/>
      <c r="GTR41" s="191"/>
      <c r="GTS41" s="191"/>
      <c r="GTT41" s="191"/>
      <c r="GTV41" s="191"/>
      <c r="GTW41" s="191"/>
      <c r="GTX41" s="191"/>
      <c r="GTZ41" s="191"/>
      <c r="GUA41" s="191"/>
      <c r="GUB41" s="191"/>
      <c r="GUD41" s="191"/>
      <c r="GUE41" s="191"/>
      <c r="GUF41" s="191"/>
      <c r="GUH41" s="191"/>
      <c r="GUI41" s="191"/>
      <c r="GUJ41" s="191"/>
      <c r="GUL41" s="191"/>
      <c r="GUM41" s="191"/>
      <c r="GUN41" s="191"/>
      <c r="GUP41" s="191"/>
      <c r="GUQ41" s="191"/>
      <c r="GUR41" s="191"/>
      <c r="GUT41" s="191"/>
      <c r="GUU41" s="191"/>
      <c r="GUV41" s="191"/>
      <c r="GUX41" s="191"/>
      <c r="GUY41" s="191"/>
      <c r="GUZ41" s="191"/>
      <c r="GVB41" s="191"/>
      <c r="GVC41" s="191"/>
      <c r="GVD41" s="191"/>
      <c r="GVF41" s="191"/>
      <c r="GVG41" s="191"/>
      <c r="GVH41" s="191"/>
      <c r="GVJ41" s="191"/>
      <c r="GVK41" s="191"/>
      <c r="GVL41" s="191"/>
      <c r="GVN41" s="191"/>
      <c r="GVO41" s="191"/>
      <c r="GVP41" s="191"/>
      <c r="GVR41" s="191"/>
      <c r="GVS41" s="191"/>
      <c r="GVT41" s="191"/>
      <c r="GVV41" s="191"/>
      <c r="GVW41" s="191"/>
      <c r="GVX41" s="191"/>
      <c r="GVZ41" s="191"/>
      <c r="GWA41" s="191"/>
      <c r="GWB41" s="191"/>
      <c r="GWD41" s="191"/>
      <c r="GWE41" s="191"/>
      <c r="GWF41" s="191"/>
      <c r="GWH41" s="191"/>
      <c r="GWI41" s="191"/>
      <c r="GWJ41" s="191"/>
      <c r="GWL41" s="191"/>
      <c r="GWM41" s="191"/>
      <c r="GWN41" s="191"/>
      <c r="GWP41" s="191"/>
      <c r="GWQ41" s="191"/>
      <c r="GWR41" s="191"/>
      <c r="GWT41" s="191"/>
      <c r="GWU41" s="191"/>
      <c r="GWV41" s="191"/>
      <c r="GWX41" s="191"/>
      <c r="GWY41" s="191"/>
      <c r="GWZ41" s="191"/>
      <c r="GXB41" s="191"/>
      <c r="GXC41" s="191"/>
      <c r="GXD41" s="191"/>
      <c r="GXF41" s="191"/>
      <c r="GXG41" s="191"/>
      <c r="GXH41" s="191"/>
      <c r="GXJ41" s="191"/>
      <c r="GXK41" s="191"/>
      <c r="GXL41" s="191"/>
      <c r="GXN41" s="191"/>
      <c r="GXO41" s="191"/>
      <c r="GXP41" s="191"/>
      <c r="GXR41" s="191"/>
      <c r="GXS41" s="191"/>
      <c r="GXT41" s="191"/>
      <c r="GXV41" s="191"/>
      <c r="GXW41" s="191"/>
      <c r="GXX41" s="191"/>
      <c r="GXZ41" s="191"/>
      <c r="GYA41" s="191"/>
      <c r="GYB41" s="191"/>
      <c r="GYD41" s="191"/>
      <c r="GYE41" s="191"/>
      <c r="GYF41" s="191"/>
      <c r="GYH41" s="191"/>
      <c r="GYI41" s="191"/>
      <c r="GYJ41" s="191"/>
      <c r="GYL41" s="191"/>
      <c r="GYM41" s="191"/>
      <c r="GYN41" s="191"/>
      <c r="GYP41" s="191"/>
      <c r="GYQ41" s="191"/>
      <c r="GYR41" s="191"/>
      <c r="GYT41" s="191"/>
      <c r="GYU41" s="191"/>
      <c r="GYV41" s="191"/>
      <c r="GYX41" s="191"/>
      <c r="GYY41" s="191"/>
      <c r="GYZ41" s="191"/>
      <c r="GZB41" s="191"/>
      <c r="GZC41" s="191"/>
      <c r="GZD41" s="191"/>
      <c r="GZF41" s="191"/>
      <c r="GZG41" s="191"/>
      <c r="GZH41" s="191"/>
      <c r="GZJ41" s="191"/>
      <c r="GZK41" s="191"/>
      <c r="GZL41" s="191"/>
      <c r="GZN41" s="191"/>
      <c r="GZO41" s="191"/>
      <c r="GZP41" s="191"/>
      <c r="GZR41" s="191"/>
      <c r="GZS41" s="191"/>
      <c r="GZT41" s="191"/>
      <c r="GZV41" s="191"/>
      <c r="GZW41" s="191"/>
      <c r="GZX41" s="191"/>
      <c r="GZZ41" s="191"/>
      <c r="HAA41" s="191"/>
      <c r="HAB41" s="191"/>
      <c r="HAD41" s="191"/>
      <c r="HAE41" s="191"/>
      <c r="HAF41" s="191"/>
      <c r="HAH41" s="191"/>
      <c r="HAI41" s="191"/>
      <c r="HAJ41" s="191"/>
      <c r="HAL41" s="191"/>
      <c r="HAM41" s="191"/>
      <c r="HAN41" s="191"/>
      <c r="HAP41" s="191"/>
      <c r="HAQ41" s="191"/>
      <c r="HAR41" s="191"/>
      <c r="HAT41" s="191"/>
      <c r="HAU41" s="191"/>
      <c r="HAV41" s="191"/>
      <c r="HAX41" s="191"/>
      <c r="HAY41" s="191"/>
      <c r="HAZ41" s="191"/>
      <c r="HBB41" s="191"/>
      <c r="HBC41" s="191"/>
      <c r="HBD41" s="191"/>
      <c r="HBF41" s="191"/>
      <c r="HBG41" s="191"/>
      <c r="HBH41" s="191"/>
      <c r="HBJ41" s="191"/>
      <c r="HBK41" s="191"/>
      <c r="HBL41" s="191"/>
      <c r="HBN41" s="191"/>
      <c r="HBO41" s="191"/>
      <c r="HBP41" s="191"/>
      <c r="HBR41" s="191"/>
      <c r="HBS41" s="191"/>
      <c r="HBT41" s="191"/>
      <c r="HBV41" s="191"/>
      <c r="HBW41" s="191"/>
      <c r="HBX41" s="191"/>
      <c r="HBZ41" s="191"/>
      <c r="HCA41" s="191"/>
      <c r="HCB41" s="191"/>
      <c r="HCD41" s="191"/>
      <c r="HCE41" s="191"/>
      <c r="HCF41" s="191"/>
      <c r="HCH41" s="191"/>
      <c r="HCI41" s="191"/>
      <c r="HCJ41" s="191"/>
      <c r="HCL41" s="191"/>
      <c r="HCM41" s="191"/>
      <c r="HCN41" s="191"/>
      <c r="HCP41" s="191"/>
      <c r="HCQ41" s="191"/>
      <c r="HCR41" s="191"/>
      <c r="HCT41" s="191"/>
      <c r="HCU41" s="191"/>
      <c r="HCV41" s="191"/>
      <c r="HCX41" s="191"/>
      <c r="HCY41" s="191"/>
      <c r="HCZ41" s="191"/>
      <c r="HDB41" s="191"/>
      <c r="HDC41" s="191"/>
      <c r="HDD41" s="191"/>
      <c r="HDF41" s="191"/>
      <c r="HDG41" s="191"/>
      <c r="HDH41" s="191"/>
      <c r="HDJ41" s="191"/>
      <c r="HDK41" s="191"/>
      <c r="HDL41" s="191"/>
      <c r="HDN41" s="191"/>
      <c r="HDO41" s="191"/>
      <c r="HDP41" s="191"/>
      <c r="HDR41" s="191"/>
      <c r="HDS41" s="191"/>
      <c r="HDT41" s="191"/>
      <c r="HDV41" s="191"/>
      <c r="HDW41" s="191"/>
      <c r="HDX41" s="191"/>
      <c r="HDZ41" s="191"/>
      <c r="HEA41" s="191"/>
      <c r="HEB41" s="191"/>
      <c r="HED41" s="191"/>
      <c r="HEE41" s="191"/>
      <c r="HEF41" s="191"/>
      <c r="HEH41" s="191"/>
      <c r="HEI41" s="191"/>
      <c r="HEJ41" s="191"/>
      <c r="HEL41" s="191"/>
      <c r="HEM41" s="191"/>
      <c r="HEN41" s="191"/>
      <c r="HEP41" s="191"/>
      <c r="HEQ41" s="191"/>
      <c r="HER41" s="191"/>
      <c r="HET41" s="191"/>
      <c r="HEU41" s="191"/>
      <c r="HEV41" s="191"/>
      <c r="HEX41" s="191"/>
      <c r="HEY41" s="191"/>
      <c r="HEZ41" s="191"/>
      <c r="HFB41" s="191"/>
      <c r="HFC41" s="191"/>
      <c r="HFD41" s="191"/>
      <c r="HFF41" s="191"/>
      <c r="HFG41" s="191"/>
      <c r="HFH41" s="191"/>
      <c r="HFJ41" s="191"/>
      <c r="HFK41" s="191"/>
      <c r="HFL41" s="191"/>
      <c r="HFN41" s="191"/>
      <c r="HFO41" s="191"/>
      <c r="HFP41" s="191"/>
      <c r="HFR41" s="191"/>
      <c r="HFS41" s="191"/>
      <c r="HFT41" s="191"/>
      <c r="HFV41" s="191"/>
      <c r="HFW41" s="191"/>
      <c r="HFX41" s="191"/>
      <c r="HFZ41" s="191"/>
      <c r="HGA41" s="191"/>
      <c r="HGB41" s="191"/>
      <c r="HGD41" s="191"/>
      <c r="HGE41" s="191"/>
      <c r="HGF41" s="191"/>
      <c r="HGH41" s="191"/>
      <c r="HGI41" s="191"/>
      <c r="HGJ41" s="191"/>
      <c r="HGL41" s="191"/>
      <c r="HGM41" s="191"/>
      <c r="HGN41" s="191"/>
      <c r="HGP41" s="191"/>
      <c r="HGQ41" s="191"/>
      <c r="HGR41" s="191"/>
      <c r="HGT41" s="191"/>
      <c r="HGU41" s="191"/>
      <c r="HGV41" s="191"/>
      <c r="HGX41" s="191"/>
      <c r="HGY41" s="191"/>
      <c r="HGZ41" s="191"/>
      <c r="HHB41" s="191"/>
      <c r="HHC41" s="191"/>
      <c r="HHD41" s="191"/>
      <c r="HHF41" s="191"/>
      <c r="HHG41" s="191"/>
      <c r="HHH41" s="191"/>
      <c r="HHJ41" s="191"/>
      <c r="HHK41" s="191"/>
      <c r="HHL41" s="191"/>
      <c r="HHN41" s="191"/>
      <c r="HHO41" s="191"/>
      <c r="HHP41" s="191"/>
      <c r="HHR41" s="191"/>
      <c r="HHS41" s="191"/>
      <c r="HHT41" s="191"/>
      <c r="HHV41" s="191"/>
      <c r="HHW41" s="191"/>
      <c r="HHX41" s="191"/>
      <c r="HHZ41" s="191"/>
      <c r="HIA41" s="191"/>
      <c r="HIB41" s="191"/>
      <c r="HID41" s="191"/>
      <c r="HIE41" s="191"/>
      <c r="HIF41" s="191"/>
      <c r="HIH41" s="191"/>
      <c r="HII41" s="191"/>
      <c r="HIJ41" s="191"/>
      <c r="HIL41" s="191"/>
      <c r="HIM41" s="191"/>
      <c r="HIN41" s="191"/>
      <c r="HIP41" s="191"/>
      <c r="HIQ41" s="191"/>
      <c r="HIR41" s="191"/>
      <c r="HIT41" s="191"/>
      <c r="HIU41" s="191"/>
      <c r="HIV41" s="191"/>
      <c r="HIX41" s="191"/>
      <c r="HIY41" s="191"/>
      <c r="HIZ41" s="191"/>
      <c r="HJB41" s="191"/>
      <c r="HJC41" s="191"/>
      <c r="HJD41" s="191"/>
      <c r="HJF41" s="191"/>
      <c r="HJG41" s="191"/>
      <c r="HJH41" s="191"/>
      <c r="HJJ41" s="191"/>
      <c r="HJK41" s="191"/>
      <c r="HJL41" s="191"/>
      <c r="HJN41" s="191"/>
      <c r="HJO41" s="191"/>
      <c r="HJP41" s="191"/>
      <c r="HJR41" s="191"/>
      <c r="HJS41" s="191"/>
      <c r="HJT41" s="191"/>
      <c r="HJV41" s="191"/>
      <c r="HJW41" s="191"/>
      <c r="HJX41" s="191"/>
      <c r="HJZ41" s="191"/>
      <c r="HKA41" s="191"/>
      <c r="HKB41" s="191"/>
      <c r="HKD41" s="191"/>
      <c r="HKE41" s="191"/>
      <c r="HKF41" s="191"/>
      <c r="HKH41" s="191"/>
      <c r="HKI41" s="191"/>
      <c r="HKJ41" s="191"/>
      <c r="HKL41" s="191"/>
      <c r="HKM41" s="191"/>
      <c r="HKN41" s="191"/>
      <c r="HKP41" s="191"/>
      <c r="HKQ41" s="191"/>
      <c r="HKR41" s="191"/>
      <c r="HKT41" s="191"/>
      <c r="HKU41" s="191"/>
      <c r="HKV41" s="191"/>
      <c r="HKX41" s="191"/>
      <c r="HKY41" s="191"/>
      <c r="HKZ41" s="191"/>
      <c r="HLB41" s="191"/>
      <c r="HLC41" s="191"/>
      <c r="HLD41" s="191"/>
      <c r="HLF41" s="191"/>
      <c r="HLG41" s="191"/>
      <c r="HLH41" s="191"/>
      <c r="HLJ41" s="191"/>
      <c r="HLK41" s="191"/>
      <c r="HLL41" s="191"/>
      <c r="HLN41" s="191"/>
      <c r="HLO41" s="191"/>
      <c r="HLP41" s="191"/>
      <c r="HLR41" s="191"/>
      <c r="HLS41" s="191"/>
      <c r="HLT41" s="191"/>
      <c r="HLV41" s="191"/>
      <c r="HLW41" s="191"/>
      <c r="HLX41" s="191"/>
      <c r="HLZ41" s="191"/>
      <c r="HMA41" s="191"/>
      <c r="HMB41" s="191"/>
      <c r="HMD41" s="191"/>
      <c r="HME41" s="191"/>
      <c r="HMF41" s="191"/>
      <c r="HMH41" s="191"/>
      <c r="HMI41" s="191"/>
      <c r="HMJ41" s="191"/>
      <c r="HML41" s="191"/>
      <c r="HMM41" s="191"/>
      <c r="HMN41" s="191"/>
      <c r="HMP41" s="191"/>
      <c r="HMQ41" s="191"/>
      <c r="HMR41" s="191"/>
      <c r="HMT41" s="191"/>
      <c r="HMU41" s="191"/>
      <c r="HMV41" s="191"/>
      <c r="HMX41" s="191"/>
      <c r="HMY41" s="191"/>
      <c r="HMZ41" s="191"/>
      <c r="HNB41" s="191"/>
      <c r="HNC41" s="191"/>
      <c r="HND41" s="191"/>
      <c r="HNF41" s="191"/>
      <c r="HNG41" s="191"/>
      <c r="HNH41" s="191"/>
      <c r="HNJ41" s="191"/>
      <c r="HNK41" s="191"/>
      <c r="HNL41" s="191"/>
      <c r="HNN41" s="191"/>
      <c r="HNO41" s="191"/>
      <c r="HNP41" s="191"/>
      <c r="HNR41" s="191"/>
      <c r="HNS41" s="191"/>
      <c r="HNT41" s="191"/>
      <c r="HNV41" s="191"/>
      <c r="HNW41" s="191"/>
      <c r="HNX41" s="191"/>
      <c r="HNZ41" s="191"/>
      <c r="HOA41" s="191"/>
      <c r="HOB41" s="191"/>
      <c r="HOD41" s="191"/>
      <c r="HOE41" s="191"/>
      <c r="HOF41" s="191"/>
      <c r="HOH41" s="191"/>
      <c r="HOI41" s="191"/>
      <c r="HOJ41" s="191"/>
      <c r="HOL41" s="191"/>
      <c r="HOM41" s="191"/>
      <c r="HON41" s="191"/>
      <c r="HOP41" s="191"/>
      <c r="HOQ41" s="191"/>
      <c r="HOR41" s="191"/>
      <c r="HOT41" s="191"/>
      <c r="HOU41" s="191"/>
      <c r="HOV41" s="191"/>
      <c r="HOX41" s="191"/>
      <c r="HOY41" s="191"/>
      <c r="HOZ41" s="191"/>
      <c r="HPB41" s="191"/>
      <c r="HPC41" s="191"/>
      <c r="HPD41" s="191"/>
      <c r="HPF41" s="191"/>
      <c r="HPG41" s="191"/>
      <c r="HPH41" s="191"/>
      <c r="HPJ41" s="191"/>
      <c r="HPK41" s="191"/>
      <c r="HPL41" s="191"/>
      <c r="HPN41" s="191"/>
      <c r="HPO41" s="191"/>
      <c r="HPP41" s="191"/>
      <c r="HPR41" s="191"/>
      <c r="HPS41" s="191"/>
      <c r="HPT41" s="191"/>
      <c r="HPV41" s="191"/>
      <c r="HPW41" s="191"/>
      <c r="HPX41" s="191"/>
      <c r="HPZ41" s="191"/>
      <c r="HQA41" s="191"/>
      <c r="HQB41" s="191"/>
      <c r="HQD41" s="191"/>
      <c r="HQE41" s="191"/>
      <c r="HQF41" s="191"/>
      <c r="HQH41" s="191"/>
      <c r="HQI41" s="191"/>
      <c r="HQJ41" s="191"/>
      <c r="HQL41" s="191"/>
      <c r="HQM41" s="191"/>
      <c r="HQN41" s="191"/>
      <c r="HQP41" s="191"/>
      <c r="HQQ41" s="191"/>
      <c r="HQR41" s="191"/>
      <c r="HQT41" s="191"/>
      <c r="HQU41" s="191"/>
      <c r="HQV41" s="191"/>
      <c r="HQX41" s="191"/>
      <c r="HQY41" s="191"/>
      <c r="HQZ41" s="191"/>
      <c r="HRB41" s="191"/>
      <c r="HRC41" s="191"/>
      <c r="HRD41" s="191"/>
      <c r="HRF41" s="191"/>
      <c r="HRG41" s="191"/>
      <c r="HRH41" s="191"/>
      <c r="HRJ41" s="191"/>
      <c r="HRK41" s="191"/>
      <c r="HRL41" s="191"/>
      <c r="HRN41" s="191"/>
      <c r="HRO41" s="191"/>
      <c r="HRP41" s="191"/>
      <c r="HRR41" s="191"/>
      <c r="HRS41" s="191"/>
      <c r="HRT41" s="191"/>
      <c r="HRV41" s="191"/>
      <c r="HRW41" s="191"/>
      <c r="HRX41" s="191"/>
      <c r="HRZ41" s="191"/>
      <c r="HSA41" s="191"/>
      <c r="HSB41" s="191"/>
      <c r="HSD41" s="191"/>
      <c r="HSE41" s="191"/>
      <c r="HSF41" s="191"/>
      <c r="HSH41" s="191"/>
      <c r="HSI41" s="191"/>
      <c r="HSJ41" s="191"/>
      <c r="HSL41" s="191"/>
      <c r="HSM41" s="191"/>
      <c r="HSN41" s="191"/>
      <c r="HSP41" s="191"/>
      <c r="HSQ41" s="191"/>
      <c r="HSR41" s="191"/>
      <c r="HST41" s="191"/>
      <c r="HSU41" s="191"/>
      <c r="HSV41" s="191"/>
      <c r="HSX41" s="191"/>
      <c r="HSY41" s="191"/>
      <c r="HSZ41" s="191"/>
      <c r="HTB41" s="191"/>
      <c r="HTC41" s="191"/>
      <c r="HTD41" s="191"/>
      <c r="HTF41" s="191"/>
      <c r="HTG41" s="191"/>
      <c r="HTH41" s="191"/>
      <c r="HTJ41" s="191"/>
      <c r="HTK41" s="191"/>
      <c r="HTL41" s="191"/>
      <c r="HTN41" s="191"/>
      <c r="HTO41" s="191"/>
      <c r="HTP41" s="191"/>
      <c r="HTR41" s="191"/>
      <c r="HTS41" s="191"/>
      <c r="HTT41" s="191"/>
      <c r="HTV41" s="191"/>
      <c r="HTW41" s="191"/>
      <c r="HTX41" s="191"/>
      <c r="HTZ41" s="191"/>
      <c r="HUA41" s="191"/>
      <c r="HUB41" s="191"/>
      <c r="HUD41" s="191"/>
      <c r="HUE41" s="191"/>
      <c r="HUF41" s="191"/>
      <c r="HUH41" s="191"/>
      <c r="HUI41" s="191"/>
      <c r="HUJ41" s="191"/>
      <c r="HUL41" s="191"/>
      <c r="HUM41" s="191"/>
      <c r="HUN41" s="191"/>
      <c r="HUP41" s="191"/>
      <c r="HUQ41" s="191"/>
      <c r="HUR41" s="191"/>
      <c r="HUT41" s="191"/>
      <c r="HUU41" s="191"/>
      <c r="HUV41" s="191"/>
      <c r="HUX41" s="191"/>
      <c r="HUY41" s="191"/>
      <c r="HUZ41" s="191"/>
      <c r="HVB41" s="191"/>
      <c r="HVC41" s="191"/>
      <c r="HVD41" s="191"/>
      <c r="HVF41" s="191"/>
      <c r="HVG41" s="191"/>
      <c r="HVH41" s="191"/>
      <c r="HVJ41" s="191"/>
      <c r="HVK41" s="191"/>
      <c r="HVL41" s="191"/>
      <c r="HVN41" s="191"/>
      <c r="HVO41" s="191"/>
      <c r="HVP41" s="191"/>
      <c r="HVR41" s="191"/>
      <c r="HVS41" s="191"/>
      <c r="HVT41" s="191"/>
      <c r="HVV41" s="191"/>
      <c r="HVW41" s="191"/>
      <c r="HVX41" s="191"/>
      <c r="HVZ41" s="191"/>
      <c r="HWA41" s="191"/>
      <c r="HWB41" s="191"/>
      <c r="HWD41" s="191"/>
      <c r="HWE41" s="191"/>
      <c r="HWF41" s="191"/>
      <c r="HWH41" s="191"/>
      <c r="HWI41" s="191"/>
      <c r="HWJ41" s="191"/>
      <c r="HWL41" s="191"/>
      <c r="HWM41" s="191"/>
      <c r="HWN41" s="191"/>
      <c r="HWP41" s="191"/>
      <c r="HWQ41" s="191"/>
      <c r="HWR41" s="191"/>
      <c r="HWT41" s="191"/>
      <c r="HWU41" s="191"/>
      <c r="HWV41" s="191"/>
      <c r="HWX41" s="191"/>
      <c r="HWY41" s="191"/>
      <c r="HWZ41" s="191"/>
      <c r="HXB41" s="191"/>
      <c r="HXC41" s="191"/>
      <c r="HXD41" s="191"/>
      <c r="HXF41" s="191"/>
      <c r="HXG41" s="191"/>
      <c r="HXH41" s="191"/>
      <c r="HXJ41" s="191"/>
      <c r="HXK41" s="191"/>
      <c r="HXL41" s="191"/>
      <c r="HXN41" s="191"/>
      <c r="HXO41" s="191"/>
      <c r="HXP41" s="191"/>
      <c r="HXR41" s="191"/>
      <c r="HXS41" s="191"/>
      <c r="HXT41" s="191"/>
      <c r="HXV41" s="191"/>
      <c r="HXW41" s="191"/>
      <c r="HXX41" s="191"/>
      <c r="HXZ41" s="191"/>
      <c r="HYA41" s="191"/>
      <c r="HYB41" s="191"/>
      <c r="HYD41" s="191"/>
      <c r="HYE41" s="191"/>
      <c r="HYF41" s="191"/>
      <c r="HYH41" s="191"/>
      <c r="HYI41" s="191"/>
      <c r="HYJ41" s="191"/>
      <c r="HYL41" s="191"/>
      <c r="HYM41" s="191"/>
      <c r="HYN41" s="191"/>
      <c r="HYP41" s="191"/>
      <c r="HYQ41" s="191"/>
      <c r="HYR41" s="191"/>
      <c r="HYT41" s="191"/>
      <c r="HYU41" s="191"/>
      <c r="HYV41" s="191"/>
      <c r="HYX41" s="191"/>
      <c r="HYY41" s="191"/>
      <c r="HYZ41" s="191"/>
      <c r="HZB41" s="191"/>
      <c r="HZC41" s="191"/>
      <c r="HZD41" s="191"/>
      <c r="HZF41" s="191"/>
      <c r="HZG41" s="191"/>
      <c r="HZH41" s="191"/>
      <c r="HZJ41" s="191"/>
      <c r="HZK41" s="191"/>
      <c r="HZL41" s="191"/>
      <c r="HZN41" s="191"/>
      <c r="HZO41" s="191"/>
      <c r="HZP41" s="191"/>
      <c r="HZR41" s="191"/>
      <c r="HZS41" s="191"/>
      <c r="HZT41" s="191"/>
      <c r="HZV41" s="191"/>
      <c r="HZW41" s="191"/>
      <c r="HZX41" s="191"/>
      <c r="HZZ41" s="191"/>
      <c r="IAA41" s="191"/>
      <c r="IAB41" s="191"/>
      <c r="IAD41" s="191"/>
      <c r="IAE41" s="191"/>
      <c r="IAF41" s="191"/>
      <c r="IAH41" s="191"/>
      <c r="IAI41" s="191"/>
      <c r="IAJ41" s="191"/>
      <c r="IAL41" s="191"/>
      <c r="IAM41" s="191"/>
      <c r="IAN41" s="191"/>
      <c r="IAP41" s="191"/>
      <c r="IAQ41" s="191"/>
      <c r="IAR41" s="191"/>
      <c r="IAT41" s="191"/>
      <c r="IAU41" s="191"/>
      <c r="IAV41" s="191"/>
      <c r="IAX41" s="191"/>
      <c r="IAY41" s="191"/>
      <c r="IAZ41" s="191"/>
      <c r="IBB41" s="191"/>
      <c r="IBC41" s="191"/>
      <c r="IBD41" s="191"/>
      <c r="IBF41" s="191"/>
      <c r="IBG41" s="191"/>
      <c r="IBH41" s="191"/>
      <c r="IBJ41" s="191"/>
      <c r="IBK41" s="191"/>
      <c r="IBL41" s="191"/>
      <c r="IBN41" s="191"/>
      <c r="IBO41" s="191"/>
      <c r="IBP41" s="191"/>
      <c r="IBR41" s="191"/>
      <c r="IBS41" s="191"/>
      <c r="IBT41" s="191"/>
      <c r="IBV41" s="191"/>
      <c r="IBW41" s="191"/>
      <c r="IBX41" s="191"/>
      <c r="IBZ41" s="191"/>
      <c r="ICA41" s="191"/>
      <c r="ICB41" s="191"/>
      <c r="ICD41" s="191"/>
      <c r="ICE41" s="191"/>
      <c r="ICF41" s="191"/>
      <c r="ICH41" s="191"/>
      <c r="ICI41" s="191"/>
      <c r="ICJ41" s="191"/>
      <c r="ICL41" s="191"/>
      <c r="ICM41" s="191"/>
      <c r="ICN41" s="191"/>
      <c r="ICP41" s="191"/>
      <c r="ICQ41" s="191"/>
      <c r="ICR41" s="191"/>
      <c r="ICT41" s="191"/>
      <c r="ICU41" s="191"/>
      <c r="ICV41" s="191"/>
      <c r="ICX41" s="191"/>
      <c r="ICY41" s="191"/>
      <c r="ICZ41" s="191"/>
      <c r="IDB41" s="191"/>
      <c r="IDC41" s="191"/>
      <c r="IDD41" s="191"/>
      <c r="IDF41" s="191"/>
      <c r="IDG41" s="191"/>
      <c r="IDH41" s="191"/>
      <c r="IDJ41" s="191"/>
      <c r="IDK41" s="191"/>
      <c r="IDL41" s="191"/>
      <c r="IDN41" s="191"/>
      <c r="IDO41" s="191"/>
      <c r="IDP41" s="191"/>
      <c r="IDR41" s="191"/>
      <c r="IDS41" s="191"/>
      <c r="IDT41" s="191"/>
      <c r="IDV41" s="191"/>
      <c r="IDW41" s="191"/>
      <c r="IDX41" s="191"/>
      <c r="IDZ41" s="191"/>
      <c r="IEA41" s="191"/>
      <c r="IEB41" s="191"/>
      <c r="IED41" s="191"/>
      <c r="IEE41" s="191"/>
      <c r="IEF41" s="191"/>
      <c r="IEH41" s="191"/>
      <c r="IEI41" s="191"/>
      <c r="IEJ41" s="191"/>
      <c r="IEL41" s="191"/>
      <c r="IEM41" s="191"/>
      <c r="IEN41" s="191"/>
      <c r="IEP41" s="191"/>
      <c r="IEQ41" s="191"/>
      <c r="IER41" s="191"/>
      <c r="IET41" s="191"/>
      <c r="IEU41" s="191"/>
      <c r="IEV41" s="191"/>
      <c r="IEX41" s="191"/>
      <c r="IEY41" s="191"/>
      <c r="IEZ41" s="191"/>
      <c r="IFB41" s="191"/>
      <c r="IFC41" s="191"/>
      <c r="IFD41" s="191"/>
      <c r="IFF41" s="191"/>
      <c r="IFG41" s="191"/>
      <c r="IFH41" s="191"/>
      <c r="IFJ41" s="191"/>
      <c r="IFK41" s="191"/>
      <c r="IFL41" s="191"/>
      <c r="IFN41" s="191"/>
      <c r="IFO41" s="191"/>
      <c r="IFP41" s="191"/>
      <c r="IFR41" s="191"/>
      <c r="IFS41" s="191"/>
      <c r="IFT41" s="191"/>
      <c r="IFV41" s="191"/>
      <c r="IFW41" s="191"/>
      <c r="IFX41" s="191"/>
      <c r="IFZ41" s="191"/>
      <c r="IGA41" s="191"/>
      <c r="IGB41" s="191"/>
      <c r="IGD41" s="191"/>
      <c r="IGE41" s="191"/>
      <c r="IGF41" s="191"/>
      <c r="IGH41" s="191"/>
      <c r="IGI41" s="191"/>
      <c r="IGJ41" s="191"/>
      <c r="IGL41" s="191"/>
      <c r="IGM41" s="191"/>
      <c r="IGN41" s="191"/>
      <c r="IGP41" s="191"/>
      <c r="IGQ41" s="191"/>
      <c r="IGR41" s="191"/>
      <c r="IGT41" s="191"/>
      <c r="IGU41" s="191"/>
      <c r="IGV41" s="191"/>
      <c r="IGX41" s="191"/>
      <c r="IGY41" s="191"/>
      <c r="IGZ41" s="191"/>
      <c r="IHB41" s="191"/>
      <c r="IHC41" s="191"/>
      <c r="IHD41" s="191"/>
      <c r="IHF41" s="191"/>
      <c r="IHG41" s="191"/>
      <c r="IHH41" s="191"/>
      <c r="IHJ41" s="191"/>
      <c r="IHK41" s="191"/>
      <c r="IHL41" s="191"/>
      <c r="IHN41" s="191"/>
      <c r="IHO41" s="191"/>
      <c r="IHP41" s="191"/>
      <c r="IHR41" s="191"/>
      <c r="IHS41" s="191"/>
      <c r="IHT41" s="191"/>
      <c r="IHV41" s="191"/>
      <c r="IHW41" s="191"/>
      <c r="IHX41" s="191"/>
      <c r="IHZ41" s="191"/>
      <c r="IIA41" s="191"/>
      <c r="IIB41" s="191"/>
      <c r="IID41" s="191"/>
      <c r="IIE41" s="191"/>
      <c r="IIF41" s="191"/>
      <c r="IIH41" s="191"/>
      <c r="III41" s="191"/>
      <c r="IIJ41" s="191"/>
      <c r="IIL41" s="191"/>
      <c r="IIM41" s="191"/>
      <c r="IIN41" s="191"/>
      <c r="IIP41" s="191"/>
      <c r="IIQ41" s="191"/>
      <c r="IIR41" s="191"/>
      <c r="IIT41" s="191"/>
      <c r="IIU41" s="191"/>
      <c r="IIV41" s="191"/>
      <c r="IIX41" s="191"/>
      <c r="IIY41" s="191"/>
      <c r="IIZ41" s="191"/>
      <c r="IJB41" s="191"/>
      <c r="IJC41" s="191"/>
      <c r="IJD41" s="191"/>
      <c r="IJF41" s="191"/>
      <c r="IJG41" s="191"/>
      <c r="IJH41" s="191"/>
      <c r="IJJ41" s="191"/>
      <c r="IJK41" s="191"/>
      <c r="IJL41" s="191"/>
      <c r="IJN41" s="191"/>
      <c r="IJO41" s="191"/>
      <c r="IJP41" s="191"/>
      <c r="IJR41" s="191"/>
      <c r="IJS41" s="191"/>
      <c r="IJT41" s="191"/>
      <c r="IJV41" s="191"/>
      <c r="IJW41" s="191"/>
      <c r="IJX41" s="191"/>
      <c r="IJZ41" s="191"/>
      <c r="IKA41" s="191"/>
      <c r="IKB41" s="191"/>
      <c r="IKD41" s="191"/>
      <c r="IKE41" s="191"/>
      <c r="IKF41" s="191"/>
      <c r="IKH41" s="191"/>
      <c r="IKI41" s="191"/>
      <c r="IKJ41" s="191"/>
      <c r="IKL41" s="191"/>
      <c r="IKM41" s="191"/>
      <c r="IKN41" s="191"/>
      <c r="IKP41" s="191"/>
      <c r="IKQ41" s="191"/>
      <c r="IKR41" s="191"/>
      <c r="IKT41" s="191"/>
      <c r="IKU41" s="191"/>
      <c r="IKV41" s="191"/>
      <c r="IKX41" s="191"/>
      <c r="IKY41" s="191"/>
      <c r="IKZ41" s="191"/>
      <c r="ILB41" s="191"/>
      <c r="ILC41" s="191"/>
      <c r="ILD41" s="191"/>
      <c r="ILF41" s="191"/>
      <c r="ILG41" s="191"/>
      <c r="ILH41" s="191"/>
      <c r="ILJ41" s="191"/>
      <c r="ILK41" s="191"/>
      <c r="ILL41" s="191"/>
      <c r="ILN41" s="191"/>
      <c r="ILO41" s="191"/>
      <c r="ILP41" s="191"/>
      <c r="ILR41" s="191"/>
      <c r="ILS41" s="191"/>
      <c r="ILT41" s="191"/>
      <c r="ILV41" s="191"/>
      <c r="ILW41" s="191"/>
      <c r="ILX41" s="191"/>
      <c r="ILZ41" s="191"/>
      <c r="IMA41" s="191"/>
      <c r="IMB41" s="191"/>
      <c r="IMD41" s="191"/>
      <c r="IME41" s="191"/>
      <c r="IMF41" s="191"/>
      <c r="IMH41" s="191"/>
      <c r="IMI41" s="191"/>
      <c r="IMJ41" s="191"/>
      <c r="IML41" s="191"/>
      <c r="IMM41" s="191"/>
      <c r="IMN41" s="191"/>
      <c r="IMP41" s="191"/>
      <c r="IMQ41" s="191"/>
      <c r="IMR41" s="191"/>
      <c r="IMT41" s="191"/>
      <c r="IMU41" s="191"/>
      <c r="IMV41" s="191"/>
      <c r="IMX41" s="191"/>
      <c r="IMY41" s="191"/>
      <c r="IMZ41" s="191"/>
      <c r="INB41" s="191"/>
      <c r="INC41" s="191"/>
      <c r="IND41" s="191"/>
      <c r="INF41" s="191"/>
      <c r="ING41" s="191"/>
      <c r="INH41" s="191"/>
      <c r="INJ41" s="191"/>
      <c r="INK41" s="191"/>
      <c r="INL41" s="191"/>
      <c r="INN41" s="191"/>
      <c r="INO41" s="191"/>
      <c r="INP41" s="191"/>
      <c r="INR41" s="191"/>
      <c r="INS41" s="191"/>
      <c r="INT41" s="191"/>
      <c r="INV41" s="191"/>
      <c r="INW41" s="191"/>
      <c r="INX41" s="191"/>
      <c r="INZ41" s="191"/>
      <c r="IOA41" s="191"/>
      <c r="IOB41" s="191"/>
      <c r="IOD41" s="191"/>
      <c r="IOE41" s="191"/>
      <c r="IOF41" s="191"/>
      <c r="IOH41" s="191"/>
      <c r="IOI41" s="191"/>
      <c r="IOJ41" s="191"/>
      <c r="IOL41" s="191"/>
      <c r="IOM41" s="191"/>
      <c r="ION41" s="191"/>
      <c r="IOP41" s="191"/>
      <c r="IOQ41" s="191"/>
      <c r="IOR41" s="191"/>
      <c r="IOT41" s="191"/>
      <c r="IOU41" s="191"/>
      <c r="IOV41" s="191"/>
      <c r="IOX41" s="191"/>
      <c r="IOY41" s="191"/>
      <c r="IOZ41" s="191"/>
      <c r="IPB41" s="191"/>
      <c r="IPC41" s="191"/>
      <c r="IPD41" s="191"/>
      <c r="IPF41" s="191"/>
      <c r="IPG41" s="191"/>
      <c r="IPH41" s="191"/>
      <c r="IPJ41" s="191"/>
      <c r="IPK41" s="191"/>
      <c r="IPL41" s="191"/>
      <c r="IPN41" s="191"/>
      <c r="IPO41" s="191"/>
      <c r="IPP41" s="191"/>
      <c r="IPR41" s="191"/>
      <c r="IPS41" s="191"/>
      <c r="IPT41" s="191"/>
      <c r="IPV41" s="191"/>
      <c r="IPW41" s="191"/>
      <c r="IPX41" s="191"/>
      <c r="IPZ41" s="191"/>
      <c r="IQA41" s="191"/>
      <c r="IQB41" s="191"/>
      <c r="IQD41" s="191"/>
      <c r="IQE41" s="191"/>
      <c r="IQF41" s="191"/>
      <c r="IQH41" s="191"/>
      <c r="IQI41" s="191"/>
      <c r="IQJ41" s="191"/>
      <c r="IQL41" s="191"/>
      <c r="IQM41" s="191"/>
      <c r="IQN41" s="191"/>
      <c r="IQP41" s="191"/>
      <c r="IQQ41" s="191"/>
      <c r="IQR41" s="191"/>
      <c r="IQT41" s="191"/>
      <c r="IQU41" s="191"/>
      <c r="IQV41" s="191"/>
      <c r="IQX41" s="191"/>
      <c r="IQY41" s="191"/>
      <c r="IQZ41" s="191"/>
      <c r="IRB41" s="191"/>
      <c r="IRC41" s="191"/>
      <c r="IRD41" s="191"/>
      <c r="IRF41" s="191"/>
      <c r="IRG41" s="191"/>
      <c r="IRH41" s="191"/>
      <c r="IRJ41" s="191"/>
      <c r="IRK41" s="191"/>
      <c r="IRL41" s="191"/>
      <c r="IRN41" s="191"/>
      <c r="IRO41" s="191"/>
      <c r="IRP41" s="191"/>
      <c r="IRR41" s="191"/>
      <c r="IRS41" s="191"/>
      <c r="IRT41" s="191"/>
      <c r="IRV41" s="191"/>
      <c r="IRW41" s="191"/>
      <c r="IRX41" s="191"/>
      <c r="IRZ41" s="191"/>
      <c r="ISA41" s="191"/>
      <c r="ISB41" s="191"/>
      <c r="ISD41" s="191"/>
      <c r="ISE41" s="191"/>
      <c r="ISF41" s="191"/>
      <c r="ISH41" s="191"/>
      <c r="ISI41" s="191"/>
      <c r="ISJ41" s="191"/>
      <c r="ISL41" s="191"/>
      <c r="ISM41" s="191"/>
      <c r="ISN41" s="191"/>
      <c r="ISP41" s="191"/>
      <c r="ISQ41" s="191"/>
      <c r="ISR41" s="191"/>
      <c r="IST41" s="191"/>
      <c r="ISU41" s="191"/>
      <c r="ISV41" s="191"/>
      <c r="ISX41" s="191"/>
      <c r="ISY41" s="191"/>
      <c r="ISZ41" s="191"/>
      <c r="ITB41" s="191"/>
      <c r="ITC41" s="191"/>
      <c r="ITD41" s="191"/>
      <c r="ITF41" s="191"/>
      <c r="ITG41" s="191"/>
      <c r="ITH41" s="191"/>
      <c r="ITJ41" s="191"/>
      <c r="ITK41" s="191"/>
      <c r="ITL41" s="191"/>
      <c r="ITN41" s="191"/>
      <c r="ITO41" s="191"/>
      <c r="ITP41" s="191"/>
      <c r="ITR41" s="191"/>
      <c r="ITS41" s="191"/>
      <c r="ITT41" s="191"/>
      <c r="ITV41" s="191"/>
      <c r="ITW41" s="191"/>
      <c r="ITX41" s="191"/>
      <c r="ITZ41" s="191"/>
      <c r="IUA41" s="191"/>
      <c r="IUB41" s="191"/>
      <c r="IUD41" s="191"/>
      <c r="IUE41" s="191"/>
      <c r="IUF41" s="191"/>
      <c r="IUH41" s="191"/>
      <c r="IUI41" s="191"/>
      <c r="IUJ41" s="191"/>
      <c r="IUL41" s="191"/>
      <c r="IUM41" s="191"/>
      <c r="IUN41" s="191"/>
      <c r="IUP41" s="191"/>
      <c r="IUQ41" s="191"/>
      <c r="IUR41" s="191"/>
      <c r="IUT41" s="191"/>
      <c r="IUU41" s="191"/>
      <c r="IUV41" s="191"/>
      <c r="IUX41" s="191"/>
      <c r="IUY41" s="191"/>
      <c r="IUZ41" s="191"/>
      <c r="IVB41" s="191"/>
      <c r="IVC41" s="191"/>
      <c r="IVD41" s="191"/>
      <c r="IVF41" s="191"/>
      <c r="IVG41" s="191"/>
      <c r="IVH41" s="191"/>
      <c r="IVJ41" s="191"/>
      <c r="IVK41" s="191"/>
      <c r="IVL41" s="191"/>
      <c r="IVN41" s="191"/>
      <c r="IVO41" s="191"/>
      <c r="IVP41" s="191"/>
      <c r="IVR41" s="191"/>
      <c r="IVS41" s="191"/>
      <c r="IVT41" s="191"/>
      <c r="IVV41" s="191"/>
      <c r="IVW41" s="191"/>
      <c r="IVX41" s="191"/>
      <c r="IVZ41" s="191"/>
      <c r="IWA41" s="191"/>
      <c r="IWB41" s="191"/>
      <c r="IWD41" s="191"/>
      <c r="IWE41" s="191"/>
      <c r="IWF41" s="191"/>
      <c r="IWH41" s="191"/>
      <c r="IWI41" s="191"/>
      <c r="IWJ41" s="191"/>
      <c r="IWL41" s="191"/>
      <c r="IWM41" s="191"/>
      <c r="IWN41" s="191"/>
      <c r="IWP41" s="191"/>
      <c r="IWQ41" s="191"/>
      <c r="IWR41" s="191"/>
      <c r="IWT41" s="191"/>
      <c r="IWU41" s="191"/>
      <c r="IWV41" s="191"/>
      <c r="IWX41" s="191"/>
      <c r="IWY41" s="191"/>
      <c r="IWZ41" s="191"/>
      <c r="IXB41" s="191"/>
      <c r="IXC41" s="191"/>
      <c r="IXD41" s="191"/>
      <c r="IXF41" s="191"/>
      <c r="IXG41" s="191"/>
      <c r="IXH41" s="191"/>
      <c r="IXJ41" s="191"/>
      <c r="IXK41" s="191"/>
      <c r="IXL41" s="191"/>
      <c r="IXN41" s="191"/>
      <c r="IXO41" s="191"/>
      <c r="IXP41" s="191"/>
      <c r="IXR41" s="191"/>
      <c r="IXS41" s="191"/>
      <c r="IXT41" s="191"/>
      <c r="IXV41" s="191"/>
      <c r="IXW41" s="191"/>
      <c r="IXX41" s="191"/>
      <c r="IXZ41" s="191"/>
      <c r="IYA41" s="191"/>
      <c r="IYB41" s="191"/>
      <c r="IYD41" s="191"/>
      <c r="IYE41" s="191"/>
      <c r="IYF41" s="191"/>
      <c r="IYH41" s="191"/>
      <c r="IYI41" s="191"/>
      <c r="IYJ41" s="191"/>
      <c r="IYL41" s="191"/>
      <c r="IYM41" s="191"/>
      <c r="IYN41" s="191"/>
      <c r="IYP41" s="191"/>
      <c r="IYQ41" s="191"/>
      <c r="IYR41" s="191"/>
      <c r="IYT41" s="191"/>
      <c r="IYU41" s="191"/>
      <c r="IYV41" s="191"/>
      <c r="IYX41" s="191"/>
      <c r="IYY41" s="191"/>
      <c r="IYZ41" s="191"/>
      <c r="IZB41" s="191"/>
      <c r="IZC41" s="191"/>
      <c r="IZD41" s="191"/>
      <c r="IZF41" s="191"/>
      <c r="IZG41" s="191"/>
      <c r="IZH41" s="191"/>
      <c r="IZJ41" s="191"/>
      <c r="IZK41" s="191"/>
      <c r="IZL41" s="191"/>
      <c r="IZN41" s="191"/>
      <c r="IZO41" s="191"/>
      <c r="IZP41" s="191"/>
      <c r="IZR41" s="191"/>
      <c r="IZS41" s="191"/>
      <c r="IZT41" s="191"/>
      <c r="IZV41" s="191"/>
      <c r="IZW41" s="191"/>
      <c r="IZX41" s="191"/>
      <c r="IZZ41" s="191"/>
      <c r="JAA41" s="191"/>
      <c r="JAB41" s="191"/>
      <c r="JAD41" s="191"/>
      <c r="JAE41" s="191"/>
      <c r="JAF41" s="191"/>
      <c r="JAH41" s="191"/>
      <c r="JAI41" s="191"/>
      <c r="JAJ41" s="191"/>
      <c r="JAL41" s="191"/>
      <c r="JAM41" s="191"/>
      <c r="JAN41" s="191"/>
      <c r="JAP41" s="191"/>
      <c r="JAQ41" s="191"/>
      <c r="JAR41" s="191"/>
      <c r="JAT41" s="191"/>
      <c r="JAU41" s="191"/>
      <c r="JAV41" s="191"/>
      <c r="JAX41" s="191"/>
      <c r="JAY41" s="191"/>
      <c r="JAZ41" s="191"/>
      <c r="JBB41" s="191"/>
      <c r="JBC41" s="191"/>
      <c r="JBD41" s="191"/>
      <c r="JBF41" s="191"/>
      <c r="JBG41" s="191"/>
      <c r="JBH41" s="191"/>
      <c r="JBJ41" s="191"/>
      <c r="JBK41" s="191"/>
      <c r="JBL41" s="191"/>
      <c r="JBN41" s="191"/>
      <c r="JBO41" s="191"/>
      <c r="JBP41" s="191"/>
      <c r="JBR41" s="191"/>
      <c r="JBS41" s="191"/>
      <c r="JBT41" s="191"/>
      <c r="JBV41" s="191"/>
      <c r="JBW41" s="191"/>
      <c r="JBX41" s="191"/>
      <c r="JBZ41" s="191"/>
      <c r="JCA41" s="191"/>
      <c r="JCB41" s="191"/>
      <c r="JCD41" s="191"/>
      <c r="JCE41" s="191"/>
      <c r="JCF41" s="191"/>
      <c r="JCH41" s="191"/>
      <c r="JCI41" s="191"/>
      <c r="JCJ41" s="191"/>
      <c r="JCL41" s="191"/>
      <c r="JCM41" s="191"/>
      <c r="JCN41" s="191"/>
      <c r="JCP41" s="191"/>
      <c r="JCQ41" s="191"/>
      <c r="JCR41" s="191"/>
      <c r="JCT41" s="191"/>
      <c r="JCU41" s="191"/>
      <c r="JCV41" s="191"/>
      <c r="JCX41" s="191"/>
      <c r="JCY41" s="191"/>
      <c r="JCZ41" s="191"/>
      <c r="JDB41" s="191"/>
      <c r="JDC41" s="191"/>
      <c r="JDD41" s="191"/>
      <c r="JDF41" s="191"/>
      <c r="JDG41" s="191"/>
      <c r="JDH41" s="191"/>
      <c r="JDJ41" s="191"/>
      <c r="JDK41" s="191"/>
      <c r="JDL41" s="191"/>
      <c r="JDN41" s="191"/>
      <c r="JDO41" s="191"/>
      <c r="JDP41" s="191"/>
      <c r="JDR41" s="191"/>
      <c r="JDS41" s="191"/>
      <c r="JDT41" s="191"/>
      <c r="JDV41" s="191"/>
      <c r="JDW41" s="191"/>
      <c r="JDX41" s="191"/>
      <c r="JDZ41" s="191"/>
      <c r="JEA41" s="191"/>
      <c r="JEB41" s="191"/>
      <c r="JED41" s="191"/>
      <c r="JEE41" s="191"/>
      <c r="JEF41" s="191"/>
      <c r="JEH41" s="191"/>
      <c r="JEI41" s="191"/>
      <c r="JEJ41" s="191"/>
      <c r="JEL41" s="191"/>
      <c r="JEM41" s="191"/>
      <c r="JEN41" s="191"/>
      <c r="JEP41" s="191"/>
      <c r="JEQ41" s="191"/>
      <c r="JER41" s="191"/>
      <c r="JET41" s="191"/>
      <c r="JEU41" s="191"/>
      <c r="JEV41" s="191"/>
      <c r="JEX41" s="191"/>
      <c r="JEY41" s="191"/>
      <c r="JEZ41" s="191"/>
      <c r="JFB41" s="191"/>
      <c r="JFC41" s="191"/>
      <c r="JFD41" s="191"/>
      <c r="JFF41" s="191"/>
      <c r="JFG41" s="191"/>
      <c r="JFH41" s="191"/>
      <c r="JFJ41" s="191"/>
      <c r="JFK41" s="191"/>
      <c r="JFL41" s="191"/>
      <c r="JFN41" s="191"/>
      <c r="JFO41" s="191"/>
      <c r="JFP41" s="191"/>
      <c r="JFR41" s="191"/>
      <c r="JFS41" s="191"/>
      <c r="JFT41" s="191"/>
      <c r="JFV41" s="191"/>
      <c r="JFW41" s="191"/>
      <c r="JFX41" s="191"/>
      <c r="JFZ41" s="191"/>
      <c r="JGA41" s="191"/>
      <c r="JGB41" s="191"/>
      <c r="JGD41" s="191"/>
      <c r="JGE41" s="191"/>
      <c r="JGF41" s="191"/>
      <c r="JGH41" s="191"/>
      <c r="JGI41" s="191"/>
      <c r="JGJ41" s="191"/>
      <c r="JGL41" s="191"/>
      <c r="JGM41" s="191"/>
      <c r="JGN41" s="191"/>
      <c r="JGP41" s="191"/>
      <c r="JGQ41" s="191"/>
      <c r="JGR41" s="191"/>
      <c r="JGT41" s="191"/>
      <c r="JGU41" s="191"/>
      <c r="JGV41" s="191"/>
      <c r="JGX41" s="191"/>
      <c r="JGY41" s="191"/>
      <c r="JGZ41" s="191"/>
      <c r="JHB41" s="191"/>
      <c r="JHC41" s="191"/>
      <c r="JHD41" s="191"/>
      <c r="JHF41" s="191"/>
      <c r="JHG41" s="191"/>
      <c r="JHH41" s="191"/>
      <c r="JHJ41" s="191"/>
      <c r="JHK41" s="191"/>
      <c r="JHL41" s="191"/>
      <c r="JHN41" s="191"/>
      <c r="JHO41" s="191"/>
      <c r="JHP41" s="191"/>
      <c r="JHR41" s="191"/>
      <c r="JHS41" s="191"/>
      <c r="JHT41" s="191"/>
      <c r="JHV41" s="191"/>
      <c r="JHW41" s="191"/>
      <c r="JHX41" s="191"/>
      <c r="JHZ41" s="191"/>
      <c r="JIA41" s="191"/>
      <c r="JIB41" s="191"/>
      <c r="JID41" s="191"/>
      <c r="JIE41" s="191"/>
      <c r="JIF41" s="191"/>
      <c r="JIH41" s="191"/>
      <c r="JII41" s="191"/>
      <c r="JIJ41" s="191"/>
      <c r="JIL41" s="191"/>
      <c r="JIM41" s="191"/>
      <c r="JIN41" s="191"/>
      <c r="JIP41" s="191"/>
      <c r="JIQ41" s="191"/>
      <c r="JIR41" s="191"/>
      <c r="JIT41" s="191"/>
      <c r="JIU41" s="191"/>
      <c r="JIV41" s="191"/>
      <c r="JIX41" s="191"/>
      <c r="JIY41" s="191"/>
      <c r="JIZ41" s="191"/>
      <c r="JJB41" s="191"/>
      <c r="JJC41" s="191"/>
      <c r="JJD41" s="191"/>
      <c r="JJF41" s="191"/>
      <c r="JJG41" s="191"/>
      <c r="JJH41" s="191"/>
      <c r="JJJ41" s="191"/>
      <c r="JJK41" s="191"/>
      <c r="JJL41" s="191"/>
      <c r="JJN41" s="191"/>
      <c r="JJO41" s="191"/>
      <c r="JJP41" s="191"/>
      <c r="JJR41" s="191"/>
      <c r="JJS41" s="191"/>
      <c r="JJT41" s="191"/>
      <c r="JJV41" s="191"/>
      <c r="JJW41" s="191"/>
      <c r="JJX41" s="191"/>
      <c r="JJZ41" s="191"/>
      <c r="JKA41" s="191"/>
      <c r="JKB41" s="191"/>
      <c r="JKD41" s="191"/>
      <c r="JKE41" s="191"/>
      <c r="JKF41" s="191"/>
      <c r="JKH41" s="191"/>
      <c r="JKI41" s="191"/>
      <c r="JKJ41" s="191"/>
      <c r="JKL41" s="191"/>
      <c r="JKM41" s="191"/>
      <c r="JKN41" s="191"/>
      <c r="JKP41" s="191"/>
      <c r="JKQ41" s="191"/>
      <c r="JKR41" s="191"/>
      <c r="JKT41" s="191"/>
      <c r="JKU41" s="191"/>
      <c r="JKV41" s="191"/>
      <c r="JKX41" s="191"/>
      <c r="JKY41" s="191"/>
      <c r="JKZ41" s="191"/>
      <c r="JLB41" s="191"/>
      <c r="JLC41" s="191"/>
      <c r="JLD41" s="191"/>
      <c r="JLF41" s="191"/>
      <c r="JLG41" s="191"/>
      <c r="JLH41" s="191"/>
      <c r="JLJ41" s="191"/>
      <c r="JLK41" s="191"/>
      <c r="JLL41" s="191"/>
      <c r="JLN41" s="191"/>
      <c r="JLO41" s="191"/>
      <c r="JLP41" s="191"/>
      <c r="JLR41" s="191"/>
      <c r="JLS41" s="191"/>
      <c r="JLT41" s="191"/>
      <c r="JLV41" s="191"/>
      <c r="JLW41" s="191"/>
      <c r="JLX41" s="191"/>
      <c r="JLZ41" s="191"/>
      <c r="JMA41" s="191"/>
      <c r="JMB41" s="191"/>
      <c r="JMD41" s="191"/>
      <c r="JME41" s="191"/>
      <c r="JMF41" s="191"/>
      <c r="JMH41" s="191"/>
      <c r="JMI41" s="191"/>
      <c r="JMJ41" s="191"/>
      <c r="JML41" s="191"/>
      <c r="JMM41" s="191"/>
      <c r="JMN41" s="191"/>
      <c r="JMP41" s="191"/>
      <c r="JMQ41" s="191"/>
      <c r="JMR41" s="191"/>
      <c r="JMT41" s="191"/>
      <c r="JMU41" s="191"/>
      <c r="JMV41" s="191"/>
      <c r="JMX41" s="191"/>
      <c r="JMY41" s="191"/>
      <c r="JMZ41" s="191"/>
      <c r="JNB41" s="191"/>
      <c r="JNC41" s="191"/>
      <c r="JND41" s="191"/>
      <c r="JNF41" s="191"/>
      <c r="JNG41" s="191"/>
      <c r="JNH41" s="191"/>
      <c r="JNJ41" s="191"/>
      <c r="JNK41" s="191"/>
      <c r="JNL41" s="191"/>
      <c r="JNN41" s="191"/>
      <c r="JNO41" s="191"/>
      <c r="JNP41" s="191"/>
      <c r="JNR41" s="191"/>
      <c r="JNS41" s="191"/>
      <c r="JNT41" s="191"/>
      <c r="JNV41" s="191"/>
      <c r="JNW41" s="191"/>
      <c r="JNX41" s="191"/>
      <c r="JNZ41" s="191"/>
      <c r="JOA41" s="191"/>
      <c r="JOB41" s="191"/>
      <c r="JOD41" s="191"/>
      <c r="JOE41" s="191"/>
      <c r="JOF41" s="191"/>
      <c r="JOH41" s="191"/>
      <c r="JOI41" s="191"/>
      <c r="JOJ41" s="191"/>
      <c r="JOL41" s="191"/>
      <c r="JOM41" s="191"/>
      <c r="JON41" s="191"/>
      <c r="JOP41" s="191"/>
      <c r="JOQ41" s="191"/>
      <c r="JOR41" s="191"/>
      <c r="JOT41" s="191"/>
      <c r="JOU41" s="191"/>
      <c r="JOV41" s="191"/>
      <c r="JOX41" s="191"/>
      <c r="JOY41" s="191"/>
      <c r="JOZ41" s="191"/>
      <c r="JPB41" s="191"/>
      <c r="JPC41" s="191"/>
      <c r="JPD41" s="191"/>
      <c r="JPF41" s="191"/>
      <c r="JPG41" s="191"/>
      <c r="JPH41" s="191"/>
      <c r="JPJ41" s="191"/>
      <c r="JPK41" s="191"/>
      <c r="JPL41" s="191"/>
      <c r="JPN41" s="191"/>
      <c r="JPO41" s="191"/>
      <c r="JPP41" s="191"/>
      <c r="JPR41" s="191"/>
      <c r="JPS41" s="191"/>
      <c r="JPT41" s="191"/>
      <c r="JPV41" s="191"/>
      <c r="JPW41" s="191"/>
      <c r="JPX41" s="191"/>
      <c r="JPZ41" s="191"/>
      <c r="JQA41" s="191"/>
      <c r="JQB41" s="191"/>
      <c r="JQD41" s="191"/>
      <c r="JQE41" s="191"/>
      <c r="JQF41" s="191"/>
      <c r="JQH41" s="191"/>
      <c r="JQI41" s="191"/>
      <c r="JQJ41" s="191"/>
      <c r="JQL41" s="191"/>
      <c r="JQM41" s="191"/>
      <c r="JQN41" s="191"/>
      <c r="JQP41" s="191"/>
      <c r="JQQ41" s="191"/>
      <c r="JQR41" s="191"/>
      <c r="JQT41" s="191"/>
      <c r="JQU41" s="191"/>
      <c r="JQV41" s="191"/>
      <c r="JQX41" s="191"/>
      <c r="JQY41" s="191"/>
      <c r="JQZ41" s="191"/>
      <c r="JRB41" s="191"/>
      <c r="JRC41" s="191"/>
      <c r="JRD41" s="191"/>
      <c r="JRF41" s="191"/>
      <c r="JRG41" s="191"/>
      <c r="JRH41" s="191"/>
      <c r="JRJ41" s="191"/>
      <c r="JRK41" s="191"/>
      <c r="JRL41" s="191"/>
      <c r="JRN41" s="191"/>
      <c r="JRO41" s="191"/>
      <c r="JRP41" s="191"/>
      <c r="JRR41" s="191"/>
      <c r="JRS41" s="191"/>
      <c r="JRT41" s="191"/>
      <c r="JRV41" s="191"/>
      <c r="JRW41" s="191"/>
      <c r="JRX41" s="191"/>
      <c r="JRZ41" s="191"/>
      <c r="JSA41" s="191"/>
      <c r="JSB41" s="191"/>
      <c r="JSD41" s="191"/>
      <c r="JSE41" s="191"/>
      <c r="JSF41" s="191"/>
      <c r="JSH41" s="191"/>
      <c r="JSI41" s="191"/>
      <c r="JSJ41" s="191"/>
      <c r="JSL41" s="191"/>
      <c r="JSM41" s="191"/>
      <c r="JSN41" s="191"/>
      <c r="JSP41" s="191"/>
      <c r="JSQ41" s="191"/>
      <c r="JSR41" s="191"/>
      <c r="JST41" s="191"/>
      <c r="JSU41" s="191"/>
      <c r="JSV41" s="191"/>
      <c r="JSX41" s="191"/>
      <c r="JSY41" s="191"/>
      <c r="JSZ41" s="191"/>
      <c r="JTB41" s="191"/>
      <c r="JTC41" s="191"/>
      <c r="JTD41" s="191"/>
      <c r="JTF41" s="191"/>
      <c r="JTG41" s="191"/>
      <c r="JTH41" s="191"/>
      <c r="JTJ41" s="191"/>
      <c r="JTK41" s="191"/>
      <c r="JTL41" s="191"/>
      <c r="JTN41" s="191"/>
      <c r="JTO41" s="191"/>
      <c r="JTP41" s="191"/>
      <c r="JTR41" s="191"/>
      <c r="JTS41" s="191"/>
      <c r="JTT41" s="191"/>
      <c r="JTV41" s="191"/>
      <c r="JTW41" s="191"/>
      <c r="JTX41" s="191"/>
      <c r="JTZ41" s="191"/>
      <c r="JUA41" s="191"/>
      <c r="JUB41" s="191"/>
      <c r="JUD41" s="191"/>
      <c r="JUE41" s="191"/>
      <c r="JUF41" s="191"/>
      <c r="JUH41" s="191"/>
      <c r="JUI41" s="191"/>
      <c r="JUJ41" s="191"/>
      <c r="JUL41" s="191"/>
      <c r="JUM41" s="191"/>
      <c r="JUN41" s="191"/>
      <c r="JUP41" s="191"/>
      <c r="JUQ41" s="191"/>
      <c r="JUR41" s="191"/>
      <c r="JUT41" s="191"/>
      <c r="JUU41" s="191"/>
      <c r="JUV41" s="191"/>
      <c r="JUX41" s="191"/>
      <c r="JUY41" s="191"/>
      <c r="JUZ41" s="191"/>
      <c r="JVB41" s="191"/>
      <c r="JVC41" s="191"/>
      <c r="JVD41" s="191"/>
      <c r="JVF41" s="191"/>
      <c r="JVG41" s="191"/>
      <c r="JVH41" s="191"/>
      <c r="JVJ41" s="191"/>
      <c r="JVK41" s="191"/>
      <c r="JVL41" s="191"/>
      <c r="JVN41" s="191"/>
      <c r="JVO41" s="191"/>
      <c r="JVP41" s="191"/>
      <c r="JVR41" s="191"/>
      <c r="JVS41" s="191"/>
      <c r="JVT41" s="191"/>
      <c r="JVV41" s="191"/>
      <c r="JVW41" s="191"/>
      <c r="JVX41" s="191"/>
      <c r="JVZ41" s="191"/>
      <c r="JWA41" s="191"/>
      <c r="JWB41" s="191"/>
      <c r="JWD41" s="191"/>
      <c r="JWE41" s="191"/>
      <c r="JWF41" s="191"/>
      <c r="JWH41" s="191"/>
      <c r="JWI41" s="191"/>
      <c r="JWJ41" s="191"/>
      <c r="JWL41" s="191"/>
      <c r="JWM41" s="191"/>
      <c r="JWN41" s="191"/>
      <c r="JWP41" s="191"/>
      <c r="JWQ41" s="191"/>
      <c r="JWR41" s="191"/>
      <c r="JWT41" s="191"/>
      <c r="JWU41" s="191"/>
      <c r="JWV41" s="191"/>
      <c r="JWX41" s="191"/>
      <c r="JWY41" s="191"/>
      <c r="JWZ41" s="191"/>
      <c r="JXB41" s="191"/>
      <c r="JXC41" s="191"/>
      <c r="JXD41" s="191"/>
      <c r="JXF41" s="191"/>
      <c r="JXG41" s="191"/>
      <c r="JXH41" s="191"/>
      <c r="JXJ41" s="191"/>
      <c r="JXK41" s="191"/>
      <c r="JXL41" s="191"/>
      <c r="JXN41" s="191"/>
      <c r="JXO41" s="191"/>
      <c r="JXP41" s="191"/>
      <c r="JXR41" s="191"/>
      <c r="JXS41" s="191"/>
      <c r="JXT41" s="191"/>
      <c r="JXV41" s="191"/>
      <c r="JXW41" s="191"/>
      <c r="JXX41" s="191"/>
      <c r="JXZ41" s="191"/>
      <c r="JYA41" s="191"/>
      <c r="JYB41" s="191"/>
      <c r="JYD41" s="191"/>
      <c r="JYE41" s="191"/>
      <c r="JYF41" s="191"/>
      <c r="JYH41" s="191"/>
      <c r="JYI41" s="191"/>
      <c r="JYJ41" s="191"/>
      <c r="JYL41" s="191"/>
      <c r="JYM41" s="191"/>
      <c r="JYN41" s="191"/>
      <c r="JYP41" s="191"/>
      <c r="JYQ41" s="191"/>
      <c r="JYR41" s="191"/>
      <c r="JYT41" s="191"/>
      <c r="JYU41" s="191"/>
      <c r="JYV41" s="191"/>
      <c r="JYX41" s="191"/>
      <c r="JYY41" s="191"/>
      <c r="JYZ41" s="191"/>
      <c r="JZB41" s="191"/>
      <c r="JZC41" s="191"/>
      <c r="JZD41" s="191"/>
      <c r="JZF41" s="191"/>
      <c r="JZG41" s="191"/>
      <c r="JZH41" s="191"/>
      <c r="JZJ41" s="191"/>
      <c r="JZK41" s="191"/>
      <c r="JZL41" s="191"/>
      <c r="JZN41" s="191"/>
      <c r="JZO41" s="191"/>
      <c r="JZP41" s="191"/>
      <c r="JZR41" s="191"/>
      <c r="JZS41" s="191"/>
      <c r="JZT41" s="191"/>
      <c r="JZV41" s="191"/>
      <c r="JZW41" s="191"/>
      <c r="JZX41" s="191"/>
      <c r="JZZ41" s="191"/>
      <c r="KAA41" s="191"/>
      <c r="KAB41" s="191"/>
      <c r="KAD41" s="191"/>
      <c r="KAE41" s="191"/>
      <c r="KAF41" s="191"/>
      <c r="KAH41" s="191"/>
      <c r="KAI41" s="191"/>
      <c r="KAJ41" s="191"/>
      <c r="KAL41" s="191"/>
      <c r="KAM41" s="191"/>
      <c r="KAN41" s="191"/>
      <c r="KAP41" s="191"/>
      <c r="KAQ41" s="191"/>
      <c r="KAR41" s="191"/>
      <c r="KAT41" s="191"/>
      <c r="KAU41" s="191"/>
      <c r="KAV41" s="191"/>
      <c r="KAX41" s="191"/>
      <c r="KAY41" s="191"/>
      <c r="KAZ41" s="191"/>
      <c r="KBB41" s="191"/>
      <c r="KBC41" s="191"/>
      <c r="KBD41" s="191"/>
      <c r="KBF41" s="191"/>
      <c r="KBG41" s="191"/>
      <c r="KBH41" s="191"/>
      <c r="KBJ41" s="191"/>
      <c r="KBK41" s="191"/>
      <c r="KBL41" s="191"/>
      <c r="KBN41" s="191"/>
      <c r="KBO41" s="191"/>
      <c r="KBP41" s="191"/>
      <c r="KBR41" s="191"/>
      <c r="KBS41" s="191"/>
      <c r="KBT41" s="191"/>
      <c r="KBV41" s="191"/>
      <c r="KBW41" s="191"/>
      <c r="KBX41" s="191"/>
      <c r="KBZ41" s="191"/>
      <c r="KCA41" s="191"/>
      <c r="KCB41" s="191"/>
      <c r="KCD41" s="191"/>
      <c r="KCE41" s="191"/>
      <c r="KCF41" s="191"/>
      <c r="KCH41" s="191"/>
      <c r="KCI41" s="191"/>
      <c r="KCJ41" s="191"/>
      <c r="KCL41" s="191"/>
      <c r="KCM41" s="191"/>
      <c r="KCN41" s="191"/>
      <c r="KCP41" s="191"/>
      <c r="KCQ41" s="191"/>
      <c r="KCR41" s="191"/>
      <c r="KCT41" s="191"/>
      <c r="KCU41" s="191"/>
      <c r="KCV41" s="191"/>
      <c r="KCX41" s="191"/>
      <c r="KCY41" s="191"/>
      <c r="KCZ41" s="191"/>
      <c r="KDB41" s="191"/>
      <c r="KDC41" s="191"/>
      <c r="KDD41" s="191"/>
      <c r="KDF41" s="191"/>
      <c r="KDG41" s="191"/>
      <c r="KDH41" s="191"/>
      <c r="KDJ41" s="191"/>
      <c r="KDK41" s="191"/>
      <c r="KDL41" s="191"/>
      <c r="KDN41" s="191"/>
      <c r="KDO41" s="191"/>
      <c r="KDP41" s="191"/>
      <c r="KDR41" s="191"/>
      <c r="KDS41" s="191"/>
      <c r="KDT41" s="191"/>
      <c r="KDV41" s="191"/>
      <c r="KDW41" s="191"/>
      <c r="KDX41" s="191"/>
      <c r="KDZ41" s="191"/>
      <c r="KEA41" s="191"/>
      <c r="KEB41" s="191"/>
      <c r="KED41" s="191"/>
      <c r="KEE41" s="191"/>
      <c r="KEF41" s="191"/>
      <c r="KEH41" s="191"/>
      <c r="KEI41" s="191"/>
      <c r="KEJ41" s="191"/>
      <c r="KEL41" s="191"/>
      <c r="KEM41" s="191"/>
      <c r="KEN41" s="191"/>
      <c r="KEP41" s="191"/>
      <c r="KEQ41" s="191"/>
      <c r="KER41" s="191"/>
      <c r="KET41" s="191"/>
      <c r="KEU41" s="191"/>
      <c r="KEV41" s="191"/>
      <c r="KEX41" s="191"/>
      <c r="KEY41" s="191"/>
      <c r="KEZ41" s="191"/>
      <c r="KFB41" s="191"/>
      <c r="KFC41" s="191"/>
      <c r="KFD41" s="191"/>
      <c r="KFF41" s="191"/>
      <c r="KFG41" s="191"/>
      <c r="KFH41" s="191"/>
      <c r="KFJ41" s="191"/>
      <c r="KFK41" s="191"/>
      <c r="KFL41" s="191"/>
      <c r="KFN41" s="191"/>
      <c r="KFO41" s="191"/>
      <c r="KFP41" s="191"/>
      <c r="KFR41" s="191"/>
      <c r="KFS41" s="191"/>
      <c r="KFT41" s="191"/>
      <c r="KFV41" s="191"/>
      <c r="KFW41" s="191"/>
      <c r="KFX41" s="191"/>
      <c r="KFZ41" s="191"/>
      <c r="KGA41" s="191"/>
      <c r="KGB41" s="191"/>
      <c r="KGD41" s="191"/>
      <c r="KGE41" s="191"/>
      <c r="KGF41" s="191"/>
      <c r="KGH41" s="191"/>
      <c r="KGI41" s="191"/>
      <c r="KGJ41" s="191"/>
      <c r="KGL41" s="191"/>
      <c r="KGM41" s="191"/>
      <c r="KGN41" s="191"/>
      <c r="KGP41" s="191"/>
      <c r="KGQ41" s="191"/>
      <c r="KGR41" s="191"/>
      <c r="KGT41" s="191"/>
      <c r="KGU41" s="191"/>
      <c r="KGV41" s="191"/>
      <c r="KGX41" s="191"/>
      <c r="KGY41" s="191"/>
      <c r="KGZ41" s="191"/>
      <c r="KHB41" s="191"/>
      <c r="KHC41" s="191"/>
      <c r="KHD41" s="191"/>
      <c r="KHF41" s="191"/>
      <c r="KHG41" s="191"/>
      <c r="KHH41" s="191"/>
      <c r="KHJ41" s="191"/>
      <c r="KHK41" s="191"/>
      <c r="KHL41" s="191"/>
      <c r="KHN41" s="191"/>
      <c r="KHO41" s="191"/>
      <c r="KHP41" s="191"/>
      <c r="KHR41" s="191"/>
      <c r="KHS41" s="191"/>
      <c r="KHT41" s="191"/>
      <c r="KHV41" s="191"/>
      <c r="KHW41" s="191"/>
      <c r="KHX41" s="191"/>
      <c r="KHZ41" s="191"/>
      <c r="KIA41" s="191"/>
      <c r="KIB41" s="191"/>
      <c r="KID41" s="191"/>
      <c r="KIE41" s="191"/>
      <c r="KIF41" s="191"/>
      <c r="KIH41" s="191"/>
      <c r="KII41" s="191"/>
      <c r="KIJ41" s="191"/>
      <c r="KIL41" s="191"/>
      <c r="KIM41" s="191"/>
      <c r="KIN41" s="191"/>
      <c r="KIP41" s="191"/>
      <c r="KIQ41" s="191"/>
      <c r="KIR41" s="191"/>
      <c r="KIT41" s="191"/>
      <c r="KIU41" s="191"/>
      <c r="KIV41" s="191"/>
      <c r="KIX41" s="191"/>
      <c r="KIY41" s="191"/>
      <c r="KIZ41" s="191"/>
      <c r="KJB41" s="191"/>
      <c r="KJC41" s="191"/>
      <c r="KJD41" s="191"/>
      <c r="KJF41" s="191"/>
      <c r="KJG41" s="191"/>
      <c r="KJH41" s="191"/>
      <c r="KJJ41" s="191"/>
      <c r="KJK41" s="191"/>
      <c r="KJL41" s="191"/>
      <c r="KJN41" s="191"/>
      <c r="KJO41" s="191"/>
      <c r="KJP41" s="191"/>
      <c r="KJR41" s="191"/>
      <c r="KJS41" s="191"/>
      <c r="KJT41" s="191"/>
      <c r="KJV41" s="191"/>
      <c r="KJW41" s="191"/>
      <c r="KJX41" s="191"/>
      <c r="KJZ41" s="191"/>
      <c r="KKA41" s="191"/>
      <c r="KKB41" s="191"/>
      <c r="KKD41" s="191"/>
      <c r="KKE41" s="191"/>
      <c r="KKF41" s="191"/>
      <c r="KKH41" s="191"/>
      <c r="KKI41" s="191"/>
      <c r="KKJ41" s="191"/>
      <c r="KKL41" s="191"/>
      <c r="KKM41" s="191"/>
      <c r="KKN41" s="191"/>
      <c r="KKP41" s="191"/>
      <c r="KKQ41" s="191"/>
      <c r="KKR41" s="191"/>
      <c r="KKT41" s="191"/>
      <c r="KKU41" s="191"/>
      <c r="KKV41" s="191"/>
      <c r="KKX41" s="191"/>
      <c r="KKY41" s="191"/>
      <c r="KKZ41" s="191"/>
      <c r="KLB41" s="191"/>
      <c r="KLC41" s="191"/>
      <c r="KLD41" s="191"/>
      <c r="KLF41" s="191"/>
      <c r="KLG41" s="191"/>
      <c r="KLH41" s="191"/>
      <c r="KLJ41" s="191"/>
      <c r="KLK41" s="191"/>
      <c r="KLL41" s="191"/>
      <c r="KLN41" s="191"/>
      <c r="KLO41" s="191"/>
      <c r="KLP41" s="191"/>
      <c r="KLR41" s="191"/>
      <c r="KLS41" s="191"/>
      <c r="KLT41" s="191"/>
      <c r="KLV41" s="191"/>
      <c r="KLW41" s="191"/>
      <c r="KLX41" s="191"/>
      <c r="KLZ41" s="191"/>
      <c r="KMA41" s="191"/>
      <c r="KMB41" s="191"/>
      <c r="KMD41" s="191"/>
      <c r="KME41" s="191"/>
      <c r="KMF41" s="191"/>
      <c r="KMH41" s="191"/>
      <c r="KMI41" s="191"/>
      <c r="KMJ41" s="191"/>
      <c r="KML41" s="191"/>
      <c r="KMM41" s="191"/>
      <c r="KMN41" s="191"/>
      <c r="KMP41" s="191"/>
      <c r="KMQ41" s="191"/>
      <c r="KMR41" s="191"/>
      <c r="KMT41" s="191"/>
      <c r="KMU41" s="191"/>
      <c r="KMV41" s="191"/>
      <c r="KMX41" s="191"/>
      <c r="KMY41" s="191"/>
      <c r="KMZ41" s="191"/>
      <c r="KNB41" s="191"/>
      <c r="KNC41" s="191"/>
      <c r="KND41" s="191"/>
      <c r="KNF41" s="191"/>
      <c r="KNG41" s="191"/>
      <c r="KNH41" s="191"/>
      <c r="KNJ41" s="191"/>
      <c r="KNK41" s="191"/>
      <c r="KNL41" s="191"/>
      <c r="KNN41" s="191"/>
      <c r="KNO41" s="191"/>
      <c r="KNP41" s="191"/>
      <c r="KNR41" s="191"/>
      <c r="KNS41" s="191"/>
      <c r="KNT41" s="191"/>
      <c r="KNV41" s="191"/>
      <c r="KNW41" s="191"/>
      <c r="KNX41" s="191"/>
      <c r="KNZ41" s="191"/>
      <c r="KOA41" s="191"/>
      <c r="KOB41" s="191"/>
      <c r="KOD41" s="191"/>
      <c r="KOE41" s="191"/>
      <c r="KOF41" s="191"/>
      <c r="KOH41" s="191"/>
      <c r="KOI41" s="191"/>
      <c r="KOJ41" s="191"/>
      <c r="KOL41" s="191"/>
      <c r="KOM41" s="191"/>
      <c r="KON41" s="191"/>
      <c r="KOP41" s="191"/>
      <c r="KOQ41" s="191"/>
      <c r="KOR41" s="191"/>
      <c r="KOT41" s="191"/>
      <c r="KOU41" s="191"/>
      <c r="KOV41" s="191"/>
      <c r="KOX41" s="191"/>
      <c r="KOY41" s="191"/>
      <c r="KOZ41" s="191"/>
      <c r="KPB41" s="191"/>
      <c r="KPC41" s="191"/>
      <c r="KPD41" s="191"/>
      <c r="KPF41" s="191"/>
      <c r="KPG41" s="191"/>
      <c r="KPH41" s="191"/>
      <c r="KPJ41" s="191"/>
      <c r="KPK41" s="191"/>
      <c r="KPL41" s="191"/>
      <c r="KPN41" s="191"/>
      <c r="KPO41" s="191"/>
      <c r="KPP41" s="191"/>
      <c r="KPR41" s="191"/>
      <c r="KPS41" s="191"/>
      <c r="KPT41" s="191"/>
      <c r="KPV41" s="191"/>
      <c r="KPW41" s="191"/>
      <c r="KPX41" s="191"/>
      <c r="KPZ41" s="191"/>
      <c r="KQA41" s="191"/>
      <c r="KQB41" s="191"/>
      <c r="KQD41" s="191"/>
      <c r="KQE41" s="191"/>
      <c r="KQF41" s="191"/>
      <c r="KQH41" s="191"/>
      <c r="KQI41" s="191"/>
      <c r="KQJ41" s="191"/>
      <c r="KQL41" s="191"/>
      <c r="KQM41" s="191"/>
      <c r="KQN41" s="191"/>
      <c r="KQP41" s="191"/>
      <c r="KQQ41" s="191"/>
      <c r="KQR41" s="191"/>
      <c r="KQT41" s="191"/>
      <c r="KQU41" s="191"/>
      <c r="KQV41" s="191"/>
      <c r="KQX41" s="191"/>
      <c r="KQY41" s="191"/>
      <c r="KQZ41" s="191"/>
      <c r="KRB41" s="191"/>
      <c r="KRC41" s="191"/>
      <c r="KRD41" s="191"/>
      <c r="KRF41" s="191"/>
      <c r="KRG41" s="191"/>
      <c r="KRH41" s="191"/>
      <c r="KRJ41" s="191"/>
      <c r="KRK41" s="191"/>
      <c r="KRL41" s="191"/>
      <c r="KRN41" s="191"/>
      <c r="KRO41" s="191"/>
      <c r="KRP41" s="191"/>
      <c r="KRR41" s="191"/>
      <c r="KRS41" s="191"/>
      <c r="KRT41" s="191"/>
      <c r="KRV41" s="191"/>
      <c r="KRW41" s="191"/>
      <c r="KRX41" s="191"/>
      <c r="KRZ41" s="191"/>
      <c r="KSA41" s="191"/>
      <c r="KSB41" s="191"/>
      <c r="KSD41" s="191"/>
      <c r="KSE41" s="191"/>
      <c r="KSF41" s="191"/>
      <c r="KSH41" s="191"/>
      <c r="KSI41" s="191"/>
      <c r="KSJ41" s="191"/>
      <c r="KSL41" s="191"/>
      <c r="KSM41" s="191"/>
      <c r="KSN41" s="191"/>
      <c r="KSP41" s="191"/>
      <c r="KSQ41" s="191"/>
      <c r="KSR41" s="191"/>
      <c r="KST41" s="191"/>
      <c r="KSU41" s="191"/>
      <c r="KSV41" s="191"/>
      <c r="KSX41" s="191"/>
      <c r="KSY41" s="191"/>
      <c r="KSZ41" s="191"/>
      <c r="KTB41" s="191"/>
      <c r="KTC41" s="191"/>
      <c r="KTD41" s="191"/>
      <c r="KTF41" s="191"/>
      <c r="KTG41" s="191"/>
      <c r="KTH41" s="191"/>
      <c r="KTJ41" s="191"/>
      <c r="KTK41" s="191"/>
      <c r="KTL41" s="191"/>
      <c r="KTN41" s="191"/>
      <c r="KTO41" s="191"/>
      <c r="KTP41" s="191"/>
      <c r="KTR41" s="191"/>
      <c r="KTS41" s="191"/>
      <c r="KTT41" s="191"/>
      <c r="KTV41" s="191"/>
      <c r="KTW41" s="191"/>
      <c r="KTX41" s="191"/>
      <c r="KTZ41" s="191"/>
      <c r="KUA41" s="191"/>
      <c r="KUB41" s="191"/>
      <c r="KUD41" s="191"/>
      <c r="KUE41" s="191"/>
      <c r="KUF41" s="191"/>
      <c r="KUH41" s="191"/>
      <c r="KUI41" s="191"/>
      <c r="KUJ41" s="191"/>
      <c r="KUL41" s="191"/>
      <c r="KUM41" s="191"/>
      <c r="KUN41" s="191"/>
      <c r="KUP41" s="191"/>
      <c r="KUQ41" s="191"/>
      <c r="KUR41" s="191"/>
      <c r="KUT41" s="191"/>
      <c r="KUU41" s="191"/>
      <c r="KUV41" s="191"/>
      <c r="KUX41" s="191"/>
      <c r="KUY41" s="191"/>
      <c r="KUZ41" s="191"/>
      <c r="KVB41" s="191"/>
      <c r="KVC41" s="191"/>
      <c r="KVD41" s="191"/>
      <c r="KVF41" s="191"/>
      <c r="KVG41" s="191"/>
      <c r="KVH41" s="191"/>
      <c r="KVJ41" s="191"/>
      <c r="KVK41" s="191"/>
      <c r="KVL41" s="191"/>
      <c r="KVN41" s="191"/>
      <c r="KVO41" s="191"/>
      <c r="KVP41" s="191"/>
      <c r="KVR41" s="191"/>
      <c r="KVS41" s="191"/>
      <c r="KVT41" s="191"/>
      <c r="KVV41" s="191"/>
      <c r="KVW41" s="191"/>
      <c r="KVX41" s="191"/>
      <c r="KVZ41" s="191"/>
      <c r="KWA41" s="191"/>
      <c r="KWB41" s="191"/>
      <c r="KWD41" s="191"/>
      <c r="KWE41" s="191"/>
      <c r="KWF41" s="191"/>
      <c r="KWH41" s="191"/>
      <c r="KWI41" s="191"/>
      <c r="KWJ41" s="191"/>
      <c r="KWL41" s="191"/>
      <c r="KWM41" s="191"/>
      <c r="KWN41" s="191"/>
      <c r="KWP41" s="191"/>
      <c r="KWQ41" s="191"/>
      <c r="KWR41" s="191"/>
      <c r="KWT41" s="191"/>
      <c r="KWU41" s="191"/>
      <c r="KWV41" s="191"/>
      <c r="KWX41" s="191"/>
      <c r="KWY41" s="191"/>
      <c r="KWZ41" s="191"/>
      <c r="KXB41" s="191"/>
      <c r="KXC41" s="191"/>
      <c r="KXD41" s="191"/>
      <c r="KXF41" s="191"/>
      <c r="KXG41" s="191"/>
      <c r="KXH41" s="191"/>
      <c r="KXJ41" s="191"/>
      <c r="KXK41" s="191"/>
      <c r="KXL41" s="191"/>
      <c r="KXN41" s="191"/>
      <c r="KXO41" s="191"/>
      <c r="KXP41" s="191"/>
      <c r="KXR41" s="191"/>
      <c r="KXS41" s="191"/>
      <c r="KXT41" s="191"/>
      <c r="KXV41" s="191"/>
      <c r="KXW41" s="191"/>
      <c r="KXX41" s="191"/>
      <c r="KXZ41" s="191"/>
      <c r="KYA41" s="191"/>
      <c r="KYB41" s="191"/>
      <c r="KYD41" s="191"/>
      <c r="KYE41" s="191"/>
      <c r="KYF41" s="191"/>
      <c r="KYH41" s="191"/>
      <c r="KYI41" s="191"/>
      <c r="KYJ41" s="191"/>
      <c r="KYL41" s="191"/>
      <c r="KYM41" s="191"/>
      <c r="KYN41" s="191"/>
      <c r="KYP41" s="191"/>
      <c r="KYQ41" s="191"/>
      <c r="KYR41" s="191"/>
      <c r="KYT41" s="191"/>
      <c r="KYU41" s="191"/>
      <c r="KYV41" s="191"/>
      <c r="KYX41" s="191"/>
      <c r="KYY41" s="191"/>
      <c r="KYZ41" s="191"/>
      <c r="KZB41" s="191"/>
      <c r="KZC41" s="191"/>
      <c r="KZD41" s="191"/>
      <c r="KZF41" s="191"/>
      <c r="KZG41" s="191"/>
      <c r="KZH41" s="191"/>
      <c r="KZJ41" s="191"/>
      <c r="KZK41" s="191"/>
      <c r="KZL41" s="191"/>
      <c r="KZN41" s="191"/>
      <c r="KZO41" s="191"/>
      <c r="KZP41" s="191"/>
      <c r="KZR41" s="191"/>
      <c r="KZS41" s="191"/>
      <c r="KZT41" s="191"/>
      <c r="KZV41" s="191"/>
      <c r="KZW41" s="191"/>
      <c r="KZX41" s="191"/>
      <c r="KZZ41" s="191"/>
      <c r="LAA41" s="191"/>
      <c r="LAB41" s="191"/>
      <c r="LAD41" s="191"/>
      <c r="LAE41" s="191"/>
      <c r="LAF41" s="191"/>
      <c r="LAH41" s="191"/>
      <c r="LAI41" s="191"/>
      <c r="LAJ41" s="191"/>
      <c r="LAL41" s="191"/>
      <c r="LAM41" s="191"/>
      <c r="LAN41" s="191"/>
      <c r="LAP41" s="191"/>
      <c r="LAQ41" s="191"/>
      <c r="LAR41" s="191"/>
      <c r="LAT41" s="191"/>
      <c r="LAU41" s="191"/>
      <c r="LAV41" s="191"/>
      <c r="LAX41" s="191"/>
      <c r="LAY41" s="191"/>
      <c r="LAZ41" s="191"/>
      <c r="LBB41" s="191"/>
      <c r="LBC41" s="191"/>
      <c r="LBD41" s="191"/>
      <c r="LBF41" s="191"/>
      <c r="LBG41" s="191"/>
      <c r="LBH41" s="191"/>
      <c r="LBJ41" s="191"/>
      <c r="LBK41" s="191"/>
      <c r="LBL41" s="191"/>
      <c r="LBN41" s="191"/>
      <c r="LBO41" s="191"/>
      <c r="LBP41" s="191"/>
      <c r="LBR41" s="191"/>
      <c r="LBS41" s="191"/>
      <c r="LBT41" s="191"/>
      <c r="LBV41" s="191"/>
      <c r="LBW41" s="191"/>
      <c r="LBX41" s="191"/>
      <c r="LBZ41" s="191"/>
      <c r="LCA41" s="191"/>
      <c r="LCB41" s="191"/>
      <c r="LCD41" s="191"/>
      <c r="LCE41" s="191"/>
      <c r="LCF41" s="191"/>
      <c r="LCH41" s="191"/>
      <c r="LCI41" s="191"/>
      <c r="LCJ41" s="191"/>
      <c r="LCL41" s="191"/>
      <c r="LCM41" s="191"/>
      <c r="LCN41" s="191"/>
      <c r="LCP41" s="191"/>
      <c r="LCQ41" s="191"/>
      <c r="LCR41" s="191"/>
      <c r="LCT41" s="191"/>
      <c r="LCU41" s="191"/>
      <c r="LCV41" s="191"/>
      <c r="LCX41" s="191"/>
      <c r="LCY41" s="191"/>
      <c r="LCZ41" s="191"/>
      <c r="LDB41" s="191"/>
      <c r="LDC41" s="191"/>
      <c r="LDD41" s="191"/>
      <c r="LDF41" s="191"/>
      <c r="LDG41" s="191"/>
      <c r="LDH41" s="191"/>
      <c r="LDJ41" s="191"/>
      <c r="LDK41" s="191"/>
      <c r="LDL41" s="191"/>
      <c r="LDN41" s="191"/>
      <c r="LDO41" s="191"/>
      <c r="LDP41" s="191"/>
      <c r="LDR41" s="191"/>
      <c r="LDS41" s="191"/>
      <c r="LDT41" s="191"/>
      <c r="LDV41" s="191"/>
      <c r="LDW41" s="191"/>
      <c r="LDX41" s="191"/>
      <c r="LDZ41" s="191"/>
      <c r="LEA41" s="191"/>
      <c r="LEB41" s="191"/>
      <c r="LED41" s="191"/>
      <c r="LEE41" s="191"/>
      <c r="LEF41" s="191"/>
      <c r="LEH41" s="191"/>
      <c r="LEI41" s="191"/>
      <c r="LEJ41" s="191"/>
      <c r="LEL41" s="191"/>
      <c r="LEM41" s="191"/>
      <c r="LEN41" s="191"/>
      <c r="LEP41" s="191"/>
      <c r="LEQ41" s="191"/>
      <c r="LER41" s="191"/>
      <c r="LET41" s="191"/>
      <c r="LEU41" s="191"/>
      <c r="LEV41" s="191"/>
      <c r="LEX41" s="191"/>
      <c r="LEY41" s="191"/>
      <c r="LEZ41" s="191"/>
      <c r="LFB41" s="191"/>
      <c r="LFC41" s="191"/>
      <c r="LFD41" s="191"/>
      <c r="LFF41" s="191"/>
      <c r="LFG41" s="191"/>
      <c r="LFH41" s="191"/>
      <c r="LFJ41" s="191"/>
      <c r="LFK41" s="191"/>
      <c r="LFL41" s="191"/>
      <c r="LFN41" s="191"/>
      <c r="LFO41" s="191"/>
      <c r="LFP41" s="191"/>
      <c r="LFR41" s="191"/>
      <c r="LFS41" s="191"/>
      <c r="LFT41" s="191"/>
      <c r="LFV41" s="191"/>
      <c r="LFW41" s="191"/>
      <c r="LFX41" s="191"/>
      <c r="LFZ41" s="191"/>
      <c r="LGA41" s="191"/>
      <c r="LGB41" s="191"/>
      <c r="LGD41" s="191"/>
      <c r="LGE41" s="191"/>
      <c r="LGF41" s="191"/>
      <c r="LGH41" s="191"/>
      <c r="LGI41" s="191"/>
      <c r="LGJ41" s="191"/>
      <c r="LGL41" s="191"/>
      <c r="LGM41" s="191"/>
      <c r="LGN41" s="191"/>
      <c r="LGP41" s="191"/>
      <c r="LGQ41" s="191"/>
      <c r="LGR41" s="191"/>
      <c r="LGT41" s="191"/>
      <c r="LGU41" s="191"/>
      <c r="LGV41" s="191"/>
      <c r="LGX41" s="191"/>
      <c r="LGY41" s="191"/>
      <c r="LGZ41" s="191"/>
      <c r="LHB41" s="191"/>
      <c r="LHC41" s="191"/>
      <c r="LHD41" s="191"/>
      <c r="LHF41" s="191"/>
      <c r="LHG41" s="191"/>
      <c r="LHH41" s="191"/>
      <c r="LHJ41" s="191"/>
      <c r="LHK41" s="191"/>
      <c r="LHL41" s="191"/>
      <c r="LHN41" s="191"/>
      <c r="LHO41" s="191"/>
      <c r="LHP41" s="191"/>
      <c r="LHR41" s="191"/>
      <c r="LHS41" s="191"/>
      <c r="LHT41" s="191"/>
      <c r="LHV41" s="191"/>
      <c r="LHW41" s="191"/>
      <c r="LHX41" s="191"/>
      <c r="LHZ41" s="191"/>
      <c r="LIA41" s="191"/>
      <c r="LIB41" s="191"/>
      <c r="LID41" s="191"/>
      <c r="LIE41" s="191"/>
      <c r="LIF41" s="191"/>
      <c r="LIH41" s="191"/>
      <c r="LII41" s="191"/>
      <c r="LIJ41" s="191"/>
      <c r="LIL41" s="191"/>
      <c r="LIM41" s="191"/>
      <c r="LIN41" s="191"/>
      <c r="LIP41" s="191"/>
      <c r="LIQ41" s="191"/>
      <c r="LIR41" s="191"/>
      <c r="LIT41" s="191"/>
      <c r="LIU41" s="191"/>
      <c r="LIV41" s="191"/>
      <c r="LIX41" s="191"/>
      <c r="LIY41" s="191"/>
      <c r="LIZ41" s="191"/>
      <c r="LJB41" s="191"/>
      <c r="LJC41" s="191"/>
      <c r="LJD41" s="191"/>
      <c r="LJF41" s="191"/>
      <c r="LJG41" s="191"/>
      <c r="LJH41" s="191"/>
      <c r="LJJ41" s="191"/>
      <c r="LJK41" s="191"/>
      <c r="LJL41" s="191"/>
      <c r="LJN41" s="191"/>
      <c r="LJO41" s="191"/>
      <c r="LJP41" s="191"/>
      <c r="LJR41" s="191"/>
      <c r="LJS41" s="191"/>
      <c r="LJT41" s="191"/>
      <c r="LJV41" s="191"/>
      <c r="LJW41" s="191"/>
      <c r="LJX41" s="191"/>
      <c r="LJZ41" s="191"/>
      <c r="LKA41" s="191"/>
      <c r="LKB41" s="191"/>
      <c r="LKD41" s="191"/>
      <c r="LKE41" s="191"/>
      <c r="LKF41" s="191"/>
      <c r="LKH41" s="191"/>
      <c r="LKI41" s="191"/>
      <c r="LKJ41" s="191"/>
      <c r="LKL41" s="191"/>
      <c r="LKM41" s="191"/>
      <c r="LKN41" s="191"/>
      <c r="LKP41" s="191"/>
      <c r="LKQ41" s="191"/>
      <c r="LKR41" s="191"/>
      <c r="LKT41" s="191"/>
      <c r="LKU41" s="191"/>
      <c r="LKV41" s="191"/>
      <c r="LKX41" s="191"/>
      <c r="LKY41" s="191"/>
      <c r="LKZ41" s="191"/>
      <c r="LLB41" s="191"/>
      <c r="LLC41" s="191"/>
      <c r="LLD41" s="191"/>
      <c r="LLF41" s="191"/>
      <c r="LLG41" s="191"/>
      <c r="LLH41" s="191"/>
      <c r="LLJ41" s="191"/>
      <c r="LLK41" s="191"/>
      <c r="LLL41" s="191"/>
      <c r="LLN41" s="191"/>
      <c r="LLO41" s="191"/>
      <c r="LLP41" s="191"/>
      <c r="LLR41" s="191"/>
      <c r="LLS41" s="191"/>
      <c r="LLT41" s="191"/>
      <c r="LLV41" s="191"/>
      <c r="LLW41" s="191"/>
      <c r="LLX41" s="191"/>
      <c r="LLZ41" s="191"/>
      <c r="LMA41" s="191"/>
      <c r="LMB41" s="191"/>
      <c r="LMD41" s="191"/>
      <c r="LME41" s="191"/>
      <c r="LMF41" s="191"/>
      <c r="LMH41" s="191"/>
      <c r="LMI41" s="191"/>
      <c r="LMJ41" s="191"/>
      <c r="LML41" s="191"/>
      <c r="LMM41" s="191"/>
      <c r="LMN41" s="191"/>
      <c r="LMP41" s="191"/>
      <c r="LMQ41" s="191"/>
      <c r="LMR41" s="191"/>
      <c r="LMT41" s="191"/>
      <c r="LMU41" s="191"/>
      <c r="LMV41" s="191"/>
      <c r="LMX41" s="191"/>
      <c r="LMY41" s="191"/>
      <c r="LMZ41" s="191"/>
      <c r="LNB41" s="191"/>
      <c r="LNC41" s="191"/>
      <c r="LND41" s="191"/>
      <c r="LNF41" s="191"/>
      <c r="LNG41" s="191"/>
      <c r="LNH41" s="191"/>
      <c r="LNJ41" s="191"/>
      <c r="LNK41" s="191"/>
      <c r="LNL41" s="191"/>
      <c r="LNN41" s="191"/>
      <c r="LNO41" s="191"/>
      <c r="LNP41" s="191"/>
      <c r="LNR41" s="191"/>
      <c r="LNS41" s="191"/>
      <c r="LNT41" s="191"/>
      <c r="LNV41" s="191"/>
      <c r="LNW41" s="191"/>
      <c r="LNX41" s="191"/>
      <c r="LNZ41" s="191"/>
      <c r="LOA41" s="191"/>
      <c r="LOB41" s="191"/>
      <c r="LOD41" s="191"/>
      <c r="LOE41" s="191"/>
      <c r="LOF41" s="191"/>
      <c r="LOH41" s="191"/>
      <c r="LOI41" s="191"/>
      <c r="LOJ41" s="191"/>
      <c r="LOL41" s="191"/>
      <c r="LOM41" s="191"/>
      <c r="LON41" s="191"/>
      <c r="LOP41" s="191"/>
      <c r="LOQ41" s="191"/>
      <c r="LOR41" s="191"/>
      <c r="LOT41" s="191"/>
      <c r="LOU41" s="191"/>
      <c r="LOV41" s="191"/>
      <c r="LOX41" s="191"/>
      <c r="LOY41" s="191"/>
      <c r="LOZ41" s="191"/>
      <c r="LPB41" s="191"/>
      <c r="LPC41" s="191"/>
      <c r="LPD41" s="191"/>
      <c r="LPF41" s="191"/>
      <c r="LPG41" s="191"/>
      <c r="LPH41" s="191"/>
      <c r="LPJ41" s="191"/>
      <c r="LPK41" s="191"/>
      <c r="LPL41" s="191"/>
      <c r="LPN41" s="191"/>
      <c r="LPO41" s="191"/>
      <c r="LPP41" s="191"/>
      <c r="LPR41" s="191"/>
      <c r="LPS41" s="191"/>
      <c r="LPT41" s="191"/>
      <c r="LPV41" s="191"/>
      <c r="LPW41" s="191"/>
      <c r="LPX41" s="191"/>
      <c r="LPZ41" s="191"/>
      <c r="LQA41" s="191"/>
      <c r="LQB41" s="191"/>
      <c r="LQD41" s="191"/>
      <c r="LQE41" s="191"/>
      <c r="LQF41" s="191"/>
      <c r="LQH41" s="191"/>
      <c r="LQI41" s="191"/>
      <c r="LQJ41" s="191"/>
      <c r="LQL41" s="191"/>
      <c r="LQM41" s="191"/>
      <c r="LQN41" s="191"/>
      <c r="LQP41" s="191"/>
      <c r="LQQ41" s="191"/>
      <c r="LQR41" s="191"/>
      <c r="LQT41" s="191"/>
      <c r="LQU41" s="191"/>
      <c r="LQV41" s="191"/>
      <c r="LQX41" s="191"/>
      <c r="LQY41" s="191"/>
      <c r="LQZ41" s="191"/>
      <c r="LRB41" s="191"/>
      <c r="LRC41" s="191"/>
      <c r="LRD41" s="191"/>
      <c r="LRF41" s="191"/>
      <c r="LRG41" s="191"/>
      <c r="LRH41" s="191"/>
      <c r="LRJ41" s="191"/>
      <c r="LRK41" s="191"/>
      <c r="LRL41" s="191"/>
      <c r="LRN41" s="191"/>
      <c r="LRO41" s="191"/>
      <c r="LRP41" s="191"/>
      <c r="LRR41" s="191"/>
      <c r="LRS41" s="191"/>
      <c r="LRT41" s="191"/>
      <c r="LRV41" s="191"/>
      <c r="LRW41" s="191"/>
      <c r="LRX41" s="191"/>
      <c r="LRZ41" s="191"/>
      <c r="LSA41" s="191"/>
      <c r="LSB41" s="191"/>
      <c r="LSD41" s="191"/>
      <c r="LSE41" s="191"/>
      <c r="LSF41" s="191"/>
      <c r="LSH41" s="191"/>
      <c r="LSI41" s="191"/>
      <c r="LSJ41" s="191"/>
      <c r="LSL41" s="191"/>
      <c r="LSM41" s="191"/>
      <c r="LSN41" s="191"/>
      <c r="LSP41" s="191"/>
      <c r="LSQ41" s="191"/>
      <c r="LSR41" s="191"/>
      <c r="LST41" s="191"/>
      <c r="LSU41" s="191"/>
      <c r="LSV41" s="191"/>
      <c r="LSX41" s="191"/>
      <c r="LSY41" s="191"/>
      <c r="LSZ41" s="191"/>
      <c r="LTB41" s="191"/>
      <c r="LTC41" s="191"/>
      <c r="LTD41" s="191"/>
      <c r="LTF41" s="191"/>
      <c r="LTG41" s="191"/>
      <c r="LTH41" s="191"/>
      <c r="LTJ41" s="191"/>
      <c r="LTK41" s="191"/>
      <c r="LTL41" s="191"/>
      <c r="LTN41" s="191"/>
      <c r="LTO41" s="191"/>
      <c r="LTP41" s="191"/>
      <c r="LTR41" s="191"/>
      <c r="LTS41" s="191"/>
      <c r="LTT41" s="191"/>
      <c r="LTV41" s="191"/>
      <c r="LTW41" s="191"/>
      <c r="LTX41" s="191"/>
      <c r="LTZ41" s="191"/>
      <c r="LUA41" s="191"/>
      <c r="LUB41" s="191"/>
      <c r="LUD41" s="191"/>
      <c r="LUE41" s="191"/>
      <c r="LUF41" s="191"/>
      <c r="LUH41" s="191"/>
      <c r="LUI41" s="191"/>
      <c r="LUJ41" s="191"/>
      <c r="LUL41" s="191"/>
      <c r="LUM41" s="191"/>
      <c r="LUN41" s="191"/>
      <c r="LUP41" s="191"/>
      <c r="LUQ41" s="191"/>
      <c r="LUR41" s="191"/>
      <c r="LUT41" s="191"/>
      <c r="LUU41" s="191"/>
      <c r="LUV41" s="191"/>
      <c r="LUX41" s="191"/>
      <c r="LUY41" s="191"/>
      <c r="LUZ41" s="191"/>
      <c r="LVB41" s="191"/>
      <c r="LVC41" s="191"/>
      <c r="LVD41" s="191"/>
      <c r="LVF41" s="191"/>
      <c r="LVG41" s="191"/>
      <c r="LVH41" s="191"/>
      <c r="LVJ41" s="191"/>
      <c r="LVK41" s="191"/>
      <c r="LVL41" s="191"/>
      <c r="LVN41" s="191"/>
      <c r="LVO41" s="191"/>
      <c r="LVP41" s="191"/>
      <c r="LVR41" s="191"/>
      <c r="LVS41" s="191"/>
      <c r="LVT41" s="191"/>
      <c r="LVV41" s="191"/>
      <c r="LVW41" s="191"/>
      <c r="LVX41" s="191"/>
      <c r="LVZ41" s="191"/>
      <c r="LWA41" s="191"/>
      <c r="LWB41" s="191"/>
      <c r="LWD41" s="191"/>
      <c r="LWE41" s="191"/>
      <c r="LWF41" s="191"/>
      <c r="LWH41" s="191"/>
      <c r="LWI41" s="191"/>
      <c r="LWJ41" s="191"/>
      <c r="LWL41" s="191"/>
      <c r="LWM41" s="191"/>
      <c r="LWN41" s="191"/>
      <c r="LWP41" s="191"/>
      <c r="LWQ41" s="191"/>
      <c r="LWR41" s="191"/>
      <c r="LWT41" s="191"/>
      <c r="LWU41" s="191"/>
      <c r="LWV41" s="191"/>
      <c r="LWX41" s="191"/>
      <c r="LWY41" s="191"/>
      <c r="LWZ41" s="191"/>
      <c r="LXB41" s="191"/>
      <c r="LXC41" s="191"/>
      <c r="LXD41" s="191"/>
      <c r="LXF41" s="191"/>
      <c r="LXG41" s="191"/>
      <c r="LXH41" s="191"/>
      <c r="LXJ41" s="191"/>
      <c r="LXK41" s="191"/>
      <c r="LXL41" s="191"/>
      <c r="LXN41" s="191"/>
      <c r="LXO41" s="191"/>
      <c r="LXP41" s="191"/>
      <c r="LXR41" s="191"/>
      <c r="LXS41" s="191"/>
      <c r="LXT41" s="191"/>
      <c r="LXV41" s="191"/>
      <c r="LXW41" s="191"/>
      <c r="LXX41" s="191"/>
      <c r="LXZ41" s="191"/>
      <c r="LYA41" s="191"/>
      <c r="LYB41" s="191"/>
      <c r="LYD41" s="191"/>
      <c r="LYE41" s="191"/>
      <c r="LYF41" s="191"/>
      <c r="LYH41" s="191"/>
      <c r="LYI41" s="191"/>
      <c r="LYJ41" s="191"/>
      <c r="LYL41" s="191"/>
      <c r="LYM41" s="191"/>
      <c r="LYN41" s="191"/>
      <c r="LYP41" s="191"/>
      <c r="LYQ41" s="191"/>
      <c r="LYR41" s="191"/>
      <c r="LYT41" s="191"/>
      <c r="LYU41" s="191"/>
      <c r="LYV41" s="191"/>
      <c r="LYX41" s="191"/>
      <c r="LYY41" s="191"/>
      <c r="LYZ41" s="191"/>
      <c r="LZB41" s="191"/>
      <c r="LZC41" s="191"/>
      <c r="LZD41" s="191"/>
      <c r="LZF41" s="191"/>
      <c r="LZG41" s="191"/>
      <c r="LZH41" s="191"/>
      <c r="LZJ41" s="191"/>
      <c r="LZK41" s="191"/>
      <c r="LZL41" s="191"/>
      <c r="LZN41" s="191"/>
      <c r="LZO41" s="191"/>
      <c r="LZP41" s="191"/>
      <c r="LZR41" s="191"/>
      <c r="LZS41" s="191"/>
      <c r="LZT41" s="191"/>
      <c r="LZV41" s="191"/>
      <c r="LZW41" s="191"/>
      <c r="LZX41" s="191"/>
      <c r="LZZ41" s="191"/>
      <c r="MAA41" s="191"/>
      <c r="MAB41" s="191"/>
      <c r="MAD41" s="191"/>
      <c r="MAE41" s="191"/>
      <c r="MAF41" s="191"/>
      <c r="MAH41" s="191"/>
      <c r="MAI41" s="191"/>
      <c r="MAJ41" s="191"/>
      <c r="MAL41" s="191"/>
      <c r="MAM41" s="191"/>
      <c r="MAN41" s="191"/>
      <c r="MAP41" s="191"/>
      <c r="MAQ41" s="191"/>
      <c r="MAR41" s="191"/>
      <c r="MAT41" s="191"/>
      <c r="MAU41" s="191"/>
      <c r="MAV41" s="191"/>
      <c r="MAX41" s="191"/>
      <c r="MAY41" s="191"/>
      <c r="MAZ41" s="191"/>
      <c r="MBB41" s="191"/>
      <c r="MBC41" s="191"/>
      <c r="MBD41" s="191"/>
      <c r="MBF41" s="191"/>
      <c r="MBG41" s="191"/>
      <c r="MBH41" s="191"/>
      <c r="MBJ41" s="191"/>
      <c r="MBK41" s="191"/>
      <c r="MBL41" s="191"/>
      <c r="MBN41" s="191"/>
      <c r="MBO41" s="191"/>
      <c r="MBP41" s="191"/>
      <c r="MBR41" s="191"/>
      <c r="MBS41" s="191"/>
      <c r="MBT41" s="191"/>
      <c r="MBV41" s="191"/>
      <c r="MBW41" s="191"/>
      <c r="MBX41" s="191"/>
      <c r="MBZ41" s="191"/>
      <c r="MCA41" s="191"/>
      <c r="MCB41" s="191"/>
      <c r="MCD41" s="191"/>
      <c r="MCE41" s="191"/>
      <c r="MCF41" s="191"/>
      <c r="MCH41" s="191"/>
      <c r="MCI41" s="191"/>
      <c r="MCJ41" s="191"/>
      <c r="MCL41" s="191"/>
      <c r="MCM41" s="191"/>
      <c r="MCN41" s="191"/>
      <c r="MCP41" s="191"/>
      <c r="MCQ41" s="191"/>
      <c r="MCR41" s="191"/>
      <c r="MCT41" s="191"/>
      <c r="MCU41" s="191"/>
      <c r="MCV41" s="191"/>
      <c r="MCX41" s="191"/>
      <c r="MCY41" s="191"/>
      <c r="MCZ41" s="191"/>
      <c r="MDB41" s="191"/>
      <c r="MDC41" s="191"/>
      <c r="MDD41" s="191"/>
      <c r="MDF41" s="191"/>
      <c r="MDG41" s="191"/>
      <c r="MDH41" s="191"/>
      <c r="MDJ41" s="191"/>
      <c r="MDK41" s="191"/>
      <c r="MDL41" s="191"/>
      <c r="MDN41" s="191"/>
      <c r="MDO41" s="191"/>
      <c r="MDP41" s="191"/>
      <c r="MDR41" s="191"/>
      <c r="MDS41" s="191"/>
      <c r="MDT41" s="191"/>
      <c r="MDV41" s="191"/>
      <c r="MDW41" s="191"/>
      <c r="MDX41" s="191"/>
      <c r="MDZ41" s="191"/>
      <c r="MEA41" s="191"/>
      <c r="MEB41" s="191"/>
      <c r="MED41" s="191"/>
      <c r="MEE41" s="191"/>
      <c r="MEF41" s="191"/>
      <c r="MEH41" s="191"/>
      <c r="MEI41" s="191"/>
      <c r="MEJ41" s="191"/>
      <c r="MEL41" s="191"/>
      <c r="MEM41" s="191"/>
      <c r="MEN41" s="191"/>
      <c r="MEP41" s="191"/>
      <c r="MEQ41" s="191"/>
      <c r="MER41" s="191"/>
      <c r="MET41" s="191"/>
      <c r="MEU41" s="191"/>
      <c r="MEV41" s="191"/>
      <c r="MEX41" s="191"/>
      <c r="MEY41" s="191"/>
      <c r="MEZ41" s="191"/>
      <c r="MFB41" s="191"/>
      <c r="MFC41" s="191"/>
      <c r="MFD41" s="191"/>
      <c r="MFF41" s="191"/>
      <c r="MFG41" s="191"/>
      <c r="MFH41" s="191"/>
      <c r="MFJ41" s="191"/>
      <c r="MFK41" s="191"/>
      <c r="MFL41" s="191"/>
      <c r="MFN41" s="191"/>
      <c r="MFO41" s="191"/>
      <c r="MFP41" s="191"/>
      <c r="MFR41" s="191"/>
      <c r="MFS41" s="191"/>
      <c r="MFT41" s="191"/>
      <c r="MFV41" s="191"/>
      <c r="MFW41" s="191"/>
      <c r="MFX41" s="191"/>
      <c r="MFZ41" s="191"/>
      <c r="MGA41" s="191"/>
      <c r="MGB41" s="191"/>
      <c r="MGD41" s="191"/>
      <c r="MGE41" s="191"/>
      <c r="MGF41" s="191"/>
      <c r="MGH41" s="191"/>
      <c r="MGI41" s="191"/>
      <c r="MGJ41" s="191"/>
      <c r="MGL41" s="191"/>
      <c r="MGM41" s="191"/>
      <c r="MGN41" s="191"/>
      <c r="MGP41" s="191"/>
      <c r="MGQ41" s="191"/>
      <c r="MGR41" s="191"/>
      <c r="MGT41" s="191"/>
      <c r="MGU41" s="191"/>
      <c r="MGV41" s="191"/>
      <c r="MGX41" s="191"/>
      <c r="MGY41" s="191"/>
      <c r="MGZ41" s="191"/>
      <c r="MHB41" s="191"/>
      <c r="MHC41" s="191"/>
      <c r="MHD41" s="191"/>
      <c r="MHF41" s="191"/>
      <c r="MHG41" s="191"/>
      <c r="MHH41" s="191"/>
      <c r="MHJ41" s="191"/>
      <c r="MHK41" s="191"/>
      <c r="MHL41" s="191"/>
      <c r="MHN41" s="191"/>
      <c r="MHO41" s="191"/>
      <c r="MHP41" s="191"/>
      <c r="MHR41" s="191"/>
      <c r="MHS41" s="191"/>
      <c r="MHT41" s="191"/>
      <c r="MHV41" s="191"/>
      <c r="MHW41" s="191"/>
      <c r="MHX41" s="191"/>
      <c r="MHZ41" s="191"/>
      <c r="MIA41" s="191"/>
      <c r="MIB41" s="191"/>
      <c r="MID41" s="191"/>
      <c r="MIE41" s="191"/>
      <c r="MIF41" s="191"/>
      <c r="MIH41" s="191"/>
      <c r="MII41" s="191"/>
      <c r="MIJ41" s="191"/>
      <c r="MIL41" s="191"/>
      <c r="MIM41" s="191"/>
      <c r="MIN41" s="191"/>
      <c r="MIP41" s="191"/>
      <c r="MIQ41" s="191"/>
      <c r="MIR41" s="191"/>
      <c r="MIT41" s="191"/>
      <c r="MIU41" s="191"/>
      <c r="MIV41" s="191"/>
      <c r="MIX41" s="191"/>
      <c r="MIY41" s="191"/>
      <c r="MIZ41" s="191"/>
      <c r="MJB41" s="191"/>
      <c r="MJC41" s="191"/>
      <c r="MJD41" s="191"/>
      <c r="MJF41" s="191"/>
      <c r="MJG41" s="191"/>
      <c r="MJH41" s="191"/>
      <c r="MJJ41" s="191"/>
      <c r="MJK41" s="191"/>
      <c r="MJL41" s="191"/>
      <c r="MJN41" s="191"/>
      <c r="MJO41" s="191"/>
      <c r="MJP41" s="191"/>
      <c r="MJR41" s="191"/>
      <c r="MJS41" s="191"/>
      <c r="MJT41" s="191"/>
      <c r="MJV41" s="191"/>
      <c r="MJW41" s="191"/>
      <c r="MJX41" s="191"/>
      <c r="MJZ41" s="191"/>
      <c r="MKA41" s="191"/>
      <c r="MKB41" s="191"/>
      <c r="MKD41" s="191"/>
      <c r="MKE41" s="191"/>
      <c r="MKF41" s="191"/>
      <c r="MKH41" s="191"/>
      <c r="MKI41" s="191"/>
      <c r="MKJ41" s="191"/>
      <c r="MKL41" s="191"/>
      <c r="MKM41" s="191"/>
      <c r="MKN41" s="191"/>
      <c r="MKP41" s="191"/>
      <c r="MKQ41" s="191"/>
      <c r="MKR41" s="191"/>
      <c r="MKT41" s="191"/>
      <c r="MKU41" s="191"/>
      <c r="MKV41" s="191"/>
      <c r="MKX41" s="191"/>
      <c r="MKY41" s="191"/>
      <c r="MKZ41" s="191"/>
      <c r="MLB41" s="191"/>
      <c r="MLC41" s="191"/>
      <c r="MLD41" s="191"/>
      <c r="MLF41" s="191"/>
      <c r="MLG41" s="191"/>
      <c r="MLH41" s="191"/>
      <c r="MLJ41" s="191"/>
      <c r="MLK41" s="191"/>
      <c r="MLL41" s="191"/>
      <c r="MLN41" s="191"/>
      <c r="MLO41" s="191"/>
      <c r="MLP41" s="191"/>
      <c r="MLR41" s="191"/>
      <c r="MLS41" s="191"/>
      <c r="MLT41" s="191"/>
      <c r="MLV41" s="191"/>
      <c r="MLW41" s="191"/>
      <c r="MLX41" s="191"/>
      <c r="MLZ41" s="191"/>
      <c r="MMA41" s="191"/>
      <c r="MMB41" s="191"/>
      <c r="MMD41" s="191"/>
      <c r="MME41" s="191"/>
      <c r="MMF41" s="191"/>
      <c r="MMH41" s="191"/>
      <c r="MMI41" s="191"/>
      <c r="MMJ41" s="191"/>
      <c r="MML41" s="191"/>
      <c r="MMM41" s="191"/>
      <c r="MMN41" s="191"/>
      <c r="MMP41" s="191"/>
      <c r="MMQ41" s="191"/>
      <c r="MMR41" s="191"/>
      <c r="MMT41" s="191"/>
      <c r="MMU41" s="191"/>
      <c r="MMV41" s="191"/>
      <c r="MMX41" s="191"/>
      <c r="MMY41" s="191"/>
      <c r="MMZ41" s="191"/>
      <c r="MNB41" s="191"/>
      <c r="MNC41" s="191"/>
      <c r="MND41" s="191"/>
      <c r="MNF41" s="191"/>
      <c r="MNG41" s="191"/>
      <c r="MNH41" s="191"/>
      <c r="MNJ41" s="191"/>
      <c r="MNK41" s="191"/>
      <c r="MNL41" s="191"/>
      <c r="MNN41" s="191"/>
      <c r="MNO41" s="191"/>
      <c r="MNP41" s="191"/>
      <c r="MNR41" s="191"/>
      <c r="MNS41" s="191"/>
      <c r="MNT41" s="191"/>
      <c r="MNV41" s="191"/>
      <c r="MNW41" s="191"/>
      <c r="MNX41" s="191"/>
      <c r="MNZ41" s="191"/>
      <c r="MOA41" s="191"/>
      <c r="MOB41" s="191"/>
      <c r="MOD41" s="191"/>
      <c r="MOE41" s="191"/>
      <c r="MOF41" s="191"/>
      <c r="MOH41" s="191"/>
      <c r="MOI41" s="191"/>
      <c r="MOJ41" s="191"/>
      <c r="MOL41" s="191"/>
      <c r="MOM41" s="191"/>
      <c r="MON41" s="191"/>
      <c r="MOP41" s="191"/>
      <c r="MOQ41" s="191"/>
      <c r="MOR41" s="191"/>
      <c r="MOT41" s="191"/>
      <c r="MOU41" s="191"/>
      <c r="MOV41" s="191"/>
      <c r="MOX41" s="191"/>
      <c r="MOY41" s="191"/>
      <c r="MOZ41" s="191"/>
      <c r="MPB41" s="191"/>
      <c r="MPC41" s="191"/>
      <c r="MPD41" s="191"/>
      <c r="MPF41" s="191"/>
      <c r="MPG41" s="191"/>
      <c r="MPH41" s="191"/>
      <c r="MPJ41" s="191"/>
      <c r="MPK41" s="191"/>
      <c r="MPL41" s="191"/>
      <c r="MPN41" s="191"/>
      <c r="MPO41" s="191"/>
      <c r="MPP41" s="191"/>
      <c r="MPR41" s="191"/>
      <c r="MPS41" s="191"/>
      <c r="MPT41" s="191"/>
      <c r="MPV41" s="191"/>
      <c r="MPW41" s="191"/>
      <c r="MPX41" s="191"/>
      <c r="MPZ41" s="191"/>
      <c r="MQA41" s="191"/>
      <c r="MQB41" s="191"/>
      <c r="MQD41" s="191"/>
      <c r="MQE41" s="191"/>
      <c r="MQF41" s="191"/>
      <c r="MQH41" s="191"/>
      <c r="MQI41" s="191"/>
      <c r="MQJ41" s="191"/>
      <c r="MQL41" s="191"/>
      <c r="MQM41" s="191"/>
      <c r="MQN41" s="191"/>
      <c r="MQP41" s="191"/>
      <c r="MQQ41" s="191"/>
      <c r="MQR41" s="191"/>
      <c r="MQT41" s="191"/>
      <c r="MQU41" s="191"/>
      <c r="MQV41" s="191"/>
      <c r="MQX41" s="191"/>
      <c r="MQY41" s="191"/>
      <c r="MQZ41" s="191"/>
      <c r="MRB41" s="191"/>
      <c r="MRC41" s="191"/>
      <c r="MRD41" s="191"/>
      <c r="MRF41" s="191"/>
      <c r="MRG41" s="191"/>
      <c r="MRH41" s="191"/>
      <c r="MRJ41" s="191"/>
      <c r="MRK41" s="191"/>
      <c r="MRL41" s="191"/>
      <c r="MRN41" s="191"/>
      <c r="MRO41" s="191"/>
      <c r="MRP41" s="191"/>
      <c r="MRR41" s="191"/>
      <c r="MRS41" s="191"/>
      <c r="MRT41" s="191"/>
      <c r="MRV41" s="191"/>
      <c r="MRW41" s="191"/>
      <c r="MRX41" s="191"/>
      <c r="MRZ41" s="191"/>
      <c r="MSA41" s="191"/>
      <c r="MSB41" s="191"/>
      <c r="MSD41" s="191"/>
      <c r="MSE41" s="191"/>
      <c r="MSF41" s="191"/>
      <c r="MSH41" s="191"/>
      <c r="MSI41" s="191"/>
      <c r="MSJ41" s="191"/>
      <c r="MSL41" s="191"/>
      <c r="MSM41" s="191"/>
      <c r="MSN41" s="191"/>
      <c r="MSP41" s="191"/>
      <c r="MSQ41" s="191"/>
      <c r="MSR41" s="191"/>
      <c r="MST41" s="191"/>
      <c r="MSU41" s="191"/>
      <c r="MSV41" s="191"/>
      <c r="MSX41" s="191"/>
      <c r="MSY41" s="191"/>
      <c r="MSZ41" s="191"/>
      <c r="MTB41" s="191"/>
      <c r="MTC41" s="191"/>
      <c r="MTD41" s="191"/>
      <c r="MTF41" s="191"/>
      <c r="MTG41" s="191"/>
      <c r="MTH41" s="191"/>
      <c r="MTJ41" s="191"/>
      <c r="MTK41" s="191"/>
      <c r="MTL41" s="191"/>
      <c r="MTN41" s="191"/>
      <c r="MTO41" s="191"/>
      <c r="MTP41" s="191"/>
      <c r="MTR41" s="191"/>
      <c r="MTS41" s="191"/>
      <c r="MTT41" s="191"/>
      <c r="MTV41" s="191"/>
      <c r="MTW41" s="191"/>
      <c r="MTX41" s="191"/>
      <c r="MTZ41" s="191"/>
      <c r="MUA41" s="191"/>
      <c r="MUB41" s="191"/>
      <c r="MUD41" s="191"/>
      <c r="MUE41" s="191"/>
      <c r="MUF41" s="191"/>
      <c r="MUH41" s="191"/>
      <c r="MUI41" s="191"/>
      <c r="MUJ41" s="191"/>
      <c r="MUL41" s="191"/>
      <c r="MUM41" s="191"/>
      <c r="MUN41" s="191"/>
      <c r="MUP41" s="191"/>
      <c r="MUQ41" s="191"/>
      <c r="MUR41" s="191"/>
      <c r="MUT41" s="191"/>
      <c r="MUU41" s="191"/>
      <c r="MUV41" s="191"/>
      <c r="MUX41" s="191"/>
      <c r="MUY41" s="191"/>
      <c r="MUZ41" s="191"/>
      <c r="MVB41" s="191"/>
      <c r="MVC41" s="191"/>
      <c r="MVD41" s="191"/>
      <c r="MVF41" s="191"/>
      <c r="MVG41" s="191"/>
      <c r="MVH41" s="191"/>
      <c r="MVJ41" s="191"/>
      <c r="MVK41" s="191"/>
      <c r="MVL41" s="191"/>
      <c r="MVN41" s="191"/>
      <c r="MVO41" s="191"/>
      <c r="MVP41" s="191"/>
      <c r="MVR41" s="191"/>
      <c r="MVS41" s="191"/>
      <c r="MVT41" s="191"/>
      <c r="MVV41" s="191"/>
      <c r="MVW41" s="191"/>
      <c r="MVX41" s="191"/>
      <c r="MVZ41" s="191"/>
      <c r="MWA41" s="191"/>
      <c r="MWB41" s="191"/>
      <c r="MWD41" s="191"/>
      <c r="MWE41" s="191"/>
      <c r="MWF41" s="191"/>
      <c r="MWH41" s="191"/>
      <c r="MWI41" s="191"/>
      <c r="MWJ41" s="191"/>
      <c r="MWL41" s="191"/>
      <c r="MWM41" s="191"/>
      <c r="MWN41" s="191"/>
      <c r="MWP41" s="191"/>
      <c r="MWQ41" s="191"/>
      <c r="MWR41" s="191"/>
      <c r="MWT41" s="191"/>
      <c r="MWU41" s="191"/>
      <c r="MWV41" s="191"/>
      <c r="MWX41" s="191"/>
      <c r="MWY41" s="191"/>
      <c r="MWZ41" s="191"/>
      <c r="MXB41" s="191"/>
      <c r="MXC41" s="191"/>
      <c r="MXD41" s="191"/>
      <c r="MXF41" s="191"/>
      <c r="MXG41" s="191"/>
      <c r="MXH41" s="191"/>
      <c r="MXJ41" s="191"/>
      <c r="MXK41" s="191"/>
      <c r="MXL41" s="191"/>
      <c r="MXN41" s="191"/>
      <c r="MXO41" s="191"/>
      <c r="MXP41" s="191"/>
      <c r="MXR41" s="191"/>
      <c r="MXS41" s="191"/>
      <c r="MXT41" s="191"/>
      <c r="MXV41" s="191"/>
      <c r="MXW41" s="191"/>
      <c r="MXX41" s="191"/>
      <c r="MXZ41" s="191"/>
      <c r="MYA41" s="191"/>
      <c r="MYB41" s="191"/>
      <c r="MYD41" s="191"/>
      <c r="MYE41" s="191"/>
      <c r="MYF41" s="191"/>
      <c r="MYH41" s="191"/>
      <c r="MYI41" s="191"/>
      <c r="MYJ41" s="191"/>
      <c r="MYL41" s="191"/>
      <c r="MYM41" s="191"/>
      <c r="MYN41" s="191"/>
      <c r="MYP41" s="191"/>
      <c r="MYQ41" s="191"/>
      <c r="MYR41" s="191"/>
      <c r="MYT41" s="191"/>
      <c r="MYU41" s="191"/>
      <c r="MYV41" s="191"/>
      <c r="MYX41" s="191"/>
      <c r="MYY41" s="191"/>
      <c r="MYZ41" s="191"/>
      <c r="MZB41" s="191"/>
      <c r="MZC41" s="191"/>
      <c r="MZD41" s="191"/>
      <c r="MZF41" s="191"/>
      <c r="MZG41" s="191"/>
      <c r="MZH41" s="191"/>
      <c r="MZJ41" s="191"/>
      <c r="MZK41" s="191"/>
      <c r="MZL41" s="191"/>
      <c r="MZN41" s="191"/>
      <c r="MZO41" s="191"/>
      <c r="MZP41" s="191"/>
      <c r="MZR41" s="191"/>
      <c r="MZS41" s="191"/>
      <c r="MZT41" s="191"/>
      <c r="MZV41" s="191"/>
      <c r="MZW41" s="191"/>
      <c r="MZX41" s="191"/>
      <c r="MZZ41" s="191"/>
      <c r="NAA41" s="191"/>
      <c r="NAB41" s="191"/>
      <c r="NAD41" s="191"/>
      <c r="NAE41" s="191"/>
      <c r="NAF41" s="191"/>
      <c r="NAH41" s="191"/>
      <c r="NAI41" s="191"/>
      <c r="NAJ41" s="191"/>
      <c r="NAL41" s="191"/>
      <c r="NAM41" s="191"/>
      <c r="NAN41" s="191"/>
      <c r="NAP41" s="191"/>
      <c r="NAQ41" s="191"/>
      <c r="NAR41" s="191"/>
      <c r="NAT41" s="191"/>
      <c r="NAU41" s="191"/>
      <c r="NAV41" s="191"/>
      <c r="NAX41" s="191"/>
      <c r="NAY41" s="191"/>
      <c r="NAZ41" s="191"/>
      <c r="NBB41" s="191"/>
      <c r="NBC41" s="191"/>
      <c r="NBD41" s="191"/>
      <c r="NBF41" s="191"/>
      <c r="NBG41" s="191"/>
      <c r="NBH41" s="191"/>
      <c r="NBJ41" s="191"/>
      <c r="NBK41" s="191"/>
      <c r="NBL41" s="191"/>
      <c r="NBN41" s="191"/>
      <c r="NBO41" s="191"/>
      <c r="NBP41" s="191"/>
      <c r="NBR41" s="191"/>
      <c r="NBS41" s="191"/>
      <c r="NBT41" s="191"/>
      <c r="NBV41" s="191"/>
      <c r="NBW41" s="191"/>
      <c r="NBX41" s="191"/>
      <c r="NBZ41" s="191"/>
      <c r="NCA41" s="191"/>
      <c r="NCB41" s="191"/>
      <c r="NCD41" s="191"/>
      <c r="NCE41" s="191"/>
      <c r="NCF41" s="191"/>
      <c r="NCH41" s="191"/>
      <c r="NCI41" s="191"/>
      <c r="NCJ41" s="191"/>
      <c r="NCL41" s="191"/>
      <c r="NCM41" s="191"/>
      <c r="NCN41" s="191"/>
      <c r="NCP41" s="191"/>
      <c r="NCQ41" s="191"/>
      <c r="NCR41" s="191"/>
      <c r="NCT41" s="191"/>
      <c r="NCU41" s="191"/>
      <c r="NCV41" s="191"/>
      <c r="NCX41" s="191"/>
      <c r="NCY41" s="191"/>
      <c r="NCZ41" s="191"/>
      <c r="NDB41" s="191"/>
      <c r="NDC41" s="191"/>
      <c r="NDD41" s="191"/>
      <c r="NDF41" s="191"/>
      <c r="NDG41" s="191"/>
      <c r="NDH41" s="191"/>
      <c r="NDJ41" s="191"/>
      <c r="NDK41" s="191"/>
      <c r="NDL41" s="191"/>
      <c r="NDN41" s="191"/>
      <c r="NDO41" s="191"/>
      <c r="NDP41" s="191"/>
      <c r="NDR41" s="191"/>
      <c r="NDS41" s="191"/>
      <c r="NDT41" s="191"/>
      <c r="NDV41" s="191"/>
      <c r="NDW41" s="191"/>
      <c r="NDX41" s="191"/>
      <c r="NDZ41" s="191"/>
      <c r="NEA41" s="191"/>
      <c r="NEB41" s="191"/>
      <c r="NED41" s="191"/>
      <c r="NEE41" s="191"/>
      <c r="NEF41" s="191"/>
      <c r="NEH41" s="191"/>
      <c r="NEI41" s="191"/>
      <c r="NEJ41" s="191"/>
      <c r="NEL41" s="191"/>
      <c r="NEM41" s="191"/>
      <c r="NEN41" s="191"/>
      <c r="NEP41" s="191"/>
      <c r="NEQ41" s="191"/>
      <c r="NER41" s="191"/>
      <c r="NET41" s="191"/>
      <c r="NEU41" s="191"/>
      <c r="NEV41" s="191"/>
      <c r="NEX41" s="191"/>
      <c r="NEY41" s="191"/>
      <c r="NEZ41" s="191"/>
      <c r="NFB41" s="191"/>
      <c r="NFC41" s="191"/>
      <c r="NFD41" s="191"/>
      <c r="NFF41" s="191"/>
      <c r="NFG41" s="191"/>
      <c r="NFH41" s="191"/>
      <c r="NFJ41" s="191"/>
      <c r="NFK41" s="191"/>
      <c r="NFL41" s="191"/>
      <c r="NFN41" s="191"/>
      <c r="NFO41" s="191"/>
      <c r="NFP41" s="191"/>
      <c r="NFR41" s="191"/>
      <c r="NFS41" s="191"/>
      <c r="NFT41" s="191"/>
      <c r="NFV41" s="191"/>
      <c r="NFW41" s="191"/>
      <c r="NFX41" s="191"/>
      <c r="NFZ41" s="191"/>
      <c r="NGA41" s="191"/>
      <c r="NGB41" s="191"/>
      <c r="NGD41" s="191"/>
      <c r="NGE41" s="191"/>
      <c r="NGF41" s="191"/>
      <c r="NGH41" s="191"/>
      <c r="NGI41" s="191"/>
      <c r="NGJ41" s="191"/>
      <c r="NGL41" s="191"/>
      <c r="NGM41" s="191"/>
      <c r="NGN41" s="191"/>
      <c r="NGP41" s="191"/>
      <c r="NGQ41" s="191"/>
      <c r="NGR41" s="191"/>
      <c r="NGT41" s="191"/>
      <c r="NGU41" s="191"/>
      <c r="NGV41" s="191"/>
      <c r="NGX41" s="191"/>
      <c r="NGY41" s="191"/>
      <c r="NGZ41" s="191"/>
      <c r="NHB41" s="191"/>
      <c r="NHC41" s="191"/>
      <c r="NHD41" s="191"/>
      <c r="NHF41" s="191"/>
      <c r="NHG41" s="191"/>
      <c r="NHH41" s="191"/>
      <c r="NHJ41" s="191"/>
      <c r="NHK41" s="191"/>
      <c r="NHL41" s="191"/>
      <c r="NHN41" s="191"/>
      <c r="NHO41" s="191"/>
      <c r="NHP41" s="191"/>
      <c r="NHR41" s="191"/>
      <c r="NHS41" s="191"/>
      <c r="NHT41" s="191"/>
      <c r="NHV41" s="191"/>
      <c r="NHW41" s="191"/>
      <c r="NHX41" s="191"/>
      <c r="NHZ41" s="191"/>
      <c r="NIA41" s="191"/>
      <c r="NIB41" s="191"/>
      <c r="NID41" s="191"/>
      <c r="NIE41" s="191"/>
      <c r="NIF41" s="191"/>
      <c r="NIH41" s="191"/>
      <c r="NII41" s="191"/>
      <c r="NIJ41" s="191"/>
      <c r="NIL41" s="191"/>
      <c r="NIM41" s="191"/>
      <c r="NIN41" s="191"/>
      <c r="NIP41" s="191"/>
      <c r="NIQ41" s="191"/>
      <c r="NIR41" s="191"/>
      <c r="NIT41" s="191"/>
      <c r="NIU41" s="191"/>
      <c r="NIV41" s="191"/>
      <c r="NIX41" s="191"/>
      <c r="NIY41" s="191"/>
      <c r="NIZ41" s="191"/>
      <c r="NJB41" s="191"/>
      <c r="NJC41" s="191"/>
      <c r="NJD41" s="191"/>
      <c r="NJF41" s="191"/>
      <c r="NJG41" s="191"/>
      <c r="NJH41" s="191"/>
      <c r="NJJ41" s="191"/>
      <c r="NJK41" s="191"/>
      <c r="NJL41" s="191"/>
      <c r="NJN41" s="191"/>
      <c r="NJO41" s="191"/>
      <c r="NJP41" s="191"/>
      <c r="NJR41" s="191"/>
      <c r="NJS41" s="191"/>
      <c r="NJT41" s="191"/>
      <c r="NJV41" s="191"/>
      <c r="NJW41" s="191"/>
      <c r="NJX41" s="191"/>
      <c r="NJZ41" s="191"/>
      <c r="NKA41" s="191"/>
      <c r="NKB41" s="191"/>
      <c r="NKD41" s="191"/>
      <c r="NKE41" s="191"/>
      <c r="NKF41" s="191"/>
      <c r="NKH41" s="191"/>
      <c r="NKI41" s="191"/>
      <c r="NKJ41" s="191"/>
      <c r="NKL41" s="191"/>
      <c r="NKM41" s="191"/>
      <c r="NKN41" s="191"/>
      <c r="NKP41" s="191"/>
      <c r="NKQ41" s="191"/>
      <c r="NKR41" s="191"/>
      <c r="NKT41" s="191"/>
      <c r="NKU41" s="191"/>
      <c r="NKV41" s="191"/>
      <c r="NKX41" s="191"/>
      <c r="NKY41" s="191"/>
      <c r="NKZ41" s="191"/>
      <c r="NLB41" s="191"/>
      <c r="NLC41" s="191"/>
      <c r="NLD41" s="191"/>
      <c r="NLF41" s="191"/>
      <c r="NLG41" s="191"/>
      <c r="NLH41" s="191"/>
      <c r="NLJ41" s="191"/>
      <c r="NLK41" s="191"/>
      <c r="NLL41" s="191"/>
      <c r="NLN41" s="191"/>
      <c r="NLO41" s="191"/>
      <c r="NLP41" s="191"/>
      <c r="NLR41" s="191"/>
      <c r="NLS41" s="191"/>
      <c r="NLT41" s="191"/>
      <c r="NLV41" s="191"/>
      <c r="NLW41" s="191"/>
      <c r="NLX41" s="191"/>
      <c r="NLZ41" s="191"/>
      <c r="NMA41" s="191"/>
      <c r="NMB41" s="191"/>
      <c r="NMD41" s="191"/>
      <c r="NME41" s="191"/>
      <c r="NMF41" s="191"/>
      <c r="NMH41" s="191"/>
      <c r="NMI41" s="191"/>
      <c r="NMJ41" s="191"/>
      <c r="NML41" s="191"/>
      <c r="NMM41" s="191"/>
      <c r="NMN41" s="191"/>
      <c r="NMP41" s="191"/>
      <c r="NMQ41" s="191"/>
      <c r="NMR41" s="191"/>
      <c r="NMT41" s="191"/>
      <c r="NMU41" s="191"/>
      <c r="NMV41" s="191"/>
      <c r="NMX41" s="191"/>
      <c r="NMY41" s="191"/>
      <c r="NMZ41" s="191"/>
      <c r="NNB41" s="191"/>
      <c r="NNC41" s="191"/>
      <c r="NND41" s="191"/>
      <c r="NNF41" s="191"/>
      <c r="NNG41" s="191"/>
      <c r="NNH41" s="191"/>
      <c r="NNJ41" s="191"/>
      <c r="NNK41" s="191"/>
      <c r="NNL41" s="191"/>
      <c r="NNN41" s="191"/>
      <c r="NNO41" s="191"/>
      <c r="NNP41" s="191"/>
      <c r="NNR41" s="191"/>
      <c r="NNS41" s="191"/>
      <c r="NNT41" s="191"/>
      <c r="NNV41" s="191"/>
      <c r="NNW41" s="191"/>
      <c r="NNX41" s="191"/>
      <c r="NNZ41" s="191"/>
      <c r="NOA41" s="191"/>
      <c r="NOB41" s="191"/>
      <c r="NOD41" s="191"/>
      <c r="NOE41" s="191"/>
      <c r="NOF41" s="191"/>
      <c r="NOH41" s="191"/>
      <c r="NOI41" s="191"/>
      <c r="NOJ41" s="191"/>
      <c r="NOL41" s="191"/>
      <c r="NOM41" s="191"/>
      <c r="NON41" s="191"/>
      <c r="NOP41" s="191"/>
      <c r="NOQ41" s="191"/>
      <c r="NOR41" s="191"/>
      <c r="NOT41" s="191"/>
      <c r="NOU41" s="191"/>
      <c r="NOV41" s="191"/>
      <c r="NOX41" s="191"/>
      <c r="NOY41" s="191"/>
      <c r="NOZ41" s="191"/>
      <c r="NPB41" s="191"/>
      <c r="NPC41" s="191"/>
      <c r="NPD41" s="191"/>
      <c r="NPF41" s="191"/>
      <c r="NPG41" s="191"/>
      <c r="NPH41" s="191"/>
      <c r="NPJ41" s="191"/>
      <c r="NPK41" s="191"/>
      <c r="NPL41" s="191"/>
      <c r="NPN41" s="191"/>
      <c r="NPO41" s="191"/>
      <c r="NPP41" s="191"/>
      <c r="NPR41" s="191"/>
      <c r="NPS41" s="191"/>
      <c r="NPT41" s="191"/>
      <c r="NPV41" s="191"/>
      <c r="NPW41" s="191"/>
      <c r="NPX41" s="191"/>
      <c r="NPZ41" s="191"/>
      <c r="NQA41" s="191"/>
      <c r="NQB41" s="191"/>
      <c r="NQD41" s="191"/>
      <c r="NQE41" s="191"/>
      <c r="NQF41" s="191"/>
      <c r="NQH41" s="191"/>
      <c r="NQI41" s="191"/>
      <c r="NQJ41" s="191"/>
      <c r="NQL41" s="191"/>
      <c r="NQM41" s="191"/>
      <c r="NQN41" s="191"/>
      <c r="NQP41" s="191"/>
      <c r="NQQ41" s="191"/>
      <c r="NQR41" s="191"/>
      <c r="NQT41" s="191"/>
      <c r="NQU41" s="191"/>
      <c r="NQV41" s="191"/>
      <c r="NQX41" s="191"/>
      <c r="NQY41" s="191"/>
      <c r="NQZ41" s="191"/>
      <c r="NRB41" s="191"/>
      <c r="NRC41" s="191"/>
      <c r="NRD41" s="191"/>
      <c r="NRF41" s="191"/>
      <c r="NRG41" s="191"/>
      <c r="NRH41" s="191"/>
      <c r="NRJ41" s="191"/>
      <c r="NRK41" s="191"/>
      <c r="NRL41" s="191"/>
      <c r="NRN41" s="191"/>
      <c r="NRO41" s="191"/>
      <c r="NRP41" s="191"/>
      <c r="NRR41" s="191"/>
      <c r="NRS41" s="191"/>
      <c r="NRT41" s="191"/>
      <c r="NRV41" s="191"/>
      <c r="NRW41" s="191"/>
      <c r="NRX41" s="191"/>
      <c r="NRZ41" s="191"/>
      <c r="NSA41" s="191"/>
      <c r="NSB41" s="191"/>
      <c r="NSD41" s="191"/>
      <c r="NSE41" s="191"/>
      <c r="NSF41" s="191"/>
      <c r="NSH41" s="191"/>
      <c r="NSI41" s="191"/>
      <c r="NSJ41" s="191"/>
      <c r="NSL41" s="191"/>
      <c r="NSM41" s="191"/>
      <c r="NSN41" s="191"/>
      <c r="NSP41" s="191"/>
      <c r="NSQ41" s="191"/>
      <c r="NSR41" s="191"/>
      <c r="NST41" s="191"/>
      <c r="NSU41" s="191"/>
      <c r="NSV41" s="191"/>
      <c r="NSX41" s="191"/>
      <c r="NSY41" s="191"/>
      <c r="NSZ41" s="191"/>
      <c r="NTB41" s="191"/>
      <c r="NTC41" s="191"/>
      <c r="NTD41" s="191"/>
      <c r="NTF41" s="191"/>
      <c r="NTG41" s="191"/>
      <c r="NTH41" s="191"/>
      <c r="NTJ41" s="191"/>
      <c r="NTK41" s="191"/>
      <c r="NTL41" s="191"/>
      <c r="NTN41" s="191"/>
      <c r="NTO41" s="191"/>
      <c r="NTP41" s="191"/>
      <c r="NTR41" s="191"/>
      <c r="NTS41" s="191"/>
      <c r="NTT41" s="191"/>
      <c r="NTV41" s="191"/>
      <c r="NTW41" s="191"/>
      <c r="NTX41" s="191"/>
      <c r="NTZ41" s="191"/>
      <c r="NUA41" s="191"/>
      <c r="NUB41" s="191"/>
      <c r="NUD41" s="191"/>
      <c r="NUE41" s="191"/>
      <c r="NUF41" s="191"/>
      <c r="NUH41" s="191"/>
      <c r="NUI41" s="191"/>
      <c r="NUJ41" s="191"/>
      <c r="NUL41" s="191"/>
      <c r="NUM41" s="191"/>
      <c r="NUN41" s="191"/>
      <c r="NUP41" s="191"/>
      <c r="NUQ41" s="191"/>
      <c r="NUR41" s="191"/>
      <c r="NUT41" s="191"/>
      <c r="NUU41" s="191"/>
      <c r="NUV41" s="191"/>
      <c r="NUX41" s="191"/>
      <c r="NUY41" s="191"/>
      <c r="NUZ41" s="191"/>
      <c r="NVB41" s="191"/>
      <c r="NVC41" s="191"/>
      <c r="NVD41" s="191"/>
      <c r="NVF41" s="191"/>
      <c r="NVG41" s="191"/>
      <c r="NVH41" s="191"/>
      <c r="NVJ41" s="191"/>
      <c r="NVK41" s="191"/>
      <c r="NVL41" s="191"/>
      <c r="NVN41" s="191"/>
      <c r="NVO41" s="191"/>
      <c r="NVP41" s="191"/>
      <c r="NVR41" s="191"/>
      <c r="NVS41" s="191"/>
      <c r="NVT41" s="191"/>
      <c r="NVV41" s="191"/>
      <c r="NVW41" s="191"/>
      <c r="NVX41" s="191"/>
      <c r="NVZ41" s="191"/>
      <c r="NWA41" s="191"/>
      <c r="NWB41" s="191"/>
      <c r="NWD41" s="191"/>
      <c r="NWE41" s="191"/>
      <c r="NWF41" s="191"/>
      <c r="NWH41" s="191"/>
      <c r="NWI41" s="191"/>
      <c r="NWJ41" s="191"/>
      <c r="NWL41" s="191"/>
      <c r="NWM41" s="191"/>
      <c r="NWN41" s="191"/>
      <c r="NWP41" s="191"/>
      <c r="NWQ41" s="191"/>
      <c r="NWR41" s="191"/>
      <c r="NWT41" s="191"/>
      <c r="NWU41" s="191"/>
      <c r="NWV41" s="191"/>
      <c r="NWX41" s="191"/>
      <c r="NWY41" s="191"/>
      <c r="NWZ41" s="191"/>
      <c r="NXB41" s="191"/>
      <c r="NXC41" s="191"/>
      <c r="NXD41" s="191"/>
      <c r="NXF41" s="191"/>
      <c r="NXG41" s="191"/>
      <c r="NXH41" s="191"/>
      <c r="NXJ41" s="191"/>
      <c r="NXK41" s="191"/>
      <c r="NXL41" s="191"/>
      <c r="NXN41" s="191"/>
      <c r="NXO41" s="191"/>
      <c r="NXP41" s="191"/>
      <c r="NXR41" s="191"/>
      <c r="NXS41" s="191"/>
      <c r="NXT41" s="191"/>
      <c r="NXV41" s="191"/>
      <c r="NXW41" s="191"/>
      <c r="NXX41" s="191"/>
      <c r="NXZ41" s="191"/>
      <c r="NYA41" s="191"/>
      <c r="NYB41" s="191"/>
      <c r="NYD41" s="191"/>
      <c r="NYE41" s="191"/>
      <c r="NYF41" s="191"/>
      <c r="NYH41" s="191"/>
      <c r="NYI41" s="191"/>
      <c r="NYJ41" s="191"/>
      <c r="NYL41" s="191"/>
      <c r="NYM41" s="191"/>
      <c r="NYN41" s="191"/>
      <c r="NYP41" s="191"/>
      <c r="NYQ41" s="191"/>
      <c r="NYR41" s="191"/>
      <c r="NYT41" s="191"/>
      <c r="NYU41" s="191"/>
      <c r="NYV41" s="191"/>
      <c r="NYX41" s="191"/>
      <c r="NYY41" s="191"/>
      <c r="NYZ41" s="191"/>
      <c r="NZB41" s="191"/>
      <c r="NZC41" s="191"/>
      <c r="NZD41" s="191"/>
      <c r="NZF41" s="191"/>
      <c r="NZG41" s="191"/>
      <c r="NZH41" s="191"/>
      <c r="NZJ41" s="191"/>
      <c r="NZK41" s="191"/>
      <c r="NZL41" s="191"/>
      <c r="NZN41" s="191"/>
      <c r="NZO41" s="191"/>
      <c r="NZP41" s="191"/>
      <c r="NZR41" s="191"/>
      <c r="NZS41" s="191"/>
      <c r="NZT41" s="191"/>
      <c r="NZV41" s="191"/>
      <c r="NZW41" s="191"/>
      <c r="NZX41" s="191"/>
      <c r="NZZ41" s="191"/>
      <c r="OAA41" s="191"/>
      <c r="OAB41" s="191"/>
      <c r="OAD41" s="191"/>
      <c r="OAE41" s="191"/>
      <c r="OAF41" s="191"/>
      <c r="OAH41" s="191"/>
      <c r="OAI41" s="191"/>
      <c r="OAJ41" s="191"/>
      <c r="OAL41" s="191"/>
      <c r="OAM41" s="191"/>
      <c r="OAN41" s="191"/>
      <c r="OAP41" s="191"/>
      <c r="OAQ41" s="191"/>
      <c r="OAR41" s="191"/>
      <c r="OAT41" s="191"/>
      <c r="OAU41" s="191"/>
      <c r="OAV41" s="191"/>
      <c r="OAX41" s="191"/>
      <c r="OAY41" s="191"/>
      <c r="OAZ41" s="191"/>
      <c r="OBB41" s="191"/>
      <c r="OBC41" s="191"/>
      <c r="OBD41" s="191"/>
      <c r="OBF41" s="191"/>
      <c r="OBG41" s="191"/>
      <c r="OBH41" s="191"/>
      <c r="OBJ41" s="191"/>
      <c r="OBK41" s="191"/>
      <c r="OBL41" s="191"/>
      <c r="OBN41" s="191"/>
      <c r="OBO41" s="191"/>
      <c r="OBP41" s="191"/>
      <c r="OBR41" s="191"/>
      <c r="OBS41" s="191"/>
      <c r="OBT41" s="191"/>
      <c r="OBV41" s="191"/>
      <c r="OBW41" s="191"/>
      <c r="OBX41" s="191"/>
      <c r="OBZ41" s="191"/>
      <c r="OCA41" s="191"/>
      <c r="OCB41" s="191"/>
      <c r="OCD41" s="191"/>
      <c r="OCE41" s="191"/>
      <c r="OCF41" s="191"/>
      <c r="OCH41" s="191"/>
      <c r="OCI41" s="191"/>
      <c r="OCJ41" s="191"/>
      <c r="OCL41" s="191"/>
      <c r="OCM41" s="191"/>
      <c r="OCN41" s="191"/>
      <c r="OCP41" s="191"/>
      <c r="OCQ41" s="191"/>
      <c r="OCR41" s="191"/>
      <c r="OCT41" s="191"/>
      <c r="OCU41" s="191"/>
      <c r="OCV41" s="191"/>
      <c r="OCX41" s="191"/>
      <c r="OCY41" s="191"/>
      <c r="OCZ41" s="191"/>
      <c r="ODB41" s="191"/>
      <c r="ODC41" s="191"/>
      <c r="ODD41" s="191"/>
      <c r="ODF41" s="191"/>
      <c r="ODG41" s="191"/>
      <c r="ODH41" s="191"/>
      <c r="ODJ41" s="191"/>
      <c r="ODK41" s="191"/>
      <c r="ODL41" s="191"/>
      <c r="ODN41" s="191"/>
      <c r="ODO41" s="191"/>
      <c r="ODP41" s="191"/>
      <c r="ODR41" s="191"/>
      <c r="ODS41" s="191"/>
      <c r="ODT41" s="191"/>
      <c r="ODV41" s="191"/>
      <c r="ODW41" s="191"/>
      <c r="ODX41" s="191"/>
      <c r="ODZ41" s="191"/>
      <c r="OEA41" s="191"/>
      <c r="OEB41" s="191"/>
      <c r="OED41" s="191"/>
      <c r="OEE41" s="191"/>
      <c r="OEF41" s="191"/>
      <c r="OEH41" s="191"/>
      <c r="OEI41" s="191"/>
      <c r="OEJ41" s="191"/>
      <c r="OEL41" s="191"/>
      <c r="OEM41" s="191"/>
      <c r="OEN41" s="191"/>
      <c r="OEP41" s="191"/>
      <c r="OEQ41" s="191"/>
      <c r="OER41" s="191"/>
      <c r="OET41" s="191"/>
      <c r="OEU41" s="191"/>
      <c r="OEV41" s="191"/>
      <c r="OEX41" s="191"/>
      <c r="OEY41" s="191"/>
      <c r="OEZ41" s="191"/>
      <c r="OFB41" s="191"/>
      <c r="OFC41" s="191"/>
      <c r="OFD41" s="191"/>
      <c r="OFF41" s="191"/>
      <c r="OFG41" s="191"/>
      <c r="OFH41" s="191"/>
      <c r="OFJ41" s="191"/>
      <c r="OFK41" s="191"/>
      <c r="OFL41" s="191"/>
      <c r="OFN41" s="191"/>
      <c r="OFO41" s="191"/>
      <c r="OFP41" s="191"/>
      <c r="OFR41" s="191"/>
      <c r="OFS41" s="191"/>
      <c r="OFT41" s="191"/>
      <c r="OFV41" s="191"/>
      <c r="OFW41" s="191"/>
      <c r="OFX41" s="191"/>
      <c r="OFZ41" s="191"/>
      <c r="OGA41" s="191"/>
      <c r="OGB41" s="191"/>
      <c r="OGD41" s="191"/>
      <c r="OGE41" s="191"/>
      <c r="OGF41" s="191"/>
      <c r="OGH41" s="191"/>
      <c r="OGI41" s="191"/>
      <c r="OGJ41" s="191"/>
      <c r="OGL41" s="191"/>
      <c r="OGM41" s="191"/>
      <c r="OGN41" s="191"/>
      <c r="OGP41" s="191"/>
      <c r="OGQ41" s="191"/>
      <c r="OGR41" s="191"/>
      <c r="OGT41" s="191"/>
      <c r="OGU41" s="191"/>
      <c r="OGV41" s="191"/>
      <c r="OGX41" s="191"/>
      <c r="OGY41" s="191"/>
      <c r="OGZ41" s="191"/>
      <c r="OHB41" s="191"/>
      <c r="OHC41" s="191"/>
      <c r="OHD41" s="191"/>
      <c r="OHF41" s="191"/>
      <c r="OHG41" s="191"/>
      <c r="OHH41" s="191"/>
      <c r="OHJ41" s="191"/>
      <c r="OHK41" s="191"/>
      <c r="OHL41" s="191"/>
      <c r="OHN41" s="191"/>
      <c r="OHO41" s="191"/>
      <c r="OHP41" s="191"/>
      <c r="OHR41" s="191"/>
      <c r="OHS41" s="191"/>
      <c r="OHT41" s="191"/>
      <c r="OHV41" s="191"/>
      <c r="OHW41" s="191"/>
      <c r="OHX41" s="191"/>
      <c r="OHZ41" s="191"/>
      <c r="OIA41" s="191"/>
      <c r="OIB41" s="191"/>
      <c r="OID41" s="191"/>
      <c r="OIE41" s="191"/>
      <c r="OIF41" s="191"/>
      <c r="OIH41" s="191"/>
      <c r="OII41" s="191"/>
      <c r="OIJ41" s="191"/>
      <c r="OIL41" s="191"/>
      <c r="OIM41" s="191"/>
      <c r="OIN41" s="191"/>
      <c r="OIP41" s="191"/>
      <c r="OIQ41" s="191"/>
      <c r="OIR41" s="191"/>
      <c r="OIT41" s="191"/>
      <c r="OIU41" s="191"/>
      <c r="OIV41" s="191"/>
      <c r="OIX41" s="191"/>
      <c r="OIY41" s="191"/>
      <c r="OIZ41" s="191"/>
      <c r="OJB41" s="191"/>
      <c r="OJC41" s="191"/>
      <c r="OJD41" s="191"/>
      <c r="OJF41" s="191"/>
      <c r="OJG41" s="191"/>
      <c r="OJH41" s="191"/>
      <c r="OJJ41" s="191"/>
      <c r="OJK41" s="191"/>
      <c r="OJL41" s="191"/>
      <c r="OJN41" s="191"/>
      <c r="OJO41" s="191"/>
      <c r="OJP41" s="191"/>
      <c r="OJR41" s="191"/>
      <c r="OJS41" s="191"/>
      <c r="OJT41" s="191"/>
      <c r="OJV41" s="191"/>
      <c r="OJW41" s="191"/>
      <c r="OJX41" s="191"/>
      <c r="OJZ41" s="191"/>
      <c r="OKA41" s="191"/>
      <c r="OKB41" s="191"/>
      <c r="OKD41" s="191"/>
      <c r="OKE41" s="191"/>
      <c r="OKF41" s="191"/>
      <c r="OKH41" s="191"/>
      <c r="OKI41" s="191"/>
      <c r="OKJ41" s="191"/>
      <c r="OKL41" s="191"/>
      <c r="OKM41" s="191"/>
      <c r="OKN41" s="191"/>
      <c r="OKP41" s="191"/>
      <c r="OKQ41" s="191"/>
      <c r="OKR41" s="191"/>
      <c r="OKT41" s="191"/>
      <c r="OKU41" s="191"/>
      <c r="OKV41" s="191"/>
      <c r="OKX41" s="191"/>
      <c r="OKY41" s="191"/>
      <c r="OKZ41" s="191"/>
      <c r="OLB41" s="191"/>
      <c r="OLC41" s="191"/>
      <c r="OLD41" s="191"/>
      <c r="OLF41" s="191"/>
      <c r="OLG41" s="191"/>
      <c r="OLH41" s="191"/>
      <c r="OLJ41" s="191"/>
      <c r="OLK41" s="191"/>
      <c r="OLL41" s="191"/>
      <c r="OLN41" s="191"/>
      <c r="OLO41" s="191"/>
      <c r="OLP41" s="191"/>
      <c r="OLR41" s="191"/>
      <c r="OLS41" s="191"/>
      <c r="OLT41" s="191"/>
      <c r="OLV41" s="191"/>
      <c r="OLW41" s="191"/>
      <c r="OLX41" s="191"/>
      <c r="OLZ41" s="191"/>
      <c r="OMA41" s="191"/>
      <c r="OMB41" s="191"/>
      <c r="OMD41" s="191"/>
      <c r="OME41" s="191"/>
      <c r="OMF41" s="191"/>
      <c r="OMH41" s="191"/>
      <c r="OMI41" s="191"/>
      <c r="OMJ41" s="191"/>
      <c r="OML41" s="191"/>
      <c r="OMM41" s="191"/>
      <c r="OMN41" s="191"/>
      <c r="OMP41" s="191"/>
      <c r="OMQ41" s="191"/>
      <c r="OMR41" s="191"/>
      <c r="OMT41" s="191"/>
      <c r="OMU41" s="191"/>
      <c r="OMV41" s="191"/>
      <c r="OMX41" s="191"/>
      <c r="OMY41" s="191"/>
      <c r="OMZ41" s="191"/>
      <c r="ONB41" s="191"/>
      <c r="ONC41" s="191"/>
      <c r="OND41" s="191"/>
      <c r="ONF41" s="191"/>
      <c r="ONG41" s="191"/>
      <c r="ONH41" s="191"/>
      <c r="ONJ41" s="191"/>
      <c r="ONK41" s="191"/>
      <c r="ONL41" s="191"/>
      <c r="ONN41" s="191"/>
      <c r="ONO41" s="191"/>
      <c r="ONP41" s="191"/>
      <c r="ONR41" s="191"/>
      <c r="ONS41" s="191"/>
      <c r="ONT41" s="191"/>
      <c r="ONV41" s="191"/>
      <c r="ONW41" s="191"/>
      <c r="ONX41" s="191"/>
      <c r="ONZ41" s="191"/>
      <c r="OOA41" s="191"/>
      <c r="OOB41" s="191"/>
      <c r="OOD41" s="191"/>
      <c r="OOE41" s="191"/>
      <c r="OOF41" s="191"/>
      <c r="OOH41" s="191"/>
      <c r="OOI41" s="191"/>
      <c r="OOJ41" s="191"/>
      <c r="OOL41" s="191"/>
      <c r="OOM41" s="191"/>
      <c r="OON41" s="191"/>
      <c r="OOP41" s="191"/>
      <c r="OOQ41" s="191"/>
      <c r="OOR41" s="191"/>
      <c r="OOT41" s="191"/>
      <c r="OOU41" s="191"/>
      <c r="OOV41" s="191"/>
      <c r="OOX41" s="191"/>
      <c r="OOY41" s="191"/>
      <c r="OOZ41" s="191"/>
      <c r="OPB41" s="191"/>
      <c r="OPC41" s="191"/>
      <c r="OPD41" s="191"/>
      <c r="OPF41" s="191"/>
      <c r="OPG41" s="191"/>
      <c r="OPH41" s="191"/>
      <c r="OPJ41" s="191"/>
      <c r="OPK41" s="191"/>
      <c r="OPL41" s="191"/>
      <c r="OPN41" s="191"/>
      <c r="OPO41" s="191"/>
      <c r="OPP41" s="191"/>
      <c r="OPR41" s="191"/>
      <c r="OPS41" s="191"/>
      <c r="OPT41" s="191"/>
      <c r="OPV41" s="191"/>
      <c r="OPW41" s="191"/>
      <c r="OPX41" s="191"/>
      <c r="OPZ41" s="191"/>
      <c r="OQA41" s="191"/>
      <c r="OQB41" s="191"/>
      <c r="OQD41" s="191"/>
      <c r="OQE41" s="191"/>
      <c r="OQF41" s="191"/>
      <c r="OQH41" s="191"/>
      <c r="OQI41" s="191"/>
      <c r="OQJ41" s="191"/>
      <c r="OQL41" s="191"/>
      <c r="OQM41" s="191"/>
      <c r="OQN41" s="191"/>
      <c r="OQP41" s="191"/>
      <c r="OQQ41" s="191"/>
      <c r="OQR41" s="191"/>
      <c r="OQT41" s="191"/>
      <c r="OQU41" s="191"/>
      <c r="OQV41" s="191"/>
      <c r="OQX41" s="191"/>
      <c r="OQY41" s="191"/>
      <c r="OQZ41" s="191"/>
      <c r="ORB41" s="191"/>
      <c r="ORC41" s="191"/>
      <c r="ORD41" s="191"/>
      <c r="ORF41" s="191"/>
      <c r="ORG41" s="191"/>
      <c r="ORH41" s="191"/>
      <c r="ORJ41" s="191"/>
      <c r="ORK41" s="191"/>
      <c r="ORL41" s="191"/>
      <c r="ORN41" s="191"/>
      <c r="ORO41" s="191"/>
      <c r="ORP41" s="191"/>
      <c r="ORR41" s="191"/>
      <c r="ORS41" s="191"/>
      <c r="ORT41" s="191"/>
      <c r="ORV41" s="191"/>
      <c r="ORW41" s="191"/>
      <c r="ORX41" s="191"/>
      <c r="ORZ41" s="191"/>
      <c r="OSA41" s="191"/>
      <c r="OSB41" s="191"/>
      <c r="OSD41" s="191"/>
      <c r="OSE41" s="191"/>
      <c r="OSF41" s="191"/>
      <c r="OSH41" s="191"/>
      <c r="OSI41" s="191"/>
      <c r="OSJ41" s="191"/>
      <c r="OSL41" s="191"/>
      <c r="OSM41" s="191"/>
      <c r="OSN41" s="191"/>
      <c r="OSP41" s="191"/>
      <c r="OSQ41" s="191"/>
      <c r="OSR41" s="191"/>
      <c r="OST41" s="191"/>
      <c r="OSU41" s="191"/>
      <c r="OSV41" s="191"/>
      <c r="OSX41" s="191"/>
      <c r="OSY41" s="191"/>
      <c r="OSZ41" s="191"/>
      <c r="OTB41" s="191"/>
      <c r="OTC41" s="191"/>
      <c r="OTD41" s="191"/>
      <c r="OTF41" s="191"/>
      <c r="OTG41" s="191"/>
      <c r="OTH41" s="191"/>
      <c r="OTJ41" s="191"/>
      <c r="OTK41" s="191"/>
      <c r="OTL41" s="191"/>
      <c r="OTN41" s="191"/>
      <c r="OTO41" s="191"/>
      <c r="OTP41" s="191"/>
      <c r="OTR41" s="191"/>
      <c r="OTS41" s="191"/>
      <c r="OTT41" s="191"/>
      <c r="OTV41" s="191"/>
      <c r="OTW41" s="191"/>
      <c r="OTX41" s="191"/>
      <c r="OTZ41" s="191"/>
      <c r="OUA41" s="191"/>
      <c r="OUB41" s="191"/>
      <c r="OUD41" s="191"/>
      <c r="OUE41" s="191"/>
      <c r="OUF41" s="191"/>
      <c r="OUH41" s="191"/>
      <c r="OUI41" s="191"/>
      <c r="OUJ41" s="191"/>
      <c r="OUL41" s="191"/>
      <c r="OUM41" s="191"/>
      <c r="OUN41" s="191"/>
      <c r="OUP41" s="191"/>
      <c r="OUQ41" s="191"/>
      <c r="OUR41" s="191"/>
      <c r="OUT41" s="191"/>
      <c r="OUU41" s="191"/>
      <c r="OUV41" s="191"/>
      <c r="OUX41" s="191"/>
      <c r="OUY41" s="191"/>
      <c r="OUZ41" s="191"/>
      <c r="OVB41" s="191"/>
      <c r="OVC41" s="191"/>
      <c r="OVD41" s="191"/>
      <c r="OVF41" s="191"/>
      <c r="OVG41" s="191"/>
      <c r="OVH41" s="191"/>
      <c r="OVJ41" s="191"/>
      <c r="OVK41" s="191"/>
      <c r="OVL41" s="191"/>
      <c r="OVN41" s="191"/>
      <c r="OVO41" s="191"/>
      <c r="OVP41" s="191"/>
      <c r="OVR41" s="191"/>
      <c r="OVS41" s="191"/>
      <c r="OVT41" s="191"/>
      <c r="OVV41" s="191"/>
      <c r="OVW41" s="191"/>
      <c r="OVX41" s="191"/>
      <c r="OVZ41" s="191"/>
      <c r="OWA41" s="191"/>
      <c r="OWB41" s="191"/>
      <c r="OWD41" s="191"/>
      <c r="OWE41" s="191"/>
      <c r="OWF41" s="191"/>
      <c r="OWH41" s="191"/>
      <c r="OWI41" s="191"/>
      <c r="OWJ41" s="191"/>
      <c r="OWL41" s="191"/>
      <c r="OWM41" s="191"/>
      <c r="OWN41" s="191"/>
      <c r="OWP41" s="191"/>
      <c r="OWQ41" s="191"/>
      <c r="OWR41" s="191"/>
      <c r="OWT41" s="191"/>
      <c r="OWU41" s="191"/>
      <c r="OWV41" s="191"/>
      <c r="OWX41" s="191"/>
      <c r="OWY41" s="191"/>
      <c r="OWZ41" s="191"/>
      <c r="OXB41" s="191"/>
      <c r="OXC41" s="191"/>
      <c r="OXD41" s="191"/>
      <c r="OXF41" s="191"/>
      <c r="OXG41" s="191"/>
      <c r="OXH41" s="191"/>
      <c r="OXJ41" s="191"/>
      <c r="OXK41" s="191"/>
      <c r="OXL41" s="191"/>
      <c r="OXN41" s="191"/>
      <c r="OXO41" s="191"/>
      <c r="OXP41" s="191"/>
      <c r="OXR41" s="191"/>
      <c r="OXS41" s="191"/>
      <c r="OXT41" s="191"/>
      <c r="OXV41" s="191"/>
      <c r="OXW41" s="191"/>
      <c r="OXX41" s="191"/>
      <c r="OXZ41" s="191"/>
      <c r="OYA41" s="191"/>
      <c r="OYB41" s="191"/>
      <c r="OYD41" s="191"/>
      <c r="OYE41" s="191"/>
      <c r="OYF41" s="191"/>
      <c r="OYH41" s="191"/>
      <c r="OYI41" s="191"/>
      <c r="OYJ41" s="191"/>
      <c r="OYL41" s="191"/>
      <c r="OYM41" s="191"/>
      <c r="OYN41" s="191"/>
      <c r="OYP41" s="191"/>
      <c r="OYQ41" s="191"/>
      <c r="OYR41" s="191"/>
      <c r="OYT41" s="191"/>
      <c r="OYU41" s="191"/>
      <c r="OYV41" s="191"/>
      <c r="OYX41" s="191"/>
      <c r="OYY41" s="191"/>
      <c r="OYZ41" s="191"/>
      <c r="OZB41" s="191"/>
      <c r="OZC41" s="191"/>
      <c r="OZD41" s="191"/>
      <c r="OZF41" s="191"/>
      <c r="OZG41" s="191"/>
      <c r="OZH41" s="191"/>
      <c r="OZJ41" s="191"/>
      <c r="OZK41" s="191"/>
      <c r="OZL41" s="191"/>
      <c r="OZN41" s="191"/>
      <c r="OZO41" s="191"/>
      <c r="OZP41" s="191"/>
      <c r="OZR41" s="191"/>
      <c r="OZS41" s="191"/>
      <c r="OZT41" s="191"/>
      <c r="OZV41" s="191"/>
      <c r="OZW41" s="191"/>
      <c r="OZX41" s="191"/>
      <c r="OZZ41" s="191"/>
      <c r="PAA41" s="191"/>
      <c r="PAB41" s="191"/>
      <c r="PAD41" s="191"/>
      <c r="PAE41" s="191"/>
      <c r="PAF41" s="191"/>
      <c r="PAH41" s="191"/>
      <c r="PAI41" s="191"/>
      <c r="PAJ41" s="191"/>
      <c r="PAL41" s="191"/>
      <c r="PAM41" s="191"/>
      <c r="PAN41" s="191"/>
      <c r="PAP41" s="191"/>
      <c r="PAQ41" s="191"/>
      <c r="PAR41" s="191"/>
      <c r="PAT41" s="191"/>
      <c r="PAU41" s="191"/>
      <c r="PAV41" s="191"/>
      <c r="PAX41" s="191"/>
      <c r="PAY41" s="191"/>
      <c r="PAZ41" s="191"/>
      <c r="PBB41" s="191"/>
      <c r="PBC41" s="191"/>
      <c r="PBD41" s="191"/>
      <c r="PBF41" s="191"/>
      <c r="PBG41" s="191"/>
      <c r="PBH41" s="191"/>
      <c r="PBJ41" s="191"/>
      <c r="PBK41" s="191"/>
      <c r="PBL41" s="191"/>
      <c r="PBN41" s="191"/>
      <c r="PBO41" s="191"/>
      <c r="PBP41" s="191"/>
      <c r="PBR41" s="191"/>
      <c r="PBS41" s="191"/>
      <c r="PBT41" s="191"/>
      <c r="PBV41" s="191"/>
      <c r="PBW41" s="191"/>
      <c r="PBX41" s="191"/>
      <c r="PBZ41" s="191"/>
      <c r="PCA41" s="191"/>
      <c r="PCB41" s="191"/>
      <c r="PCD41" s="191"/>
      <c r="PCE41" s="191"/>
      <c r="PCF41" s="191"/>
      <c r="PCH41" s="191"/>
      <c r="PCI41" s="191"/>
      <c r="PCJ41" s="191"/>
      <c r="PCL41" s="191"/>
      <c r="PCM41" s="191"/>
      <c r="PCN41" s="191"/>
      <c r="PCP41" s="191"/>
      <c r="PCQ41" s="191"/>
      <c r="PCR41" s="191"/>
      <c r="PCT41" s="191"/>
      <c r="PCU41" s="191"/>
      <c r="PCV41" s="191"/>
      <c r="PCX41" s="191"/>
      <c r="PCY41" s="191"/>
      <c r="PCZ41" s="191"/>
      <c r="PDB41" s="191"/>
      <c r="PDC41" s="191"/>
      <c r="PDD41" s="191"/>
      <c r="PDF41" s="191"/>
      <c r="PDG41" s="191"/>
      <c r="PDH41" s="191"/>
      <c r="PDJ41" s="191"/>
      <c r="PDK41" s="191"/>
      <c r="PDL41" s="191"/>
      <c r="PDN41" s="191"/>
      <c r="PDO41" s="191"/>
      <c r="PDP41" s="191"/>
      <c r="PDR41" s="191"/>
      <c r="PDS41" s="191"/>
      <c r="PDT41" s="191"/>
      <c r="PDV41" s="191"/>
      <c r="PDW41" s="191"/>
      <c r="PDX41" s="191"/>
      <c r="PDZ41" s="191"/>
      <c r="PEA41" s="191"/>
      <c r="PEB41" s="191"/>
      <c r="PED41" s="191"/>
      <c r="PEE41" s="191"/>
      <c r="PEF41" s="191"/>
      <c r="PEH41" s="191"/>
      <c r="PEI41" s="191"/>
      <c r="PEJ41" s="191"/>
      <c r="PEL41" s="191"/>
      <c r="PEM41" s="191"/>
      <c r="PEN41" s="191"/>
      <c r="PEP41" s="191"/>
      <c r="PEQ41" s="191"/>
      <c r="PER41" s="191"/>
      <c r="PET41" s="191"/>
      <c r="PEU41" s="191"/>
      <c r="PEV41" s="191"/>
      <c r="PEX41" s="191"/>
      <c r="PEY41" s="191"/>
      <c r="PEZ41" s="191"/>
      <c r="PFB41" s="191"/>
      <c r="PFC41" s="191"/>
      <c r="PFD41" s="191"/>
      <c r="PFF41" s="191"/>
      <c r="PFG41" s="191"/>
      <c r="PFH41" s="191"/>
      <c r="PFJ41" s="191"/>
      <c r="PFK41" s="191"/>
      <c r="PFL41" s="191"/>
      <c r="PFN41" s="191"/>
      <c r="PFO41" s="191"/>
      <c r="PFP41" s="191"/>
      <c r="PFR41" s="191"/>
      <c r="PFS41" s="191"/>
      <c r="PFT41" s="191"/>
      <c r="PFV41" s="191"/>
      <c r="PFW41" s="191"/>
      <c r="PFX41" s="191"/>
      <c r="PFZ41" s="191"/>
      <c r="PGA41" s="191"/>
      <c r="PGB41" s="191"/>
      <c r="PGD41" s="191"/>
      <c r="PGE41" s="191"/>
      <c r="PGF41" s="191"/>
      <c r="PGH41" s="191"/>
      <c r="PGI41" s="191"/>
      <c r="PGJ41" s="191"/>
      <c r="PGL41" s="191"/>
      <c r="PGM41" s="191"/>
      <c r="PGN41" s="191"/>
      <c r="PGP41" s="191"/>
      <c r="PGQ41" s="191"/>
      <c r="PGR41" s="191"/>
      <c r="PGT41" s="191"/>
      <c r="PGU41" s="191"/>
      <c r="PGV41" s="191"/>
      <c r="PGX41" s="191"/>
      <c r="PGY41" s="191"/>
      <c r="PGZ41" s="191"/>
      <c r="PHB41" s="191"/>
      <c r="PHC41" s="191"/>
      <c r="PHD41" s="191"/>
      <c r="PHF41" s="191"/>
      <c r="PHG41" s="191"/>
      <c r="PHH41" s="191"/>
      <c r="PHJ41" s="191"/>
      <c r="PHK41" s="191"/>
      <c r="PHL41" s="191"/>
      <c r="PHN41" s="191"/>
      <c r="PHO41" s="191"/>
      <c r="PHP41" s="191"/>
      <c r="PHR41" s="191"/>
      <c r="PHS41" s="191"/>
      <c r="PHT41" s="191"/>
      <c r="PHV41" s="191"/>
      <c r="PHW41" s="191"/>
      <c r="PHX41" s="191"/>
      <c r="PHZ41" s="191"/>
      <c r="PIA41" s="191"/>
      <c r="PIB41" s="191"/>
      <c r="PID41" s="191"/>
      <c r="PIE41" s="191"/>
      <c r="PIF41" s="191"/>
      <c r="PIH41" s="191"/>
      <c r="PII41" s="191"/>
      <c r="PIJ41" s="191"/>
      <c r="PIL41" s="191"/>
      <c r="PIM41" s="191"/>
      <c r="PIN41" s="191"/>
      <c r="PIP41" s="191"/>
      <c r="PIQ41" s="191"/>
      <c r="PIR41" s="191"/>
      <c r="PIT41" s="191"/>
      <c r="PIU41" s="191"/>
      <c r="PIV41" s="191"/>
      <c r="PIX41" s="191"/>
      <c r="PIY41" s="191"/>
      <c r="PIZ41" s="191"/>
      <c r="PJB41" s="191"/>
      <c r="PJC41" s="191"/>
      <c r="PJD41" s="191"/>
      <c r="PJF41" s="191"/>
      <c r="PJG41" s="191"/>
      <c r="PJH41" s="191"/>
      <c r="PJJ41" s="191"/>
      <c r="PJK41" s="191"/>
      <c r="PJL41" s="191"/>
      <c r="PJN41" s="191"/>
      <c r="PJO41" s="191"/>
      <c r="PJP41" s="191"/>
      <c r="PJR41" s="191"/>
      <c r="PJS41" s="191"/>
      <c r="PJT41" s="191"/>
      <c r="PJV41" s="191"/>
      <c r="PJW41" s="191"/>
      <c r="PJX41" s="191"/>
      <c r="PJZ41" s="191"/>
      <c r="PKA41" s="191"/>
      <c r="PKB41" s="191"/>
      <c r="PKD41" s="191"/>
      <c r="PKE41" s="191"/>
      <c r="PKF41" s="191"/>
      <c r="PKH41" s="191"/>
      <c r="PKI41" s="191"/>
      <c r="PKJ41" s="191"/>
      <c r="PKL41" s="191"/>
      <c r="PKM41" s="191"/>
      <c r="PKN41" s="191"/>
      <c r="PKP41" s="191"/>
      <c r="PKQ41" s="191"/>
      <c r="PKR41" s="191"/>
      <c r="PKT41" s="191"/>
      <c r="PKU41" s="191"/>
      <c r="PKV41" s="191"/>
      <c r="PKX41" s="191"/>
      <c r="PKY41" s="191"/>
      <c r="PKZ41" s="191"/>
      <c r="PLB41" s="191"/>
      <c r="PLC41" s="191"/>
      <c r="PLD41" s="191"/>
      <c r="PLF41" s="191"/>
      <c r="PLG41" s="191"/>
      <c r="PLH41" s="191"/>
      <c r="PLJ41" s="191"/>
      <c r="PLK41" s="191"/>
      <c r="PLL41" s="191"/>
      <c r="PLN41" s="191"/>
      <c r="PLO41" s="191"/>
      <c r="PLP41" s="191"/>
      <c r="PLR41" s="191"/>
      <c r="PLS41" s="191"/>
      <c r="PLT41" s="191"/>
      <c r="PLV41" s="191"/>
      <c r="PLW41" s="191"/>
      <c r="PLX41" s="191"/>
      <c r="PLZ41" s="191"/>
      <c r="PMA41" s="191"/>
      <c r="PMB41" s="191"/>
      <c r="PMD41" s="191"/>
      <c r="PME41" s="191"/>
      <c r="PMF41" s="191"/>
      <c r="PMH41" s="191"/>
      <c r="PMI41" s="191"/>
      <c r="PMJ41" s="191"/>
      <c r="PML41" s="191"/>
      <c r="PMM41" s="191"/>
      <c r="PMN41" s="191"/>
      <c r="PMP41" s="191"/>
      <c r="PMQ41" s="191"/>
      <c r="PMR41" s="191"/>
      <c r="PMT41" s="191"/>
      <c r="PMU41" s="191"/>
      <c r="PMV41" s="191"/>
      <c r="PMX41" s="191"/>
      <c r="PMY41" s="191"/>
      <c r="PMZ41" s="191"/>
      <c r="PNB41" s="191"/>
      <c r="PNC41" s="191"/>
      <c r="PND41" s="191"/>
      <c r="PNF41" s="191"/>
      <c r="PNG41" s="191"/>
      <c r="PNH41" s="191"/>
      <c r="PNJ41" s="191"/>
      <c r="PNK41" s="191"/>
      <c r="PNL41" s="191"/>
      <c r="PNN41" s="191"/>
      <c r="PNO41" s="191"/>
      <c r="PNP41" s="191"/>
      <c r="PNR41" s="191"/>
      <c r="PNS41" s="191"/>
      <c r="PNT41" s="191"/>
      <c r="PNV41" s="191"/>
      <c r="PNW41" s="191"/>
      <c r="PNX41" s="191"/>
      <c r="PNZ41" s="191"/>
      <c r="POA41" s="191"/>
      <c r="POB41" s="191"/>
      <c r="POD41" s="191"/>
      <c r="POE41" s="191"/>
      <c r="POF41" s="191"/>
      <c r="POH41" s="191"/>
      <c r="POI41" s="191"/>
      <c r="POJ41" s="191"/>
      <c r="POL41" s="191"/>
      <c r="POM41" s="191"/>
      <c r="PON41" s="191"/>
      <c r="POP41" s="191"/>
      <c r="POQ41" s="191"/>
      <c r="POR41" s="191"/>
      <c r="POT41" s="191"/>
      <c r="POU41" s="191"/>
      <c r="POV41" s="191"/>
      <c r="POX41" s="191"/>
      <c r="POY41" s="191"/>
      <c r="POZ41" s="191"/>
      <c r="PPB41" s="191"/>
      <c r="PPC41" s="191"/>
      <c r="PPD41" s="191"/>
      <c r="PPF41" s="191"/>
      <c r="PPG41" s="191"/>
      <c r="PPH41" s="191"/>
      <c r="PPJ41" s="191"/>
      <c r="PPK41" s="191"/>
      <c r="PPL41" s="191"/>
      <c r="PPN41" s="191"/>
      <c r="PPO41" s="191"/>
      <c r="PPP41" s="191"/>
      <c r="PPR41" s="191"/>
      <c r="PPS41" s="191"/>
      <c r="PPT41" s="191"/>
      <c r="PPV41" s="191"/>
      <c r="PPW41" s="191"/>
      <c r="PPX41" s="191"/>
      <c r="PPZ41" s="191"/>
      <c r="PQA41" s="191"/>
      <c r="PQB41" s="191"/>
      <c r="PQD41" s="191"/>
      <c r="PQE41" s="191"/>
      <c r="PQF41" s="191"/>
      <c r="PQH41" s="191"/>
      <c r="PQI41" s="191"/>
      <c r="PQJ41" s="191"/>
      <c r="PQL41" s="191"/>
      <c r="PQM41" s="191"/>
      <c r="PQN41" s="191"/>
      <c r="PQP41" s="191"/>
      <c r="PQQ41" s="191"/>
      <c r="PQR41" s="191"/>
      <c r="PQT41" s="191"/>
      <c r="PQU41" s="191"/>
      <c r="PQV41" s="191"/>
      <c r="PQX41" s="191"/>
      <c r="PQY41" s="191"/>
      <c r="PQZ41" s="191"/>
      <c r="PRB41" s="191"/>
      <c r="PRC41" s="191"/>
      <c r="PRD41" s="191"/>
      <c r="PRF41" s="191"/>
      <c r="PRG41" s="191"/>
      <c r="PRH41" s="191"/>
      <c r="PRJ41" s="191"/>
      <c r="PRK41" s="191"/>
      <c r="PRL41" s="191"/>
      <c r="PRN41" s="191"/>
      <c r="PRO41" s="191"/>
      <c r="PRP41" s="191"/>
      <c r="PRR41" s="191"/>
      <c r="PRS41" s="191"/>
      <c r="PRT41" s="191"/>
      <c r="PRV41" s="191"/>
      <c r="PRW41" s="191"/>
      <c r="PRX41" s="191"/>
      <c r="PRZ41" s="191"/>
      <c r="PSA41" s="191"/>
      <c r="PSB41" s="191"/>
      <c r="PSD41" s="191"/>
      <c r="PSE41" s="191"/>
      <c r="PSF41" s="191"/>
      <c r="PSH41" s="191"/>
      <c r="PSI41" s="191"/>
      <c r="PSJ41" s="191"/>
      <c r="PSL41" s="191"/>
      <c r="PSM41" s="191"/>
      <c r="PSN41" s="191"/>
      <c r="PSP41" s="191"/>
      <c r="PSQ41" s="191"/>
      <c r="PSR41" s="191"/>
      <c r="PST41" s="191"/>
      <c r="PSU41" s="191"/>
      <c r="PSV41" s="191"/>
      <c r="PSX41" s="191"/>
      <c r="PSY41" s="191"/>
      <c r="PSZ41" s="191"/>
      <c r="PTB41" s="191"/>
      <c r="PTC41" s="191"/>
      <c r="PTD41" s="191"/>
      <c r="PTF41" s="191"/>
      <c r="PTG41" s="191"/>
      <c r="PTH41" s="191"/>
      <c r="PTJ41" s="191"/>
      <c r="PTK41" s="191"/>
      <c r="PTL41" s="191"/>
      <c r="PTN41" s="191"/>
      <c r="PTO41" s="191"/>
      <c r="PTP41" s="191"/>
      <c r="PTR41" s="191"/>
      <c r="PTS41" s="191"/>
      <c r="PTT41" s="191"/>
      <c r="PTV41" s="191"/>
      <c r="PTW41" s="191"/>
      <c r="PTX41" s="191"/>
      <c r="PTZ41" s="191"/>
      <c r="PUA41" s="191"/>
      <c r="PUB41" s="191"/>
      <c r="PUD41" s="191"/>
      <c r="PUE41" s="191"/>
      <c r="PUF41" s="191"/>
      <c r="PUH41" s="191"/>
      <c r="PUI41" s="191"/>
      <c r="PUJ41" s="191"/>
      <c r="PUL41" s="191"/>
      <c r="PUM41" s="191"/>
      <c r="PUN41" s="191"/>
      <c r="PUP41" s="191"/>
      <c r="PUQ41" s="191"/>
      <c r="PUR41" s="191"/>
      <c r="PUT41" s="191"/>
      <c r="PUU41" s="191"/>
      <c r="PUV41" s="191"/>
      <c r="PUX41" s="191"/>
      <c r="PUY41" s="191"/>
      <c r="PUZ41" s="191"/>
      <c r="PVB41" s="191"/>
      <c r="PVC41" s="191"/>
      <c r="PVD41" s="191"/>
      <c r="PVF41" s="191"/>
      <c r="PVG41" s="191"/>
      <c r="PVH41" s="191"/>
      <c r="PVJ41" s="191"/>
      <c r="PVK41" s="191"/>
      <c r="PVL41" s="191"/>
      <c r="PVN41" s="191"/>
      <c r="PVO41" s="191"/>
      <c r="PVP41" s="191"/>
      <c r="PVR41" s="191"/>
      <c r="PVS41" s="191"/>
      <c r="PVT41" s="191"/>
      <c r="PVV41" s="191"/>
      <c r="PVW41" s="191"/>
      <c r="PVX41" s="191"/>
      <c r="PVZ41" s="191"/>
      <c r="PWA41" s="191"/>
      <c r="PWB41" s="191"/>
      <c r="PWD41" s="191"/>
      <c r="PWE41" s="191"/>
      <c r="PWF41" s="191"/>
      <c r="PWH41" s="191"/>
      <c r="PWI41" s="191"/>
      <c r="PWJ41" s="191"/>
      <c r="PWL41" s="191"/>
      <c r="PWM41" s="191"/>
      <c r="PWN41" s="191"/>
      <c r="PWP41" s="191"/>
      <c r="PWQ41" s="191"/>
      <c r="PWR41" s="191"/>
      <c r="PWT41" s="191"/>
      <c r="PWU41" s="191"/>
      <c r="PWV41" s="191"/>
      <c r="PWX41" s="191"/>
      <c r="PWY41" s="191"/>
      <c r="PWZ41" s="191"/>
      <c r="PXB41" s="191"/>
      <c r="PXC41" s="191"/>
      <c r="PXD41" s="191"/>
      <c r="PXF41" s="191"/>
      <c r="PXG41" s="191"/>
      <c r="PXH41" s="191"/>
      <c r="PXJ41" s="191"/>
      <c r="PXK41" s="191"/>
      <c r="PXL41" s="191"/>
      <c r="PXN41" s="191"/>
      <c r="PXO41" s="191"/>
      <c r="PXP41" s="191"/>
      <c r="PXR41" s="191"/>
      <c r="PXS41" s="191"/>
      <c r="PXT41" s="191"/>
      <c r="PXV41" s="191"/>
      <c r="PXW41" s="191"/>
      <c r="PXX41" s="191"/>
      <c r="PXZ41" s="191"/>
      <c r="PYA41" s="191"/>
      <c r="PYB41" s="191"/>
      <c r="PYD41" s="191"/>
      <c r="PYE41" s="191"/>
      <c r="PYF41" s="191"/>
      <c r="PYH41" s="191"/>
      <c r="PYI41" s="191"/>
      <c r="PYJ41" s="191"/>
      <c r="PYL41" s="191"/>
      <c r="PYM41" s="191"/>
      <c r="PYN41" s="191"/>
      <c r="PYP41" s="191"/>
      <c r="PYQ41" s="191"/>
      <c r="PYR41" s="191"/>
      <c r="PYT41" s="191"/>
      <c r="PYU41" s="191"/>
      <c r="PYV41" s="191"/>
      <c r="PYX41" s="191"/>
      <c r="PYY41" s="191"/>
      <c r="PYZ41" s="191"/>
      <c r="PZB41" s="191"/>
      <c r="PZC41" s="191"/>
      <c r="PZD41" s="191"/>
      <c r="PZF41" s="191"/>
      <c r="PZG41" s="191"/>
      <c r="PZH41" s="191"/>
      <c r="PZJ41" s="191"/>
      <c r="PZK41" s="191"/>
      <c r="PZL41" s="191"/>
      <c r="PZN41" s="191"/>
      <c r="PZO41" s="191"/>
      <c r="PZP41" s="191"/>
      <c r="PZR41" s="191"/>
      <c r="PZS41" s="191"/>
      <c r="PZT41" s="191"/>
      <c r="PZV41" s="191"/>
      <c r="PZW41" s="191"/>
      <c r="PZX41" s="191"/>
      <c r="PZZ41" s="191"/>
      <c r="QAA41" s="191"/>
      <c r="QAB41" s="191"/>
      <c r="QAD41" s="191"/>
      <c r="QAE41" s="191"/>
      <c r="QAF41" s="191"/>
      <c r="QAH41" s="191"/>
      <c r="QAI41" s="191"/>
      <c r="QAJ41" s="191"/>
      <c r="QAL41" s="191"/>
      <c r="QAM41" s="191"/>
      <c r="QAN41" s="191"/>
      <c r="QAP41" s="191"/>
      <c r="QAQ41" s="191"/>
      <c r="QAR41" s="191"/>
      <c r="QAT41" s="191"/>
      <c r="QAU41" s="191"/>
      <c r="QAV41" s="191"/>
      <c r="QAX41" s="191"/>
      <c r="QAY41" s="191"/>
      <c r="QAZ41" s="191"/>
      <c r="QBB41" s="191"/>
      <c r="QBC41" s="191"/>
      <c r="QBD41" s="191"/>
      <c r="QBF41" s="191"/>
      <c r="QBG41" s="191"/>
      <c r="QBH41" s="191"/>
      <c r="QBJ41" s="191"/>
      <c r="QBK41" s="191"/>
      <c r="QBL41" s="191"/>
      <c r="QBN41" s="191"/>
      <c r="QBO41" s="191"/>
      <c r="QBP41" s="191"/>
      <c r="QBR41" s="191"/>
      <c r="QBS41" s="191"/>
      <c r="QBT41" s="191"/>
      <c r="QBV41" s="191"/>
      <c r="QBW41" s="191"/>
      <c r="QBX41" s="191"/>
      <c r="QBZ41" s="191"/>
      <c r="QCA41" s="191"/>
      <c r="QCB41" s="191"/>
      <c r="QCD41" s="191"/>
      <c r="QCE41" s="191"/>
      <c r="QCF41" s="191"/>
      <c r="QCH41" s="191"/>
      <c r="QCI41" s="191"/>
      <c r="QCJ41" s="191"/>
      <c r="QCL41" s="191"/>
      <c r="QCM41" s="191"/>
      <c r="QCN41" s="191"/>
      <c r="QCP41" s="191"/>
      <c r="QCQ41" s="191"/>
      <c r="QCR41" s="191"/>
      <c r="QCT41" s="191"/>
      <c r="QCU41" s="191"/>
      <c r="QCV41" s="191"/>
      <c r="QCX41" s="191"/>
      <c r="QCY41" s="191"/>
      <c r="QCZ41" s="191"/>
      <c r="QDB41" s="191"/>
      <c r="QDC41" s="191"/>
      <c r="QDD41" s="191"/>
      <c r="QDF41" s="191"/>
      <c r="QDG41" s="191"/>
      <c r="QDH41" s="191"/>
      <c r="QDJ41" s="191"/>
      <c r="QDK41" s="191"/>
      <c r="QDL41" s="191"/>
      <c r="QDN41" s="191"/>
      <c r="QDO41" s="191"/>
      <c r="QDP41" s="191"/>
      <c r="QDR41" s="191"/>
      <c r="QDS41" s="191"/>
      <c r="QDT41" s="191"/>
      <c r="QDV41" s="191"/>
      <c r="QDW41" s="191"/>
      <c r="QDX41" s="191"/>
      <c r="QDZ41" s="191"/>
      <c r="QEA41" s="191"/>
      <c r="QEB41" s="191"/>
      <c r="QED41" s="191"/>
      <c r="QEE41" s="191"/>
      <c r="QEF41" s="191"/>
      <c r="QEH41" s="191"/>
      <c r="QEI41" s="191"/>
      <c r="QEJ41" s="191"/>
      <c r="QEL41" s="191"/>
      <c r="QEM41" s="191"/>
      <c r="QEN41" s="191"/>
      <c r="QEP41" s="191"/>
      <c r="QEQ41" s="191"/>
      <c r="QER41" s="191"/>
      <c r="QET41" s="191"/>
      <c r="QEU41" s="191"/>
      <c r="QEV41" s="191"/>
      <c r="QEX41" s="191"/>
      <c r="QEY41" s="191"/>
      <c r="QEZ41" s="191"/>
      <c r="QFB41" s="191"/>
      <c r="QFC41" s="191"/>
      <c r="QFD41" s="191"/>
      <c r="QFF41" s="191"/>
      <c r="QFG41" s="191"/>
      <c r="QFH41" s="191"/>
      <c r="QFJ41" s="191"/>
      <c r="QFK41" s="191"/>
      <c r="QFL41" s="191"/>
      <c r="QFN41" s="191"/>
      <c r="QFO41" s="191"/>
      <c r="QFP41" s="191"/>
      <c r="QFR41" s="191"/>
      <c r="QFS41" s="191"/>
      <c r="QFT41" s="191"/>
      <c r="QFV41" s="191"/>
      <c r="QFW41" s="191"/>
      <c r="QFX41" s="191"/>
      <c r="QFZ41" s="191"/>
      <c r="QGA41" s="191"/>
      <c r="QGB41" s="191"/>
      <c r="QGD41" s="191"/>
      <c r="QGE41" s="191"/>
      <c r="QGF41" s="191"/>
      <c r="QGH41" s="191"/>
      <c r="QGI41" s="191"/>
      <c r="QGJ41" s="191"/>
      <c r="QGL41" s="191"/>
      <c r="QGM41" s="191"/>
      <c r="QGN41" s="191"/>
      <c r="QGP41" s="191"/>
      <c r="QGQ41" s="191"/>
      <c r="QGR41" s="191"/>
      <c r="QGT41" s="191"/>
      <c r="QGU41" s="191"/>
      <c r="QGV41" s="191"/>
      <c r="QGX41" s="191"/>
      <c r="QGY41" s="191"/>
      <c r="QGZ41" s="191"/>
      <c r="QHB41" s="191"/>
      <c r="QHC41" s="191"/>
      <c r="QHD41" s="191"/>
      <c r="QHF41" s="191"/>
      <c r="QHG41" s="191"/>
      <c r="QHH41" s="191"/>
      <c r="QHJ41" s="191"/>
      <c r="QHK41" s="191"/>
      <c r="QHL41" s="191"/>
      <c r="QHN41" s="191"/>
      <c r="QHO41" s="191"/>
      <c r="QHP41" s="191"/>
      <c r="QHR41" s="191"/>
      <c r="QHS41" s="191"/>
      <c r="QHT41" s="191"/>
      <c r="QHV41" s="191"/>
      <c r="QHW41" s="191"/>
      <c r="QHX41" s="191"/>
      <c r="QHZ41" s="191"/>
      <c r="QIA41" s="191"/>
      <c r="QIB41" s="191"/>
      <c r="QID41" s="191"/>
      <c r="QIE41" s="191"/>
      <c r="QIF41" s="191"/>
      <c r="QIH41" s="191"/>
      <c r="QII41" s="191"/>
      <c r="QIJ41" s="191"/>
      <c r="QIL41" s="191"/>
      <c r="QIM41" s="191"/>
      <c r="QIN41" s="191"/>
      <c r="QIP41" s="191"/>
      <c r="QIQ41" s="191"/>
      <c r="QIR41" s="191"/>
      <c r="QIT41" s="191"/>
      <c r="QIU41" s="191"/>
      <c r="QIV41" s="191"/>
      <c r="QIX41" s="191"/>
      <c r="QIY41" s="191"/>
      <c r="QIZ41" s="191"/>
      <c r="QJB41" s="191"/>
      <c r="QJC41" s="191"/>
      <c r="QJD41" s="191"/>
      <c r="QJF41" s="191"/>
      <c r="QJG41" s="191"/>
      <c r="QJH41" s="191"/>
      <c r="QJJ41" s="191"/>
      <c r="QJK41" s="191"/>
      <c r="QJL41" s="191"/>
      <c r="QJN41" s="191"/>
      <c r="QJO41" s="191"/>
      <c r="QJP41" s="191"/>
      <c r="QJR41" s="191"/>
      <c r="QJS41" s="191"/>
      <c r="QJT41" s="191"/>
      <c r="QJV41" s="191"/>
      <c r="QJW41" s="191"/>
      <c r="QJX41" s="191"/>
      <c r="QJZ41" s="191"/>
      <c r="QKA41" s="191"/>
      <c r="QKB41" s="191"/>
      <c r="QKD41" s="191"/>
      <c r="QKE41" s="191"/>
      <c r="QKF41" s="191"/>
      <c r="QKH41" s="191"/>
      <c r="QKI41" s="191"/>
      <c r="QKJ41" s="191"/>
      <c r="QKL41" s="191"/>
      <c r="QKM41" s="191"/>
      <c r="QKN41" s="191"/>
      <c r="QKP41" s="191"/>
      <c r="QKQ41" s="191"/>
      <c r="QKR41" s="191"/>
      <c r="QKT41" s="191"/>
      <c r="QKU41" s="191"/>
      <c r="QKV41" s="191"/>
      <c r="QKX41" s="191"/>
      <c r="QKY41" s="191"/>
      <c r="QKZ41" s="191"/>
      <c r="QLB41" s="191"/>
      <c r="QLC41" s="191"/>
      <c r="QLD41" s="191"/>
      <c r="QLF41" s="191"/>
      <c r="QLG41" s="191"/>
      <c r="QLH41" s="191"/>
      <c r="QLJ41" s="191"/>
      <c r="QLK41" s="191"/>
      <c r="QLL41" s="191"/>
      <c r="QLN41" s="191"/>
      <c r="QLO41" s="191"/>
      <c r="QLP41" s="191"/>
      <c r="QLR41" s="191"/>
      <c r="QLS41" s="191"/>
      <c r="QLT41" s="191"/>
      <c r="QLV41" s="191"/>
      <c r="QLW41" s="191"/>
      <c r="QLX41" s="191"/>
      <c r="QLZ41" s="191"/>
      <c r="QMA41" s="191"/>
      <c r="QMB41" s="191"/>
      <c r="QMD41" s="191"/>
      <c r="QME41" s="191"/>
      <c r="QMF41" s="191"/>
      <c r="QMH41" s="191"/>
      <c r="QMI41" s="191"/>
      <c r="QMJ41" s="191"/>
      <c r="QML41" s="191"/>
      <c r="QMM41" s="191"/>
      <c r="QMN41" s="191"/>
      <c r="QMP41" s="191"/>
      <c r="QMQ41" s="191"/>
      <c r="QMR41" s="191"/>
      <c r="QMT41" s="191"/>
      <c r="QMU41" s="191"/>
      <c r="QMV41" s="191"/>
      <c r="QMX41" s="191"/>
      <c r="QMY41" s="191"/>
      <c r="QMZ41" s="191"/>
      <c r="QNB41" s="191"/>
      <c r="QNC41" s="191"/>
      <c r="QND41" s="191"/>
      <c r="QNF41" s="191"/>
      <c r="QNG41" s="191"/>
      <c r="QNH41" s="191"/>
      <c r="QNJ41" s="191"/>
      <c r="QNK41" s="191"/>
      <c r="QNL41" s="191"/>
      <c r="QNN41" s="191"/>
      <c r="QNO41" s="191"/>
      <c r="QNP41" s="191"/>
      <c r="QNR41" s="191"/>
      <c r="QNS41" s="191"/>
      <c r="QNT41" s="191"/>
      <c r="QNV41" s="191"/>
      <c r="QNW41" s="191"/>
      <c r="QNX41" s="191"/>
      <c r="QNZ41" s="191"/>
      <c r="QOA41" s="191"/>
      <c r="QOB41" s="191"/>
      <c r="QOD41" s="191"/>
      <c r="QOE41" s="191"/>
      <c r="QOF41" s="191"/>
      <c r="QOH41" s="191"/>
      <c r="QOI41" s="191"/>
      <c r="QOJ41" s="191"/>
      <c r="QOL41" s="191"/>
      <c r="QOM41" s="191"/>
      <c r="QON41" s="191"/>
      <c r="QOP41" s="191"/>
      <c r="QOQ41" s="191"/>
      <c r="QOR41" s="191"/>
      <c r="QOT41" s="191"/>
      <c r="QOU41" s="191"/>
      <c r="QOV41" s="191"/>
      <c r="QOX41" s="191"/>
      <c r="QOY41" s="191"/>
      <c r="QOZ41" s="191"/>
      <c r="QPB41" s="191"/>
      <c r="QPC41" s="191"/>
      <c r="QPD41" s="191"/>
      <c r="QPF41" s="191"/>
      <c r="QPG41" s="191"/>
      <c r="QPH41" s="191"/>
      <c r="QPJ41" s="191"/>
      <c r="QPK41" s="191"/>
      <c r="QPL41" s="191"/>
      <c r="QPN41" s="191"/>
      <c r="QPO41" s="191"/>
      <c r="QPP41" s="191"/>
      <c r="QPR41" s="191"/>
      <c r="QPS41" s="191"/>
      <c r="QPT41" s="191"/>
      <c r="QPV41" s="191"/>
      <c r="QPW41" s="191"/>
      <c r="QPX41" s="191"/>
      <c r="QPZ41" s="191"/>
      <c r="QQA41" s="191"/>
      <c r="QQB41" s="191"/>
      <c r="QQD41" s="191"/>
      <c r="QQE41" s="191"/>
      <c r="QQF41" s="191"/>
      <c r="QQH41" s="191"/>
      <c r="QQI41" s="191"/>
      <c r="QQJ41" s="191"/>
      <c r="QQL41" s="191"/>
      <c r="QQM41" s="191"/>
      <c r="QQN41" s="191"/>
      <c r="QQP41" s="191"/>
      <c r="QQQ41" s="191"/>
      <c r="QQR41" s="191"/>
      <c r="QQT41" s="191"/>
      <c r="QQU41" s="191"/>
      <c r="QQV41" s="191"/>
      <c r="QQX41" s="191"/>
      <c r="QQY41" s="191"/>
      <c r="QQZ41" s="191"/>
      <c r="QRB41" s="191"/>
      <c r="QRC41" s="191"/>
      <c r="QRD41" s="191"/>
      <c r="QRF41" s="191"/>
      <c r="QRG41" s="191"/>
      <c r="QRH41" s="191"/>
      <c r="QRJ41" s="191"/>
      <c r="QRK41" s="191"/>
      <c r="QRL41" s="191"/>
      <c r="QRN41" s="191"/>
      <c r="QRO41" s="191"/>
      <c r="QRP41" s="191"/>
      <c r="QRR41" s="191"/>
      <c r="QRS41" s="191"/>
      <c r="QRT41" s="191"/>
      <c r="QRV41" s="191"/>
      <c r="QRW41" s="191"/>
      <c r="QRX41" s="191"/>
      <c r="QRZ41" s="191"/>
      <c r="QSA41" s="191"/>
      <c r="QSB41" s="191"/>
      <c r="QSD41" s="191"/>
      <c r="QSE41" s="191"/>
      <c r="QSF41" s="191"/>
      <c r="QSH41" s="191"/>
      <c r="QSI41" s="191"/>
      <c r="QSJ41" s="191"/>
      <c r="QSL41" s="191"/>
      <c r="QSM41" s="191"/>
      <c r="QSN41" s="191"/>
      <c r="QSP41" s="191"/>
      <c r="QSQ41" s="191"/>
      <c r="QSR41" s="191"/>
      <c r="QST41" s="191"/>
      <c r="QSU41" s="191"/>
      <c r="QSV41" s="191"/>
      <c r="QSX41" s="191"/>
      <c r="QSY41" s="191"/>
      <c r="QSZ41" s="191"/>
      <c r="QTB41" s="191"/>
      <c r="QTC41" s="191"/>
      <c r="QTD41" s="191"/>
      <c r="QTF41" s="191"/>
      <c r="QTG41" s="191"/>
      <c r="QTH41" s="191"/>
      <c r="QTJ41" s="191"/>
      <c r="QTK41" s="191"/>
      <c r="QTL41" s="191"/>
      <c r="QTN41" s="191"/>
      <c r="QTO41" s="191"/>
      <c r="QTP41" s="191"/>
      <c r="QTR41" s="191"/>
      <c r="QTS41" s="191"/>
      <c r="QTT41" s="191"/>
      <c r="QTV41" s="191"/>
      <c r="QTW41" s="191"/>
      <c r="QTX41" s="191"/>
      <c r="QTZ41" s="191"/>
      <c r="QUA41" s="191"/>
      <c r="QUB41" s="191"/>
      <c r="QUD41" s="191"/>
      <c r="QUE41" s="191"/>
      <c r="QUF41" s="191"/>
      <c r="QUH41" s="191"/>
      <c r="QUI41" s="191"/>
      <c r="QUJ41" s="191"/>
      <c r="QUL41" s="191"/>
      <c r="QUM41" s="191"/>
      <c r="QUN41" s="191"/>
      <c r="QUP41" s="191"/>
      <c r="QUQ41" s="191"/>
      <c r="QUR41" s="191"/>
      <c r="QUT41" s="191"/>
      <c r="QUU41" s="191"/>
      <c r="QUV41" s="191"/>
      <c r="QUX41" s="191"/>
      <c r="QUY41" s="191"/>
      <c r="QUZ41" s="191"/>
      <c r="QVB41" s="191"/>
      <c r="QVC41" s="191"/>
      <c r="QVD41" s="191"/>
      <c r="QVF41" s="191"/>
      <c r="QVG41" s="191"/>
      <c r="QVH41" s="191"/>
      <c r="QVJ41" s="191"/>
      <c r="QVK41" s="191"/>
      <c r="QVL41" s="191"/>
      <c r="QVN41" s="191"/>
      <c r="QVO41" s="191"/>
      <c r="QVP41" s="191"/>
      <c r="QVR41" s="191"/>
      <c r="QVS41" s="191"/>
      <c r="QVT41" s="191"/>
      <c r="QVV41" s="191"/>
      <c r="QVW41" s="191"/>
      <c r="QVX41" s="191"/>
      <c r="QVZ41" s="191"/>
      <c r="QWA41" s="191"/>
      <c r="QWB41" s="191"/>
      <c r="QWD41" s="191"/>
      <c r="QWE41" s="191"/>
      <c r="QWF41" s="191"/>
      <c r="QWH41" s="191"/>
      <c r="QWI41" s="191"/>
      <c r="QWJ41" s="191"/>
      <c r="QWL41" s="191"/>
      <c r="QWM41" s="191"/>
      <c r="QWN41" s="191"/>
      <c r="QWP41" s="191"/>
      <c r="QWQ41" s="191"/>
      <c r="QWR41" s="191"/>
      <c r="QWT41" s="191"/>
      <c r="QWU41" s="191"/>
      <c r="QWV41" s="191"/>
      <c r="QWX41" s="191"/>
      <c r="QWY41" s="191"/>
      <c r="QWZ41" s="191"/>
      <c r="QXB41" s="191"/>
      <c r="QXC41" s="191"/>
      <c r="QXD41" s="191"/>
      <c r="QXF41" s="191"/>
      <c r="QXG41" s="191"/>
      <c r="QXH41" s="191"/>
      <c r="QXJ41" s="191"/>
      <c r="QXK41" s="191"/>
      <c r="QXL41" s="191"/>
      <c r="QXN41" s="191"/>
      <c r="QXO41" s="191"/>
      <c r="QXP41" s="191"/>
      <c r="QXR41" s="191"/>
      <c r="QXS41" s="191"/>
      <c r="QXT41" s="191"/>
      <c r="QXV41" s="191"/>
      <c r="QXW41" s="191"/>
      <c r="QXX41" s="191"/>
      <c r="QXZ41" s="191"/>
      <c r="QYA41" s="191"/>
      <c r="QYB41" s="191"/>
      <c r="QYD41" s="191"/>
      <c r="QYE41" s="191"/>
      <c r="QYF41" s="191"/>
      <c r="QYH41" s="191"/>
      <c r="QYI41" s="191"/>
      <c r="QYJ41" s="191"/>
      <c r="QYL41" s="191"/>
      <c r="QYM41" s="191"/>
      <c r="QYN41" s="191"/>
      <c r="QYP41" s="191"/>
      <c r="QYQ41" s="191"/>
      <c r="QYR41" s="191"/>
      <c r="QYT41" s="191"/>
      <c r="QYU41" s="191"/>
      <c r="QYV41" s="191"/>
      <c r="QYX41" s="191"/>
      <c r="QYY41" s="191"/>
      <c r="QYZ41" s="191"/>
      <c r="QZB41" s="191"/>
      <c r="QZC41" s="191"/>
      <c r="QZD41" s="191"/>
      <c r="QZF41" s="191"/>
      <c r="QZG41" s="191"/>
      <c r="QZH41" s="191"/>
      <c r="QZJ41" s="191"/>
      <c r="QZK41" s="191"/>
      <c r="QZL41" s="191"/>
      <c r="QZN41" s="191"/>
      <c r="QZO41" s="191"/>
      <c r="QZP41" s="191"/>
      <c r="QZR41" s="191"/>
      <c r="QZS41" s="191"/>
      <c r="QZT41" s="191"/>
      <c r="QZV41" s="191"/>
      <c r="QZW41" s="191"/>
      <c r="QZX41" s="191"/>
      <c r="QZZ41" s="191"/>
      <c r="RAA41" s="191"/>
      <c r="RAB41" s="191"/>
      <c r="RAD41" s="191"/>
      <c r="RAE41" s="191"/>
      <c r="RAF41" s="191"/>
      <c r="RAH41" s="191"/>
      <c r="RAI41" s="191"/>
      <c r="RAJ41" s="191"/>
      <c r="RAL41" s="191"/>
      <c r="RAM41" s="191"/>
      <c r="RAN41" s="191"/>
      <c r="RAP41" s="191"/>
      <c r="RAQ41" s="191"/>
      <c r="RAR41" s="191"/>
      <c r="RAT41" s="191"/>
      <c r="RAU41" s="191"/>
      <c r="RAV41" s="191"/>
      <c r="RAX41" s="191"/>
      <c r="RAY41" s="191"/>
      <c r="RAZ41" s="191"/>
      <c r="RBB41" s="191"/>
      <c r="RBC41" s="191"/>
      <c r="RBD41" s="191"/>
      <c r="RBF41" s="191"/>
      <c r="RBG41" s="191"/>
      <c r="RBH41" s="191"/>
      <c r="RBJ41" s="191"/>
      <c r="RBK41" s="191"/>
      <c r="RBL41" s="191"/>
      <c r="RBN41" s="191"/>
      <c r="RBO41" s="191"/>
      <c r="RBP41" s="191"/>
      <c r="RBR41" s="191"/>
      <c r="RBS41" s="191"/>
      <c r="RBT41" s="191"/>
      <c r="RBV41" s="191"/>
      <c r="RBW41" s="191"/>
      <c r="RBX41" s="191"/>
      <c r="RBZ41" s="191"/>
      <c r="RCA41" s="191"/>
      <c r="RCB41" s="191"/>
      <c r="RCD41" s="191"/>
      <c r="RCE41" s="191"/>
      <c r="RCF41" s="191"/>
      <c r="RCH41" s="191"/>
      <c r="RCI41" s="191"/>
      <c r="RCJ41" s="191"/>
      <c r="RCL41" s="191"/>
      <c r="RCM41" s="191"/>
      <c r="RCN41" s="191"/>
      <c r="RCP41" s="191"/>
      <c r="RCQ41" s="191"/>
      <c r="RCR41" s="191"/>
      <c r="RCT41" s="191"/>
      <c r="RCU41" s="191"/>
      <c r="RCV41" s="191"/>
      <c r="RCX41" s="191"/>
      <c r="RCY41" s="191"/>
      <c r="RCZ41" s="191"/>
      <c r="RDB41" s="191"/>
      <c r="RDC41" s="191"/>
      <c r="RDD41" s="191"/>
      <c r="RDF41" s="191"/>
      <c r="RDG41" s="191"/>
      <c r="RDH41" s="191"/>
      <c r="RDJ41" s="191"/>
      <c r="RDK41" s="191"/>
      <c r="RDL41" s="191"/>
      <c r="RDN41" s="191"/>
      <c r="RDO41" s="191"/>
      <c r="RDP41" s="191"/>
      <c r="RDR41" s="191"/>
      <c r="RDS41" s="191"/>
      <c r="RDT41" s="191"/>
      <c r="RDV41" s="191"/>
      <c r="RDW41" s="191"/>
      <c r="RDX41" s="191"/>
      <c r="RDZ41" s="191"/>
      <c r="REA41" s="191"/>
      <c r="REB41" s="191"/>
      <c r="RED41" s="191"/>
      <c r="REE41" s="191"/>
      <c r="REF41" s="191"/>
      <c r="REH41" s="191"/>
      <c r="REI41" s="191"/>
      <c r="REJ41" s="191"/>
      <c r="REL41" s="191"/>
      <c r="REM41" s="191"/>
      <c r="REN41" s="191"/>
      <c r="REP41" s="191"/>
      <c r="REQ41" s="191"/>
      <c r="RER41" s="191"/>
      <c r="RET41" s="191"/>
      <c r="REU41" s="191"/>
      <c r="REV41" s="191"/>
      <c r="REX41" s="191"/>
      <c r="REY41" s="191"/>
      <c r="REZ41" s="191"/>
      <c r="RFB41" s="191"/>
      <c r="RFC41" s="191"/>
      <c r="RFD41" s="191"/>
      <c r="RFF41" s="191"/>
      <c r="RFG41" s="191"/>
      <c r="RFH41" s="191"/>
      <c r="RFJ41" s="191"/>
      <c r="RFK41" s="191"/>
      <c r="RFL41" s="191"/>
      <c r="RFN41" s="191"/>
      <c r="RFO41" s="191"/>
      <c r="RFP41" s="191"/>
      <c r="RFR41" s="191"/>
      <c r="RFS41" s="191"/>
      <c r="RFT41" s="191"/>
      <c r="RFV41" s="191"/>
      <c r="RFW41" s="191"/>
      <c r="RFX41" s="191"/>
      <c r="RFZ41" s="191"/>
      <c r="RGA41" s="191"/>
      <c r="RGB41" s="191"/>
      <c r="RGD41" s="191"/>
      <c r="RGE41" s="191"/>
      <c r="RGF41" s="191"/>
      <c r="RGH41" s="191"/>
      <c r="RGI41" s="191"/>
      <c r="RGJ41" s="191"/>
      <c r="RGL41" s="191"/>
      <c r="RGM41" s="191"/>
      <c r="RGN41" s="191"/>
      <c r="RGP41" s="191"/>
      <c r="RGQ41" s="191"/>
      <c r="RGR41" s="191"/>
      <c r="RGT41" s="191"/>
      <c r="RGU41" s="191"/>
      <c r="RGV41" s="191"/>
      <c r="RGX41" s="191"/>
      <c r="RGY41" s="191"/>
      <c r="RGZ41" s="191"/>
      <c r="RHB41" s="191"/>
      <c r="RHC41" s="191"/>
      <c r="RHD41" s="191"/>
      <c r="RHF41" s="191"/>
      <c r="RHG41" s="191"/>
      <c r="RHH41" s="191"/>
      <c r="RHJ41" s="191"/>
      <c r="RHK41" s="191"/>
      <c r="RHL41" s="191"/>
      <c r="RHN41" s="191"/>
      <c r="RHO41" s="191"/>
      <c r="RHP41" s="191"/>
      <c r="RHR41" s="191"/>
      <c r="RHS41" s="191"/>
      <c r="RHT41" s="191"/>
      <c r="RHV41" s="191"/>
      <c r="RHW41" s="191"/>
      <c r="RHX41" s="191"/>
      <c r="RHZ41" s="191"/>
      <c r="RIA41" s="191"/>
      <c r="RIB41" s="191"/>
      <c r="RID41" s="191"/>
      <c r="RIE41" s="191"/>
      <c r="RIF41" s="191"/>
      <c r="RIH41" s="191"/>
      <c r="RII41" s="191"/>
      <c r="RIJ41" s="191"/>
      <c r="RIL41" s="191"/>
      <c r="RIM41" s="191"/>
      <c r="RIN41" s="191"/>
      <c r="RIP41" s="191"/>
      <c r="RIQ41" s="191"/>
      <c r="RIR41" s="191"/>
      <c r="RIT41" s="191"/>
      <c r="RIU41" s="191"/>
      <c r="RIV41" s="191"/>
      <c r="RIX41" s="191"/>
      <c r="RIY41" s="191"/>
      <c r="RIZ41" s="191"/>
      <c r="RJB41" s="191"/>
      <c r="RJC41" s="191"/>
      <c r="RJD41" s="191"/>
      <c r="RJF41" s="191"/>
      <c r="RJG41" s="191"/>
      <c r="RJH41" s="191"/>
      <c r="RJJ41" s="191"/>
      <c r="RJK41" s="191"/>
      <c r="RJL41" s="191"/>
      <c r="RJN41" s="191"/>
      <c r="RJO41" s="191"/>
      <c r="RJP41" s="191"/>
      <c r="RJR41" s="191"/>
      <c r="RJS41" s="191"/>
      <c r="RJT41" s="191"/>
      <c r="RJV41" s="191"/>
      <c r="RJW41" s="191"/>
      <c r="RJX41" s="191"/>
      <c r="RJZ41" s="191"/>
      <c r="RKA41" s="191"/>
      <c r="RKB41" s="191"/>
      <c r="RKD41" s="191"/>
      <c r="RKE41" s="191"/>
      <c r="RKF41" s="191"/>
      <c r="RKH41" s="191"/>
      <c r="RKI41" s="191"/>
      <c r="RKJ41" s="191"/>
      <c r="RKL41" s="191"/>
      <c r="RKM41" s="191"/>
      <c r="RKN41" s="191"/>
      <c r="RKP41" s="191"/>
      <c r="RKQ41" s="191"/>
      <c r="RKR41" s="191"/>
      <c r="RKT41" s="191"/>
      <c r="RKU41" s="191"/>
      <c r="RKV41" s="191"/>
      <c r="RKX41" s="191"/>
      <c r="RKY41" s="191"/>
      <c r="RKZ41" s="191"/>
      <c r="RLB41" s="191"/>
      <c r="RLC41" s="191"/>
      <c r="RLD41" s="191"/>
      <c r="RLF41" s="191"/>
      <c r="RLG41" s="191"/>
      <c r="RLH41" s="191"/>
      <c r="RLJ41" s="191"/>
      <c r="RLK41" s="191"/>
      <c r="RLL41" s="191"/>
      <c r="RLN41" s="191"/>
      <c r="RLO41" s="191"/>
      <c r="RLP41" s="191"/>
      <c r="RLR41" s="191"/>
      <c r="RLS41" s="191"/>
      <c r="RLT41" s="191"/>
      <c r="RLV41" s="191"/>
      <c r="RLW41" s="191"/>
      <c r="RLX41" s="191"/>
      <c r="RLZ41" s="191"/>
      <c r="RMA41" s="191"/>
      <c r="RMB41" s="191"/>
      <c r="RMD41" s="191"/>
      <c r="RME41" s="191"/>
      <c r="RMF41" s="191"/>
      <c r="RMH41" s="191"/>
      <c r="RMI41" s="191"/>
      <c r="RMJ41" s="191"/>
      <c r="RML41" s="191"/>
      <c r="RMM41" s="191"/>
      <c r="RMN41" s="191"/>
      <c r="RMP41" s="191"/>
      <c r="RMQ41" s="191"/>
      <c r="RMR41" s="191"/>
      <c r="RMT41" s="191"/>
      <c r="RMU41" s="191"/>
      <c r="RMV41" s="191"/>
      <c r="RMX41" s="191"/>
      <c r="RMY41" s="191"/>
      <c r="RMZ41" s="191"/>
      <c r="RNB41" s="191"/>
      <c r="RNC41" s="191"/>
      <c r="RND41" s="191"/>
      <c r="RNF41" s="191"/>
      <c r="RNG41" s="191"/>
      <c r="RNH41" s="191"/>
      <c r="RNJ41" s="191"/>
      <c r="RNK41" s="191"/>
      <c r="RNL41" s="191"/>
      <c r="RNN41" s="191"/>
      <c r="RNO41" s="191"/>
      <c r="RNP41" s="191"/>
      <c r="RNR41" s="191"/>
      <c r="RNS41" s="191"/>
      <c r="RNT41" s="191"/>
      <c r="RNV41" s="191"/>
      <c r="RNW41" s="191"/>
      <c r="RNX41" s="191"/>
      <c r="RNZ41" s="191"/>
      <c r="ROA41" s="191"/>
      <c r="ROB41" s="191"/>
      <c r="ROD41" s="191"/>
      <c r="ROE41" s="191"/>
      <c r="ROF41" s="191"/>
      <c r="ROH41" s="191"/>
      <c r="ROI41" s="191"/>
      <c r="ROJ41" s="191"/>
      <c r="ROL41" s="191"/>
      <c r="ROM41" s="191"/>
      <c r="RON41" s="191"/>
      <c r="ROP41" s="191"/>
      <c r="ROQ41" s="191"/>
      <c r="ROR41" s="191"/>
      <c r="ROT41" s="191"/>
      <c r="ROU41" s="191"/>
      <c r="ROV41" s="191"/>
      <c r="ROX41" s="191"/>
      <c r="ROY41" s="191"/>
      <c r="ROZ41" s="191"/>
      <c r="RPB41" s="191"/>
      <c r="RPC41" s="191"/>
      <c r="RPD41" s="191"/>
      <c r="RPF41" s="191"/>
      <c r="RPG41" s="191"/>
      <c r="RPH41" s="191"/>
      <c r="RPJ41" s="191"/>
      <c r="RPK41" s="191"/>
      <c r="RPL41" s="191"/>
      <c r="RPN41" s="191"/>
      <c r="RPO41" s="191"/>
      <c r="RPP41" s="191"/>
      <c r="RPR41" s="191"/>
      <c r="RPS41" s="191"/>
      <c r="RPT41" s="191"/>
      <c r="RPV41" s="191"/>
      <c r="RPW41" s="191"/>
      <c r="RPX41" s="191"/>
      <c r="RPZ41" s="191"/>
      <c r="RQA41" s="191"/>
      <c r="RQB41" s="191"/>
      <c r="RQD41" s="191"/>
      <c r="RQE41" s="191"/>
      <c r="RQF41" s="191"/>
      <c r="RQH41" s="191"/>
      <c r="RQI41" s="191"/>
      <c r="RQJ41" s="191"/>
      <c r="RQL41" s="191"/>
      <c r="RQM41" s="191"/>
      <c r="RQN41" s="191"/>
      <c r="RQP41" s="191"/>
      <c r="RQQ41" s="191"/>
      <c r="RQR41" s="191"/>
      <c r="RQT41" s="191"/>
      <c r="RQU41" s="191"/>
      <c r="RQV41" s="191"/>
      <c r="RQX41" s="191"/>
      <c r="RQY41" s="191"/>
      <c r="RQZ41" s="191"/>
      <c r="RRB41" s="191"/>
      <c r="RRC41" s="191"/>
      <c r="RRD41" s="191"/>
      <c r="RRF41" s="191"/>
      <c r="RRG41" s="191"/>
      <c r="RRH41" s="191"/>
      <c r="RRJ41" s="191"/>
      <c r="RRK41" s="191"/>
      <c r="RRL41" s="191"/>
      <c r="RRN41" s="191"/>
      <c r="RRO41" s="191"/>
      <c r="RRP41" s="191"/>
      <c r="RRR41" s="191"/>
      <c r="RRS41" s="191"/>
      <c r="RRT41" s="191"/>
      <c r="RRV41" s="191"/>
      <c r="RRW41" s="191"/>
      <c r="RRX41" s="191"/>
      <c r="RRZ41" s="191"/>
      <c r="RSA41" s="191"/>
      <c r="RSB41" s="191"/>
      <c r="RSD41" s="191"/>
      <c r="RSE41" s="191"/>
      <c r="RSF41" s="191"/>
      <c r="RSH41" s="191"/>
      <c r="RSI41" s="191"/>
      <c r="RSJ41" s="191"/>
      <c r="RSL41" s="191"/>
      <c r="RSM41" s="191"/>
      <c r="RSN41" s="191"/>
      <c r="RSP41" s="191"/>
      <c r="RSQ41" s="191"/>
      <c r="RSR41" s="191"/>
      <c r="RST41" s="191"/>
      <c r="RSU41" s="191"/>
      <c r="RSV41" s="191"/>
      <c r="RSX41" s="191"/>
      <c r="RSY41" s="191"/>
      <c r="RSZ41" s="191"/>
      <c r="RTB41" s="191"/>
      <c r="RTC41" s="191"/>
      <c r="RTD41" s="191"/>
      <c r="RTF41" s="191"/>
      <c r="RTG41" s="191"/>
      <c r="RTH41" s="191"/>
      <c r="RTJ41" s="191"/>
      <c r="RTK41" s="191"/>
      <c r="RTL41" s="191"/>
      <c r="RTN41" s="191"/>
      <c r="RTO41" s="191"/>
      <c r="RTP41" s="191"/>
      <c r="RTR41" s="191"/>
      <c r="RTS41" s="191"/>
      <c r="RTT41" s="191"/>
      <c r="RTV41" s="191"/>
      <c r="RTW41" s="191"/>
      <c r="RTX41" s="191"/>
      <c r="RTZ41" s="191"/>
      <c r="RUA41" s="191"/>
      <c r="RUB41" s="191"/>
      <c r="RUD41" s="191"/>
      <c r="RUE41" s="191"/>
      <c r="RUF41" s="191"/>
      <c r="RUH41" s="191"/>
      <c r="RUI41" s="191"/>
      <c r="RUJ41" s="191"/>
      <c r="RUL41" s="191"/>
      <c r="RUM41" s="191"/>
      <c r="RUN41" s="191"/>
      <c r="RUP41" s="191"/>
      <c r="RUQ41" s="191"/>
      <c r="RUR41" s="191"/>
      <c r="RUT41" s="191"/>
      <c r="RUU41" s="191"/>
      <c r="RUV41" s="191"/>
      <c r="RUX41" s="191"/>
      <c r="RUY41" s="191"/>
      <c r="RUZ41" s="191"/>
      <c r="RVB41" s="191"/>
      <c r="RVC41" s="191"/>
      <c r="RVD41" s="191"/>
      <c r="RVF41" s="191"/>
      <c r="RVG41" s="191"/>
      <c r="RVH41" s="191"/>
      <c r="RVJ41" s="191"/>
      <c r="RVK41" s="191"/>
      <c r="RVL41" s="191"/>
      <c r="RVN41" s="191"/>
      <c r="RVO41" s="191"/>
      <c r="RVP41" s="191"/>
      <c r="RVR41" s="191"/>
      <c r="RVS41" s="191"/>
      <c r="RVT41" s="191"/>
      <c r="RVV41" s="191"/>
      <c r="RVW41" s="191"/>
      <c r="RVX41" s="191"/>
      <c r="RVZ41" s="191"/>
      <c r="RWA41" s="191"/>
      <c r="RWB41" s="191"/>
      <c r="RWD41" s="191"/>
      <c r="RWE41" s="191"/>
      <c r="RWF41" s="191"/>
      <c r="RWH41" s="191"/>
      <c r="RWI41" s="191"/>
      <c r="RWJ41" s="191"/>
      <c r="RWL41" s="191"/>
      <c r="RWM41" s="191"/>
      <c r="RWN41" s="191"/>
      <c r="RWP41" s="191"/>
      <c r="RWQ41" s="191"/>
      <c r="RWR41" s="191"/>
      <c r="RWT41" s="191"/>
      <c r="RWU41" s="191"/>
      <c r="RWV41" s="191"/>
      <c r="RWX41" s="191"/>
      <c r="RWY41" s="191"/>
      <c r="RWZ41" s="191"/>
      <c r="RXB41" s="191"/>
      <c r="RXC41" s="191"/>
      <c r="RXD41" s="191"/>
      <c r="RXF41" s="191"/>
      <c r="RXG41" s="191"/>
      <c r="RXH41" s="191"/>
      <c r="RXJ41" s="191"/>
      <c r="RXK41" s="191"/>
      <c r="RXL41" s="191"/>
      <c r="RXN41" s="191"/>
      <c r="RXO41" s="191"/>
      <c r="RXP41" s="191"/>
      <c r="RXR41" s="191"/>
      <c r="RXS41" s="191"/>
      <c r="RXT41" s="191"/>
      <c r="RXV41" s="191"/>
      <c r="RXW41" s="191"/>
      <c r="RXX41" s="191"/>
      <c r="RXZ41" s="191"/>
      <c r="RYA41" s="191"/>
      <c r="RYB41" s="191"/>
      <c r="RYD41" s="191"/>
      <c r="RYE41" s="191"/>
      <c r="RYF41" s="191"/>
      <c r="RYH41" s="191"/>
      <c r="RYI41" s="191"/>
      <c r="RYJ41" s="191"/>
      <c r="RYL41" s="191"/>
      <c r="RYM41" s="191"/>
      <c r="RYN41" s="191"/>
      <c r="RYP41" s="191"/>
      <c r="RYQ41" s="191"/>
      <c r="RYR41" s="191"/>
      <c r="RYT41" s="191"/>
      <c r="RYU41" s="191"/>
      <c r="RYV41" s="191"/>
      <c r="RYX41" s="191"/>
      <c r="RYY41" s="191"/>
      <c r="RYZ41" s="191"/>
      <c r="RZB41" s="191"/>
      <c r="RZC41" s="191"/>
      <c r="RZD41" s="191"/>
      <c r="RZF41" s="191"/>
      <c r="RZG41" s="191"/>
      <c r="RZH41" s="191"/>
      <c r="RZJ41" s="191"/>
      <c r="RZK41" s="191"/>
      <c r="RZL41" s="191"/>
      <c r="RZN41" s="191"/>
      <c r="RZO41" s="191"/>
      <c r="RZP41" s="191"/>
      <c r="RZR41" s="191"/>
      <c r="RZS41" s="191"/>
      <c r="RZT41" s="191"/>
      <c r="RZV41" s="191"/>
      <c r="RZW41" s="191"/>
      <c r="RZX41" s="191"/>
      <c r="RZZ41" s="191"/>
      <c r="SAA41" s="191"/>
      <c r="SAB41" s="191"/>
      <c r="SAD41" s="191"/>
      <c r="SAE41" s="191"/>
      <c r="SAF41" s="191"/>
      <c r="SAH41" s="191"/>
      <c r="SAI41" s="191"/>
      <c r="SAJ41" s="191"/>
      <c r="SAL41" s="191"/>
      <c r="SAM41" s="191"/>
      <c r="SAN41" s="191"/>
      <c r="SAP41" s="191"/>
      <c r="SAQ41" s="191"/>
      <c r="SAR41" s="191"/>
      <c r="SAT41" s="191"/>
      <c r="SAU41" s="191"/>
      <c r="SAV41" s="191"/>
      <c r="SAX41" s="191"/>
      <c r="SAY41" s="191"/>
      <c r="SAZ41" s="191"/>
      <c r="SBB41" s="191"/>
      <c r="SBC41" s="191"/>
      <c r="SBD41" s="191"/>
      <c r="SBF41" s="191"/>
      <c r="SBG41" s="191"/>
      <c r="SBH41" s="191"/>
      <c r="SBJ41" s="191"/>
      <c r="SBK41" s="191"/>
      <c r="SBL41" s="191"/>
      <c r="SBN41" s="191"/>
      <c r="SBO41" s="191"/>
      <c r="SBP41" s="191"/>
      <c r="SBR41" s="191"/>
      <c r="SBS41" s="191"/>
      <c r="SBT41" s="191"/>
      <c r="SBV41" s="191"/>
      <c r="SBW41" s="191"/>
      <c r="SBX41" s="191"/>
      <c r="SBZ41" s="191"/>
      <c r="SCA41" s="191"/>
      <c r="SCB41" s="191"/>
      <c r="SCD41" s="191"/>
      <c r="SCE41" s="191"/>
      <c r="SCF41" s="191"/>
      <c r="SCH41" s="191"/>
      <c r="SCI41" s="191"/>
      <c r="SCJ41" s="191"/>
      <c r="SCL41" s="191"/>
      <c r="SCM41" s="191"/>
      <c r="SCN41" s="191"/>
      <c r="SCP41" s="191"/>
      <c r="SCQ41" s="191"/>
      <c r="SCR41" s="191"/>
      <c r="SCT41" s="191"/>
      <c r="SCU41" s="191"/>
      <c r="SCV41" s="191"/>
      <c r="SCX41" s="191"/>
      <c r="SCY41" s="191"/>
      <c r="SCZ41" s="191"/>
      <c r="SDB41" s="191"/>
      <c r="SDC41" s="191"/>
      <c r="SDD41" s="191"/>
      <c r="SDF41" s="191"/>
      <c r="SDG41" s="191"/>
      <c r="SDH41" s="191"/>
      <c r="SDJ41" s="191"/>
      <c r="SDK41" s="191"/>
      <c r="SDL41" s="191"/>
      <c r="SDN41" s="191"/>
      <c r="SDO41" s="191"/>
      <c r="SDP41" s="191"/>
      <c r="SDR41" s="191"/>
      <c r="SDS41" s="191"/>
      <c r="SDT41" s="191"/>
      <c r="SDV41" s="191"/>
      <c r="SDW41" s="191"/>
      <c r="SDX41" s="191"/>
      <c r="SDZ41" s="191"/>
      <c r="SEA41" s="191"/>
      <c r="SEB41" s="191"/>
      <c r="SED41" s="191"/>
      <c r="SEE41" s="191"/>
      <c r="SEF41" s="191"/>
      <c r="SEH41" s="191"/>
      <c r="SEI41" s="191"/>
      <c r="SEJ41" s="191"/>
      <c r="SEL41" s="191"/>
      <c r="SEM41" s="191"/>
      <c r="SEN41" s="191"/>
      <c r="SEP41" s="191"/>
      <c r="SEQ41" s="191"/>
      <c r="SER41" s="191"/>
      <c r="SET41" s="191"/>
      <c r="SEU41" s="191"/>
      <c r="SEV41" s="191"/>
      <c r="SEX41" s="191"/>
      <c r="SEY41" s="191"/>
      <c r="SEZ41" s="191"/>
      <c r="SFB41" s="191"/>
      <c r="SFC41" s="191"/>
      <c r="SFD41" s="191"/>
      <c r="SFF41" s="191"/>
      <c r="SFG41" s="191"/>
      <c r="SFH41" s="191"/>
      <c r="SFJ41" s="191"/>
      <c r="SFK41" s="191"/>
      <c r="SFL41" s="191"/>
      <c r="SFN41" s="191"/>
      <c r="SFO41" s="191"/>
      <c r="SFP41" s="191"/>
      <c r="SFR41" s="191"/>
      <c r="SFS41" s="191"/>
      <c r="SFT41" s="191"/>
      <c r="SFV41" s="191"/>
      <c r="SFW41" s="191"/>
      <c r="SFX41" s="191"/>
      <c r="SFZ41" s="191"/>
      <c r="SGA41" s="191"/>
      <c r="SGB41" s="191"/>
      <c r="SGD41" s="191"/>
      <c r="SGE41" s="191"/>
      <c r="SGF41" s="191"/>
      <c r="SGH41" s="191"/>
      <c r="SGI41" s="191"/>
      <c r="SGJ41" s="191"/>
      <c r="SGL41" s="191"/>
      <c r="SGM41" s="191"/>
      <c r="SGN41" s="191"/>
      <c r="SGP41" s="191"/>
      <c r="SGQ41" s="191"/>
      <c r="SGR41" s="191"/>
      <c r="SGT41" s="191"/>
      <c r="SGU41" s="191"/>
      <c r="SGV41" s="191"/>
      <c r="SGX41" s="191"/>
      <c r="SGY41" s="191"/>
      <c r="SGZ41" s="191"/>
      <c r="SHB41" s="191"/>
      <c r="SHC41" s="191"/>
      <c r="SHD41" s="191"/>
      <c r="SHF41" s="191"/>
      <c r="SHG41" s="191"/>
      <c r="SHH41" s="191"/>
      <c r="SHJ41" s="191"/>
      <c r="SHK41" s="191"/>
      <c r="SHL41" s="191"/>
      <c r="SHN41" s="191"/>
      <c r="SHO41" s="191"/>
      <c r="SHP41" s="191"/>
      <c r="SHR41" s="191"/>
      <c r="SHS41" s="191"/>
      <c r="SHT41" s="191"/>
      <c r="SHV41" s="191"/>
      <c r="SHW41" s="191"/>
      <c r="SHX41" s="191"/>
      <c r="SHZ41" s="191"/>
      <c r="SIA41" s="191"/>
      <c r="SIB41" s="191"/>
      <c r="SID41" s="191"/>
      <c r="SIE41" s="191"/>
      <c r="SIF41" s="191"/>
      <c r="SIH41" s="191"/>
      <c r="SII41" s="191"/>
      <c r="SIJ41" s="191"/>
      <c r="SIL41" s="191"/>
      <c r="SIM41" s="191"/>
      <c r="SIN41" s="191"/>
      <c r="SIP41" s="191"/>
      <c r="SIQ41" s="191"/>
      <c r="SIR41" s="191"/>
      <c r="SIT41" s="191"/>
      <c r="SIU41" s="191"/>
      <c r="SIV41" s="191"/>
      <c r="SIX41" s="191"/>
      <c r="SIY41" s="191"/>
      <c r="SIZ41" s="191"/>
      <c r="SJB41" s="191"/>
      <c r="SJC41" s="191"/>
      <c r="SJD41" s="191"/>
      <c r="SJF41" s="191"/>
      <c r="SJG41" s="191"/>
      <c r="SJH41" s="191"/>
      <c r="SJJ41" s="191"/>
      <c r="SJK41" s="191"/>
      <c r="SJL41" s="191"/>
      <c r="SJN41" s="191"/>
      <c r="SJO41" s="191"/>
      <c r="SJP41" s="191"/>
      <c r="SJR41" s="191"/>
      <c r="SJS41" s="191"/>
      <c r="SJT41" s="191"/>
      <c r="SJV41" s="191"/>
      <c r="SJW41" s="191"/>
      <c r="SJX41" s="191"/>
      <c r="SJZ41" s="191"/>
      <c r="SKA41" s="191"/>
      <c r="SKB41" s="191"/>
      <c r="SKD41" s="191"/>
      <c r="SKE41" s="191"/>
      <c r="SKF41" s="191"/>
      <c r="SKH41" s="191"/>
      <c r="SKI41" s="191"/>
      <c r="SKJ41" s="191"/>
      <c r="SKL41" s="191"/>
      <c r="SKM41" s="191"/>
      <c r="SKN41" s="191"/>
      <c r="SKP41" s="191"/>
      <c r="SKQ41" s="191"/>
      <c r="SKR41" s="191"/>
      <c r="SKT41" s="191"/>
      <c r="SKU41" s="191"/>
      <c r="SKV41" s="191"/>
      <c r="SKX41" s="191"/>
      <c r="SKY41" s="191"/>
      <c r="SKZ41" s="191"/>
      <c r="SLB41" s="191"/>
      <c r="SLC41" s="191"/>
      <c r="SLD41" s="191"/>
      <c r="SLF41" s="191"/>
      <c r="SLG41" s="191"/>
      <c r="SLH41" s="191"/>
      <c r="SLJ41" s="191"/>
      <c r="SLK41" s="191"/>
      <c r="SLL41" s="191"/>
      <c r="SLN41" s="191"/>
      <c r="SLO41" s="191"/>
      <c r="SLP41" s="191"/>
      <c r="SLR41" s="191"/>
      <c r="SLS41" s="191"/>
      <c r="SLT41" s="191"/>
      <c r="SLV41" s="191"/>
      <c r="SLW41" s="191"/>
      <c r="SLX41" s="191"/>
      <c r="SLZ41" s="191"/>
      <c r="SMA41" s="191"/>
      <c r="SMB41" s="191"/>
      <c r="SMD41" s="191"/>
      <c r="SME41" s="191"/>
      <c r="SMF41" s="191"/>
      <c r="SMH41" s="191"/>
      <c r="SMI41" s="191"/>
      <c r="SMJ41" s="191"/>
      <c r="SML41" s="191"/>
      <c r="SMM41" s="191"/>
      <c r="SMN41" s="191"/>
      <c r="SMP41" s="191"/>
      <c r="SMQ41" s="191"/>
      <c r="SMR41" s="191"/>
      <c r="SMT41" s="191"/>
      <c r="SMU41" s="191"/>
      <c r="SMV41" s="191"/>
      <c r="SMX41" s="191"/>
      <c r="SMY41" s="191"/>
      <c r="SMZ41" s="191"/>
      <c r="SNB41" s="191"/>
      <c r="SNC41" s="191"/>
      <c r="SND41" s="191"/>
      <c r="SNF41" s="191"/>
      <c r="SNG41" s="191"/>
      <c r="SNH41" s="191"/>
      <c r="SNJ41" s="191"/>
      <c r="SNK41" s="191"/>
      <c r="SNL41" s="191"/>
      <c r="SNN41" s="191"/>
      <c r="SNO41" s="191"/>
      <c r="SNP41" s="191"/>
      <c r="SNR41" s="191"/>
      <c r="SNS41" s="191"/>
      <c r="SNT41" s="191"/>
      <c r="SNV41" s="191"/>
      <c r="SNW41" s="191"/>
      <c r="SNX41" s="191"/>
      <c r="SNZ41" s="191"/>
      <c r="SOA41" s="191"/>
      <c r="SOB41" s="191"/>
      <c r="SOD41" s="191"/>
      <c r="SOE41" s="191"/>
      <c r="SOF41" s="191"/>
      <c r="SOH41" s="191"/>
      <c r="SOI41" s="191"/>
      <c r="SOJ41" s="191"/>
      <c r="SOL41" s="191"/>
      <c r="SOM41" s="191"/>
      <c r="SON41" s="191"/>
      <c r="SOP41" s="191"/>
      <c r="SOQ41" s="191"/>
      <c r="SOR41" s="191"/>
      <c r="SOT41" s="191"/>
      <c r="SOU41" s="191"/>
      <c r="SOV41" s="191"/>
      <c r="SOX41" s="191"/>
      <c r="SOY41" s="191"/>
      <c r="SOZ41" s="191"/>
      <c r="SPB41" s="191"/>
      <c r="SPC41" s="191"/>
      <c r="SPD41" s="191"/>
      <c r="SPF41" s="191"/>
      <c r="SPG41" s="191"/>
      <c r="SPH41" s="191"/>
      <c r="SPJ41" s="191"/>
      <c r="SPK41" s="191"/>
      <c r="SPL41" s="191"/>
      <c r="SPN41" s="191"/>
      <c r="SPO41" s="191"/>
      <c r="SPP41" s="191"/>
      <c r="SPR41" s="191"/>
      <c r="SPS41" s="191"/>
      <c r="SPT41" s="191"/>
      <c r="SPV41" s="191"/>
      <c r="SPW41" s="191"/>
      <c r="SPX41" s="191"/>
      <c r="SPZ41" s="191"/>
      <c r="SQA41" s="191"/>
      <c r="SQB41" s="191"/>
      <c r="SQD41" s="191"/>
      <c r="SQE41" s="191"/>
      <c r="SQF41" s="191"/>
      <c r="SQH41" s="191"/>
      <c r="SQI41" s="191"/>
      <c r="SQJ41" s="191"/>
      <c r="SQL41" s="191"/>
      <c r="SQM41" s="191"/>
      <c r="SQN41" s="191"/>
      <c r="SQP41" s="191"/>
      <c r="SQQ41" s="191"/>
      <c r="SQR41" s="191"/>
      <c r="SQT41" s="191"/>
      <c r="SQU41" s="191"/>
      <c r="SQV41" s="191"/>
      <c r="SQX41" s="191"/>
      <c r="SQY41" s="191"/>
      <c r="SQZ41" s="191"/>
      <c r="SRB41" s="191"/>
      <c r="SRC41" s="191"/>
      <c r="SRD41" s="191"/>
      <c r="SRF41" s="191"/>
      <c r="SRG41" s="191"/>
      <c r="SRH41" s="191"/>
      <c r="SRJ41" s="191"/>
      <c r="SRK41" s="191"/>
      <c r="SRL41" s="191"/>
      <c r="SRN41" s="191"/>
      <c r="SRO41" s="191"/>
      <c r="SRP41" s="191"/>
      <c r="SRR41" s="191"/>
      <c r="SRS41" s="191"/>
      <c r="SRT41" s="191"/>
      <c r="SRV41" s="191"/>
      <c r="SRW41" s="191"/>
      <c r="SRX41" s="191"/>
      <c r="SRZ41" s="191"/>
      <c r="SSA41" s="191"/>
      <c r="SSB41" s="191"/>
      <c r="SSD41" s="191"/>
      <c r="SSE41" s="191"/>
      <c r="SSF41" s="191"/>
      <c r="SSH41" s="191"/>
      <c r="SSI41" s="191"/>
      <c r="SSJ41" s="191"/>
      <c r="SSL41" s="191"/>
      <c r="SSM41" s="191"/>
      <c r="SSN41" s="191"/>
      <c r="SSP41" s="191"/>
      <c r="SSQ41" s="191"/>
      <c r="SSR41" s="191"/>
      <c r="SST41" s="191"/>
      <c r="SSU41" s="191"/>
      <c r="SSV41" s="191"/>
      <c r="SSX41" s="191"/>
      <c r="SSY41" s="191"/>
      <c r="SSZ41" s="191"/>
      <c r="STB41" s="191"/>
      <c r="STC41" s="191"/>
      <c r="STD41" s="191"/>
      <c r="STF41" s="191"/>
      <c r="STG41" s="191"/>
      <c r="STH41" s="191"/>
      <c r="STJ41" s="191"/>
      <c r="STK41" s="191"/>
      <c r="STL41" s="191"/>
      <c r="STN41" s="191"/>
      <c r="STO41" s="191"/>
      <c r="STP41" s="191"/>
      <c r="STR41" s="191"/>
      <c r="STS41" s="191"/>
      <c r="STT41" s="191"/>
      <c r="STV41" s="191"/>
      <c r="STW41" s="191"/>
      <c r="STX41" s="191"/>
      <c r="STZ41" s="191"/>
      <c r="SUA41" s="191"/>
      <c r="SUB41" s="191"/>
      <c r="SUD41" s="191"/>
      <c r="SUE41" s="191"/>
      <c r="SUF41" s="191"/>
      <c r="SUH41" s="191"/>
      <c r="SUI41" s="191"/>
      <c r="SUJ41" s="191"/>
      <c r="SUL41" s="191"/>
      <c r="SUM41" s="191"/>
      <c r="SUN41" s="191"/>
      <c r="SUP41" s="191"/>
      <c r="SUQ41" s="191"/>
      <c r="SUR41" s="191"/>
      <c r="SUT41" s="191"/>
      <c r="SUU41" s="191"/>
      <c r="SUV41" s="191"/>
      <c r="SUX41" s="191"/>
      <c r="SUY41" s="191"/>
      <c r="SUZ41" s="191"/>
      <c r="SVB41" s="191"/>
      <c r="SVC41" s="191"/>
      <c r="SVD41" s="191"/>
      <c r="SVF41" s="191"/>
      <c r="SVG41" s="191"/>
      <c r="SVH41" s="191"/>
      <c r="SVJ41" s="191"/>
      <c r="SVK41" s="191"/>
      <c r="SVL41" s="191"/>
      <c r="SVN41" s="191"/>
      <c r="SVO41" s="191"/>
      <c r="SVP41" s="191"/>
      <c r="SVR41" s="191"/>
      <c r="SVS41" s="191"/>
      <c r="SVT41" s="191"/>
      <c r="SVV41" s="191"/>
      <c r="SVW41" s="191"/>
      <c r="SVX41" s="191"/>
      <c r="SVZ41" s="191"/>
      <c r="SWA41" s="191"/>
      <c r="SWB41" s="191"/>
      <c r="SWD41" s="191"/>
      <c r="SWE41" s="191"/>
      <c r="SWF41" s="191"/>
      <c r="SWH41" s="191"/>
      <c r="SWI41" s="191"/>
      <c r="SWJ41" s="191"/>
      <c r="SWL41" s="191"/>
      <c r="SWM41" s="191"/>
      <c r="SWN41" s="191"/>
      <c r="SWP41" s="191"/>
      <c r="SWQ41" s="191"/>
      <c r="SWR41" s="191"/>
      <c r="SWT41" s="191"/>
      <c r="SWU41" s="191"/>
      <c r="SWV41" s="191"/>
      <c r="SWX41" s="191"/>
      <c r="SWY41" s="191"/>
      <c r="SWZ41" s="191"/>
      <c r="SXB41" s="191"/>
      <c r="SXC41" s="191"/>
      <c r="SXD41" s="191"/>
      <c r="SXF41" s="191"/>
      <c r="SXG41" s="191"/>
      <c r="SXH41" s="191"/>
      <c r="SXJ41" s="191"/>
      <c r="SXK41" s="191"/>
      <c r="SXL41" s="191"/>
      <c r="SXN41" s="191"/>
      <c r="SXO41" s="191"/>
      <c r="SXP41" s="191"/>
      <c r="SXR41" s="191"/>
      <c r="SXS41" s="191"/>
      <c r="SXT41" s="191"/>
      <c r="SXV41" s="191"/>
      <c r="SXW41" s="191"/>
      <c r="SXX41" s="191"/>
      <c r="SXZ41" s="191"/>
      <c r="SYA41" s="191"/>
      <c r="SYB41" s="191"/>
      <c r="SYD41" s="191"/>
      <c r="SYE41" s="191"/>
      <c r="SYF41" s="191"/>
      <c r="SYH41" s="191"/>
      <c r="SYI41" s="191"/>
      <c r="SYJ41" s="191"/>
      <c r="SYL41" s="191"/>
      <c r="SYM41" s="191"/>
      <c r="SYN41" s="191"/>
      <c r="SYP41" s="191"/>
      <c r="SYQ41" s="191"/>
      <c r="SYR41" s="191"/>
      <c r="SYT41" s="191"/>
      <c r="SYU41" s="191"/>
      <c r="SYV41" s="191"/>
      <c r="SYX41" s="191"/>
      <c r="SYY41" s="191"/>
      <c r="SYZ41" s="191"/>
      <c r="SZB41" s="191"/>
      <c r="SZC41" s="191"/>
      <c r="SZD41" s="191"/>
      <c r="SZF41" s="191"/>
      <c r="SZG41" s="191"/>
      <c r="SZH41" s="191"/>
      <c r="SZJ41" s="191"/>
      <c r="SZK41" s="191"/>
      <c r="SZL41" s="191"/>
      <c r="SZN41" s="191"/>
      <c r="SZO41" s="191"/>
      <c r="SZP41" s="191"/>
      <c r="SZR41" s="191"/>
      <c r="SZS41" s="191"/>
      <c r="SZT41" s="191"/>
      <c r="SZV41" s="191"/>
      <c r="SZW41" s="191"/>
      <c r="SZX41" s="191"/>
      <c r="SZZ41" s="191"/>
      <c r="TAA41" s="191"/>
      <c r="TAB41" s="191"/>
      <c r="TAD41" s="191"/>
      <c r="TAE41" s="191"/>
      <c r="TAF41" s="191"/>
      <c r="TAH41" s="191"/>
      <c r="TAI41" s="191"/>
      <c r="TAJ41" s="191"/>
      <c r="TAL41" s="191"/>
      <c r="TAM41" s="191"/>
      <c r="TAN41" s="191"/>
      <c r="TAP41" s="191"/>
      <c r="TAQ41" s="191"/>
      <c r="TAR41" s="191"/>
      <c r="TAT41" s="191"/>
      <c r="TAU41" s="191"/>
      <c r="TAV41" s="191"/>
      <c r="TAX41" s="191"/>
      <c r="TAY41" s="191"/>
      <c r="TAZ41" s="191"/>
      <c r="TBB41" s="191"/>
      <c r="TBC41" s="191"/>
      <c r="TBD41" s="191"/>
      <c r="TBF41" s="191"/>
      <c r="TBG41" s="191"/>
      <c r="TBH41" s="191"/>
      <c r="TBJ41" s="191"/>
      <c r="TBK41" s="191"/>
      <c r="TBL41" s="191"/>
      <c r="TBN41" s="191"/>
      <c r="TBO41" s="191"/>
      <c r="TBP41" s="191"/>
      <c r="TBR41" s="191"/>
      <c r="TBS41" s="191"/>
      <c r="TBT41" s="191"/>
      <c r="TBV41" s="191"/>
      <c r="TBW41" s="191"/>
      <c r="TBX41" s="191"/>
      <c r="TBZ41" s="191"/>
      <c r="TCA41" s="191"/>
      <c r="TCB41" s="191"/>
      <c r="TCD41" s="191"/>
      <c r="TCE41" s="191"/>
      <c r="TCF41" s="191"/>
      <c r="TCH41" s="191"/>
      <c r="TCI41" s="191"/>
      <c r="TCJ41" s="191"/>
      <c r="TCL41" s="191"/>
      <c r="TCM41" s="191"/>
      <c r="TCN41" s="191"/>
      <c r="TCP41" s="191"/>
      <c r="TCQ41" s="191"/>
      <c r="TCR41" s="191"/>
      <c r="TCT41" s="191"/>
      <c r="TCU41" s="191"/>
      <c r="TCV41" s="191"/>
      <c r="TCX41" s="191"/>
      <c r="TCY41" s="191"/>
      <c r="TCZ41" s="191"/>
      <c r="TDB41" s="191"/>
      <c r="TDC41" s="191"/>
      <c r="TDD41" s="191"/>
      <c r="TDF41" s="191"/>
      <c r="TDG41" s="191"/>
      <c r="TDH41" s="191"/>
      <c r="TDJ41" s="191"/>
      <c r="TDK41" s="191"/>
      <c r="TDL41" s="191"/>
      <c r="TDN41" s="191"/>
      <c r="TDO41" s="191"/>
      <c r="TDP41" s="191"/>
      <c r="TDR41" s="191"/>
      <c r="TDS41" s="191"/>
      <c r="TDT41" s="191"/>
      <c r="TDV41" s="191"/>
      <c r="TDW41" s="191"/>
      <c r="TDX41" s="191"/>
      <c r="TDZ41" s="191"/>
      <c r="TEA41" s="191"/>
      <c r="TEB41" s="191"/>
      <c r="TED41" s="191"/>
      <c r="TEE41" s="191"/>
      <c r="TEF41" s="191"/>
      <c r="TEH41" s="191"/>
      <c r="TEI41" s="191"/>
      <c r="TEJ41" s="191"/>
      <c r="TEL41" s="191"/>
      <c r="TEM41" s="191"/>
      <c r="TEN41" s="191"/>
      <c r="TEP41" s="191"/>
      <c r="TEQ41" s="191"/>
      <c r="TER41" s="191"/>
      <c r="TET41" s="191"/>
      <c r="TEU41" s="191"/>
      <c r="TEV41" s="191"/>
      <c r="TEX41" s="191"/>
      <c r="TEY41" s="191"/>
      <c r="TEZ41" s="191"/>
      <c r="TFB41" s="191"/>
      <c r="TFC41" s="191"/>
      <c r="TFD41" s="191"/>
      <c r="TFF41" s="191"/>
      <c r="TFG41" s="191"/>
      <c r="TFH41" s="191"/>
      <c r="TFJ41" s="191"/>
      <c r="TFK41" s="191"/>
      <c r="TFL41" s="191"/>
      <c r="TFN41" s="191"/>
      <c r="TFO41" s="191"/>
      <c r="TFP41" s="191"/>
      <c r="TFR41" s="191"/>
      <c r="TFS41" s="191"/>
      <c r="TFT41" s="191"/>
      <c r="TFV41" s="191"/>
      <c r="TFW41" s="191"/>
      <c r="TFX41" s="191"/>
      <c r="TFZ41" s="191"/>
      <c r="TGA41" s="191"/>
      <c r="TGB41" s="191"/>
      <c r="TGD41" s="191"/>
      <c r="TGE41" s="191"/>
      <c r="TGF41" s="191"/>
      <c r="TGH41" s="191"/>
      <c r="TGI41" s="191"/>
      <c r="TGJ41" s="191"/>
      <c r="TGL41" s="191"/>
      <c r="TGM41" s="191"/>
      <c r="TGN41" s="191"/>
      <c r="TGP41" s="191"/>
      <c r="TGQ41" s="191"/>
      <c r="TGR41" s="191"/>
      <c r="TGT41" s="191"/>
      <c r="TGU41" s="191"/>
      <c r="TGV41" s="191"/>
      <c r="TGX41" s="191"/>
      <c r="TGY41" s="191"/>
      <c r="TGZ41" s="191"/>
      <c r="THB41" s="191"/>
      <c r="THC41" s="191"/>
      <c r="THD41" s="191"/>
      <c r="THF41" s="191"/>
      <c r="THG41" s="191"/>
      <c r="THH41" s="191"/>
      <c r="THJ41" s="191"/>
      <c r="THK41" s="191"/>
      <c r="THL41" s="191"/>
      <c r="THN41" s="191"/>
      <c r="THO41" s="191"/>
      <c r="THP41" s="191"/>
      <c r="THR41" s="191"/>
      <c r="THS41" s="191"/>
      <c r="THT41" s="191"/>
      <c r="THV41" s="191"/>
      <c r="THW41" s="191"/>
      <c r="THX41" s="191"/>
      <c r="THZ41" s="191"/>
      <c r="TIA41" s="191"/>
      <c r="TIB41" s="191"/>
      <c r="TID41" s="191"/>
      <c r="TIE41" s="191"/>
      <c r="TIF41" s="191"/>
      <c r="TIH41" s="191"/>
      <c r="TII41" s="191"/>
      <c r="TIJ41" s="191"/>
      <c r="TIL41" s="191"/>
      <c r="TIM41" s="191"/>
      <c r="TIN41" s="191"/>
      <c r="TIP41" s="191"/>
      <c r="TIQ41" s="191"/>
      <c r="TIR41" s="191"/>
      <c r="TIT41" s="191"/>
      <c r="TIU41" s="191"/>
      <c r="TIV41" s="191"/>
      <c r="TIX41" s="191"/>
      <c r="TIY41" s="191"/>
      <c r="TIZ41" s="191"/>
      <c r="TJB41" s="191"/>
      <c r="TJC41" s="191"/>
      <c r="TJD41" s="191"/>
      <c r="TJF41" s="191"/>
      <c r="TJG41" s="191"/>
      <c r="TJH41" s="191"/>
      <c r="TJJ41" s="191"/>
      <c r="TJK41" s="191"/>
      <c r="TJL41" s="191"/>
      <c r="TJN41" s="191"/>
      <c r="TJO41" s="191"/>
      <c r="TJP41" s="191"/>
      <c r="TJR41" s="191"/>
      <c r="TJS41" s="191"/>
      <c r="TJT41" s="191"/>
      <c r="TJV41" s="191"/>
      <c r="TJW41" s="191"/>
      <c r="TJX41" s="191"/>
      <c r="TJZ41" s="191"/>
      <c r="TKA41" s="191"/>
      <c r="TKB41" s="191"/>
      <c r="TKD41" s="191"/>
      <c r="TKE41" s="191"/>
      <c r="TKF41" s="191"/>
      <c r="TKH41" s="191"/>
      <c r="TKI41" s="191"/>
      <c r="TKJ41" s="191"/>
      <c r="TKL41" s="191"/>
      <c r="TKM41" s="191"/>
      <c r="TKN41" s="191"/>
      <c r="TKP41" s="191"/>
      <c r="TKQ41" s="191"/>
      <c r="TKR41" s="191"/>
      <c r="TKT41" s="191"/>
      <c r="TKU41" s="191"/>
      <c r="TKV41" s="191"/>
      <c r="TKX41" s="191"/>
      <c r="TKY41" s="191"/>
      <c r="TKZ41" s="191"/>
      <c r="TLB41" s="191"/>
      <c r="TLC41" s="191"/>
      <c r="TLD41" s="191"/>
      <c r="TLF41" s="191"/>
      <c r="TLG41" s="191"/>
      <c r="TLH41" s="191"/>
      <c r="TLJ41" s="191"/>
      <c r="TLK41" s="191"/>
      <c r="TLL41" s="191"/>
      <c r="TLN41" s="191"/>
      <c r="TLO41" s="191"/>
      <c r="TLP41" s="191"/>
      <c r="TLR41" s="191"/>
      <c r="TLS41" s="191"/>
      <c r="TLT41" s="191"/>
      <c r="TLV41" s="191"/>
      <c r="TLW41" s="191"/>
      <c r="TLX41" s="191"/>
      <c r="TLZ41" s="191"/>
      <c r="TMA41" s="191"/>
      <c r="TMB41" s="191"/>
      <c r="TMD41" s="191"/>
      <c r="TME41" s="191"/>
      <c r="TMF41" s="191"/>
      <c r="TMH41" s="191"/>
      <c r="TMI41" s="191"/>
      <c r="TMJ41" s="191"/>
      <c r="TML41" s="191"/>
      <c r="TMM41" s="191"/>
      <c r="TMN41" s="191"/>
      <c r="TMP41" s="191"/>
      <c r="TMQ41" s="191"/>
      <c r="TMR41" s="191"/>
      <c r="TMT41" s="191"/>
      <c r="TMU41" s="191"/>
      <c r="TMV41" s="191"/>
      <c r="TMX41" s="191"/>
      <c r="TMY41" s="191"/>
      <c r="TMZ41" s="191"/>
      <c r="TNB41" s="191"/>
      <c r="TNC41" s="191"/>
      <c r="TND41" s="191"/>
      <c r="TNF41" s="191"/>
      <c r="TNG41" s="191"/>
      <c r="TNH41" s="191"/>
      <c r="TNJ41" s="191"/>
      <c r="TNK41" s="191"/>
      <c r="TNL41" s="191"/>
      <c r="TNN41" s="191"/>
      <c r="TNO41" s="191"/>
      <c r="TNP41" s="191"/>
      <c r="TNR41" s="191"/>
      <c r="TNS41" s="191"/>
      <c r="TNT41" s="191"/>
      <c r="TNV41" s="191"/>
      <c r="TNW41" s="191"/>
      <c r="TNX41" s="191"/>
      <c r="TNZ41" s="191"/>
      <c r="TOA41" s="191"/>
      <c r="TOB41" s="191"/>
      <c r="TOD41" s="191"/>
      <c r="TOE41" s="191"/>
      <c r="TOF41" s="191"/>
      <c r="TOH41" s="191"/>
      <c r="TOI41" s="191"/>
      <c r="TOJ41" s="191"/>
      <c r="TOL41" s="191"/>
      <c r="TOM41" s="191"/>
      <c r="TON41" s="191"/>
      <c r="TOP41" s="191"/>
      <c r="TOQ41" s="191"/>
      <c r="TOR41" s="191"/>
      <c r="TOT41" s="191"/>
      <c r="TOU41" s="191"/>
      <c r="TOV41" s="191"/>
      <c r="TOX41" s="191"/>
      <c r="TOY41" s="191"/>
      <c r="TOZ41" s="191"/>
      <c r="TPB41" s="191"/>
      <c r="TPC41" s="191"/>
      <c r="TPD41" s="191"/>
      <c r="TPF41" s="191"/>
      <c r="TPG41" s="191"/>
      <c r="TPH41" s="191"/>
      <c r="TPJ41" s="191"/>
      <c r="TPK41" s="191"/>
      <c r="TPL41" s="191"/>
      <c r="TPN41" s="191"/>
      <c r="TPO41" s="191"/>
      <c r="TPP41" s="191"/>
      <c r="TPR41" s="191"/>
      <c r="TPS41" s="191"/>
      <c r="TPT41" s="191"/>
      <c r="TPV41" s="191"/>
      <c r="TPW41" s="191"/>
      <c r="TPX41" s="191"/>
      <c r="TPZ41" s="191"/>
      <c r="TQA41" s="191"/>
      <c r="TQB41" s="191"/>
      <c r="TQD41" s="191"/>
      <c r="TQE41" s="191"/>
      <c r="TQF41" s="191"/>
      <c r="TQH41" s="191"/>
      <c r="TQI41" s="191"/>
      <c r="TQJ41" s="191"/>
      <c r="TQL41" s="191"/>
      <c r="TQM41" s="191"/>
      <c r="TQN41" s="191"/>
      <c r="TQP41" s="191"/>
      <c r="TQQ41" s="191"/>
      <c r="TQR41" s="191"/>
      <c r="TQT41" s="191"/>
      <c r="TQU41" s="191"/>
      <c r="TQV41" s="191"/>
      <c r="TQX41" s="191"/>
      <c r="TQY41" s="191"/>
      <c r="TQZ41" s="191"/>
      <c r="TRB41" s="191"/>
      <c r="TRC41" s="191"/>
      <c r="TRD41" s="191"/>
      <c r="TRF41" s="191"/>
      <c r="TRG41" s="191"/>
      <c r="TRH41" s="191"/>
      <c r="TRJ41" s="191"/>
      <c r="TRK41" s="191"/>
      <c r="TRL41" s="191"/>
      <c r="TRN41" s="191"/>
      <c r="TRO41" s="191"/>
      <c r="TRP41" s="191"/>
      <c r="TRR41" s="191"/>
      <c r="TRS41" s="191"/>
      <c r="TRT41" s="191"/>
      <c r="TRV41" s="191"/>
      <c r="TRW41" s="191"/>
      <c r="TRX41" s="191"/>
      <c r="TRZ41" s="191"/>
      <c r="TSA41" s="191"/>
      <c r="TSB41" s="191"/>
      <c r="TSD41" s="191"/>
      <c r="TSE41" s="191"/>
      <c r="TSF41" s="191"/>
      <c r="TSH41" s="191"/>
      <c r="TSI41" s="191"/>
      <c r="TSJ41" s="191"/>
      <c r="TSL41" s="191"/>
      <c r="TSM41" s="191"/>
      <c r="TSN41" s="191"/>
      <c r="TSP41" s="191"/>
      <c r="TSQ41" s="191"/>
      <c r="TSR41" s="191"/>
      <c r="TST41" s="191"/>
      <c r="TSU41" s="191"/>
      <c r="TSV41" s="191"/>
      <c r="TSX41" s="191"/>
      <c r="TSY41" s="191"/>
      <c r="TSZ41" s="191"/>
      <c r="TTB41" s="191"/>
      <c r="TTC41" s="191"/>
      <c r="TTD41" s="191"/>
      <c r="TTF41" s="191"/>
      <c r="TTG41" s="191"/>
      <c r="TTH41" s="191"/>
      <c r="TTJ41" s="191"/>
      <c r="TTK41" s="191"/>
      <c r="TTL41" s="191"/>
      <c r="TTN41" s="191"/>
      <c r="TTO41" s="191"/>
      <c r="TTP41" s="191"/>
      <c r="TTR41" s="191"/>
      <c r="TTS41" s="191"/>
      <c r="TTT41" s="191"/>
      <c r="TTV41" s="191"/>
      <c r="TTW41" s="191"/>
      <c r="TTX41" s="191"/>
      <c r="TTZ41" s="191"/>
      <c r="TUA41" s="191"/>
      <c r="TUB41" s="191"/>
      <c r="TUD41" s="191"/>
      <c r="TUE41" s="191"/>
      <c r="TUF41" s="191"/>
      <c r="TUH41" s="191"/>
      <c r="TUI41" s="191"/>
      <c r="TUJ41" s="191"/>
      <c r="TUL41" s="191"/>
      <c r="TUM41" s="191"/>
      <c r="TUN41" s="191"/>
      <c r="TUP41" s="191"/>
      <c r="TUQ41" s="191"/>
      <c r="TUR41" s="191"/>
      <c r="TUT41" s="191"/>
      <c r="TUU41" s="191"/>
      <c r="TUV41" s="191"/>
      <c r="TUX41" s="191"/>
      <c r="TUY41" s="191"/>
      <c r="TUZ41" s="191"/>
      <c r="TVB41" s="191"/>
      <c r="TVC41" s="191"/>
      <c r="TVD41" s="191"/>
      <c r="TVF41" s="191"/>
      <c r="TVG41" s="191"/>
      <c r="TVH41" s="191"/>
      <c r="TVJ41" s="191"/>
      <c r="TVK41" s="191"/>
      <c r="TVL41" s="191"/>
      <c r="TVN41" s="191"/>
      <c r="TVO41" s="191"/>
      <c r="TVP41" s="191"/>
      <c r="TVR41" s="191"/>
      <c r="TVS41" s="191"/>
      <c r="TVT41" s="191"/>
      <c r="TVV41" s="191"/>
      <c r="TVW41" s="191"/>
      <c r="TVX41" s="191"/>
      <c r="TVZ41" s="191"/>
      <c r="TWA41" s="191"/>
      <c r="TWB41" s="191"/>
      <c r="TWD41" s="191"/>
      <c r="TWE41" s="191"/>
      <c r="TWF41" s="191"/>
      <c r="TWH41" s="191"/>
      <c r="TWI41" s="191"/>
      <c r="TWJ41" s="191"/>
      <c r="TWL41" s="191"/>
      <c r="TWM41" s="191"/>
      <c r="TWN41" s="191"/>
      <c r="TWP41" s="191"/>
      <c r="TWQ41" s="191"/>
      <c r="TWR41" s="191"/>
      <c r="TWT41" s="191"/>
      <c r="TWU41" s="191"/>
      <c r="TWV41" s="191"/>
      <c r="TWX41" s="191"/>
      <c r="TWY41" s="191"/>
      <c r="TWZ41" s="191"/>
      <c r="TXB41" s="191"/>
      <c r="TXC41" s="191"/>
      <c r="TXD41" s="191"/>
      <c r="TXF41" s="191"/>
      <c r="TXG41" s="191"/>
      <c r="TXH41" s="191"/>
      <c r="TXJ41" s="191"/>
      <c r="TXK41" s="191"/>
      <c r="TXL41" s="191"/>
      <c r="TXN41" s="191"/>
      <c r="TXO41" s="191"/>
      <c r="TXP41" s="191"/>
      <c r="TXR41" s="191"/>
      <c r="TXS41" s="191"/>
      <c r="TXT41" s="191"/>
      <c r="TXV41" s="191"/>
      <c r="TXW41" s="191"/>
      <c r="TXX41" s="191"/>
      <c r="TXZ41" s="191"/>
      <c r="TYA41" s="191"/>
      <c r="TYB41" s="191"/>
      <c r="TYD41" s="191"/>
      <c r="TYE41" s="191"/>
      <c r="TYF41" s="191"/>
      <c r="TYH41" s="191"/>
      <c r="TYI41" s="191"/>
      <c r="TYJ41" s="191"/>
      <c r="TYL41" s="191"/>
      <c r="TYM41" s="191"/>
      <c r="TYN41" s="191"/>
      <c r="TYP41" s="191"/>
      <c r="TYQ41" s="191"/>
      <c r="TYR41" s="191"/>
      <c r="TYT41" s="191"/>
      <c r="TYU41" s="191"/>
      <c r="TYV41" s="191"/>
      <c r="TYX41" s="191"/>
      <c r="TYY41" s="191"/>
      <c r="TYZ41" s="191"/>
      <c r="TZB41" s="191"/>
      <c r="TZC41" s="191"/>
      <c r="TZD41" s="191"/>
      <c r="TZF41" s="191"/>
      <c r="TZG41" s="191"/>
      <c r="TZH41" s="191"/>
      <c r="TZJ41" s="191"/>
      <c r="TZK41" s="191"/>
      <c r="TZL41" s="191"/>
      <c r="TZN41" s="191"/>
      <c r="TZO41" s="191"/>
      <c r="TZP41" s="191"/>
      <c r="TZR41" s="191"/>
      <c r="TZS41" s="191"/>
      <c r="TZT41" s="191"/>
      <c r="TZV41" s="191"/>
      <c r="TZW41" s="191"/>
      <c r="TZX41" s="191"/>
      <c r="TZZ41" s="191"/>
      <c r="UAA41" s="191"/>
      <c r="UAB41" s="191"/>
      <c r="UAD41" s="191"/>
      <c r="UAE41" s="191"/>
      <c r="UAF41" s="191"/>
      <c r="UAH41" s="191"/>
      <c r="UAI41" s="191"/>
      <c r="UAJ41" s="191"/>
      <c r="UAL41" s="191"/>
      <c r="UAM41" s="191"/>
      <c r="UAN41" s="191"/>
      <c r="UAP41" s="191"/>
      <c r="UAQ41" s="191"/>
      <c r="UAR41" s="191"/>
      <c r="UAT41" s="191"/>
      <c r="UAU41" s="191"/>
      <c r="UAV41" s="191"/>
      <c r="UAX41" s="191"/>
      <c r="UAY41" s="191"/>
      <c r="UAZ41" s="191"/>
      <c r="UBB41" s="191"/>
      <c r="UBC41" s="191"/>
      <c r="UBD41" s="191"/>
      <c r="UBF41" s="191"/>
      <c r="UBG41" s="191"/>
      <c r="UBH41" s="191"/>
      <c r="UBJ41" s="191"/>
      <c r="UBK41" s="191"/>
      <c r="UBL41" s="191"/>
      <c r="UBN41" s="191"/>
      <c r="UBO41" s="191"/>
      <c r="UBP41" s="191"/>
      <c r="UBR41" s="191"/>
      <c r="UBS41" s="191"/>
      <c r="UBT41" s="191"/>
      <c r="UBV41" s="191"/>
      <c r="UBW41" s="191"/>
      <c r="UBX41" s="191"/>
      <c r="UBZ41" s="191"/>
      <c r="UCA41" s="191"/>
      <c r="UCB41" s="191"/>
      <c r="UCD41" s="191"/>
      <c r="UCE41" s="191"/>
      <c r="UCF41" s="191"/>
      <c r="UCH41" s="191"/>
      <c r="UCI41" s="191"/>
      <c r="UCJ41" s="191"/>
      <c r="UCL41" s="191"/>
      <c r="UCM41" s="191"/>
      <c r="UCN41" s="191"/>
      <c r="UCP41" s="191"/>
      <c r="UCQ41" s="191"/>
      <c r="UCR41" s="191"/>
      <c r="UCT41" s="191"/>
      <c r="UCU41" s="191"/>
      <c r="UCV41" s="191"/>
      <c r="UCX41" s="191"/>
      <c r="UCY41" s="191"/>
      <c r="UCZ41" s="191"/>
      <c r="UDB41" s="191"/>
      <c r="UDC41" s="191"/>
      <c r="UDD41" s="191"/>
      <c r="UDF41" s="191"/>
      <c r="UDG41" s="191"/>
      <c r="UDH41" s="191"/>
      <c r="UDJ41" s="191"/>
      <c r="UDK41" s="191"/>
      <c r="UDL41" s="191"/>
      <c r="UDN41" s="191"/>
      <c r="UDO41" s="191"/>
      <c r="UDP41" s="191"/>
      <c r="UDR41" s="191"/>
      <c r="UDS41" s="191"/>
      <c r="UDT41" s="191"/>
      <c r="UDV41" s="191"/>
      <c r="UDW41" s="191"/>
      <c r="UDX41" s="191"/>
      <c r="UDZ41" s="191"/>
      <c r="UEA41" s="191"/>
      <c r="UEB41" s="191"/>
      <c r="UED41" s="191"/>
      <c r="UEE41" s="191"/>
      <c r="UEF41" s="191"/>
      <c r="UEH41" s="191"/>
      <c r="UEI41" s="191"/>
      <c r="UEJ41" s="191"/>
      <c r="UEL41" s="191"/>
      <c r="UEM41" s="191"/>
      <c r="UEN41" s="191"/>
      <c r="UEP41" s="191"/>
      <c r="UEQ41" s="191"/>
      <c r="UER41" s="191"/>
      <c r="UET41" s="191"/>
      <c r="UEU41" s="191"/>
      <c r="UEV41" s="191"/>
      <c r="UEX41" s="191"/>
      <c r="UEY41" s="191"/>
      <c r="UEZ41" s="191"/>
      <c r="UFB41" s="191"/>
      <c r="UFC41" s="191"/>
      <c r="UFD41" s="191"/>
      <c r="UFF41" s="191"/>
      <c r="UFG41" s="191"/>
      <c r="UFH41" s="191"/>
      <c r="UFJ41" s="191"/>
      <c r="UFK41" s="191"/>
      <c r="UFL41" s="191"/>
      <c r="UFN41" s="191"/>
      <c r="UFO41" s="191"/>
      <c r="UFP41" s="191"/>
      <c r="UFR41" s="191"/>
      <c r="UFS41" s="191"/>
      <c r="UFT41" s="191"/>
      <c r="UFV41" s="191"/>
      <c r="UFW41" s="191"/>
      <c r="UFX41" s="191"/>
      <c r="UFZ41" s="191"/>
      <c r="UGA41" s="191"/>
      <c r="UGB41" s="191"/>
      <c r="UGD41" s="191"/>
      <c r="UGE41" s="191"/>
      <c r="UGF41" s="191"/>
      <c r="UGH41" s="191"/>
      <c r="UGI41" s="191"/>
      <c r="UGJ41" s="191"/>
      <c r="UGL41" s="191"/>
      <c r="UGM41" s="191"/>
      <c r="UGN41" s="191"/>
      <c r="UGP41" s="191"/>
      <c r="UGQ41" s="191"/>
      <c r="UGR41" s="191"/>
      <c r="UGT41" s="191"/>
      <c r="UGU41" s="191"/>
      <c r="UGV41" s="191"/>
      <c r="UGX41" s="191"/>
      <c r="UGY41" s="191"/>
      <c r="UGZ41" s="191"/>
      <c r="UHB41" s="191"/>
      <c r="UHC41" s="191"/>
      <c r="UHD41" s="191"/>
      <c r="UHF41" s="191"/>
      <c r="UHG41" s="191"/>
      <c r="UHH41" s="191"/>
      <c r="UHJ41" s="191"/>
      <c r="UHK41" s="191"/>
      <c r="UHL41" s="191"/>
      <c r="UHN41" s="191"/>
      <c r="UHO41" s="191"/>
      <c r="UHP41" s="191"/>
      <c r="UHR41" s="191"/>
      <c r="UHS41" s="191"/>
      <c r="UHT41" s="191"/>
      <c r="UHV41" s="191"/>
      <c r="UHW41" s="191"/>
      <c r="UHX41" s="191"/>
      <c r="UHZ41" s="191"/>
      <c r="UIA41" s="191"/>
      <c r="UIB41" s="191"/>
      <c r="UID41" s="191"/>
      <c r="UIE41" s="191"/>
      <c r="UIF41" s="191"/>
      <c r="UIH41" s="191"/>
      <c r="UII41" s="191"/>
      <c r="UIJ41" s="191"/>
      <c r="UIL41" s="191"/>
      <c r="UIM41" s="191"/>
      <c r="UIN41" s="191"/>
      <c r="UIP41" s="191"/>
      <c r="UIQ41" s="191"/>
      <c r="UIR41" s="191"/>
      <c r="UIT41" s="191"/>
      <c r="UIU41" s="191"/>
      <c r="UIV41" s="191"/>
      <c r="UIX41" s="191"/>
      <c r="UIY41" s="191"/>
      <c r="UIZ41" s="191"/>
      <c r="UJB41" s="191"/>
      <c r="UJC41" s="191"/>
      <c r="UJD41" s="191"/>
      <c r="UJF41" s="191"/>
      <c r="UJG41" s="191"/>
      <c r="UJH41" s="191"/>
      <c r="UJJ41" s="191"/>
      <c r="UJK41" s="191"/>
      <c r="UJL41" s="191"/>
      <c r="UJN41" s="191"/>
      <c r="UJO41" s="191"/>
      <c r="UJP41" s="191"/>
      <c r="UJR41" s="191"/>
      <c r="UJS41" s="191"/>
      <c r="UJT41" s="191"/>
      <c r="UJV41" s="191"/>
      <c r="UJW41" s="191"/>
      <c r="UJX41" s="191"/>
      <c r="UJZ41" s="191"/>
      <c r="UKA41" s="191"/>
      <c r="UKB41" s="191"/>
      <c r="UKD41" s="191"/>
      <c r="UKE41" s="191"/>
      <c r="UKF41" s="191"/>
      <c r="UKH41" s="191"/>
      <c r="UKI41" s="191"/>
      <c r="UKJ41" s="191"/>
      <c r="UKL41" s="191"/>
      <c r="UKM41" s="191"/>
      <c r="UKN41" s="191"/>
      <c r="UKP41" s="191"/>
      <c r="UKQ41" s="191"/>
      <c r="UKR41" s="191"/>
      <c r="UKT41" s="191"/>
      <c r="UKU41" s="191"/>
      <c r="UKV41" s="191"/>
      <c r="UKX41" s="191"/>
      <c r="UKY41" s="191"/>
      <c r="UKZ41" s="191"/>
      <c r="ULB41" s="191"/>
      <c r="ULC41" s="191"/>
      <c r="ULD41" s="191"/>
      <c r="ULF41" s="191"/>
      <c r="ULG41" s="191"/>
      <c r="ULH41" s="191"/>
      <c r="ULJ41" s="191"/>
      <c r="ULK41" s="191"/>
      <c r="ULL41" s="191"/>
      <c r="ULN41" s="191"/>
      <c r="ULO41" s="191"/>
      <c r="ULP41" s="191"/>
      <c r="ULR41" s="191"/>
      <c r="ULS41" s="191"/>
      <c r="ULT41" s="191"/>
      <c r="ULV41" s="191"/>
      <c r="ULW41" s="191"/>
      <c r="ULX41" s="191"/>
      <c r="ULZ41" s="191"/>
      <c r="UMA41" s="191"/>
      <c r="UMB41" s="191"/>
      <c r="UMD41" s="191"/>
      <c r="UME41" s="191"/>
      <c r="UMF41" s="191"/>
      <c r="UMH41" s="191"/>
      <c r="UMI41" s="191"/>
      <c r="UMJ41" s="191"/>
      <c r="UML41" s="191"/>
      <c r="UMM41" s="191"/>
      <c r="UMN41" s="191"/>
      <c r="UMP41" s="191"/>
      <c r="UMQ41" s="191"/>
      <c r="UMR41" s="191"/>
      <c r="UMT41" s="191"/>
      <c r="UMU41" s="191"/>
      <c r="UMV41" s="191"/>
      <c r="UMX41" s="191"/>
      <c r="UMY41" s="191"/>
      <c r="UMZ41" s="191"/>
      <c r="UNB41" s="191"/>
      <c r="UNC41" s="191"/>
      <c r="UND41" s="191"/>
      <c r="UNF41" s="191"/>
      <c r="UNG41" s="191"/>
      <c r="UNH41" s="191"/>
      <c r="UNJ41" s="191"/>
      <c r="UNK41" s="191"/>
      <c r="UNL41" s="191"/>
      <c r="UNN41" s="191"/>
      <c r="UNO41" s="191"/>
      <c r="UNP41" s="191"/>
      <c r="UNR41" s="191"/>
      <c r="UNS41" s="191"/>
      <c r="UNT41" s="191"/>
      <c r="UNV41" s="191"/>
      <c r="UNW41" s="191"/>
      <c r="UNX41" s="191"/>
      <c r="UNZ41" s="191"/>
      <c r="UOA41" s="191"/>
      <c r="UOB41" s="191"/>
      <c r="UOD41" s="191"/>
      <c r="UOE41" s="191"/>
      <c r="UOF41" s="191"/>
      <c r="UOH41" s="191"/>
      <c r="UOI41" s="191"/>
      <c r="UOJ41" s="191"/>
      <c r="UOL41" s="191"/>
      <c r="UOM41" s="191"/>
      <c r="UON41" s="191"/>
      <c r="UOP41" s="191"/>
      <c r="UOQ41" s="191"/>
      <c r="UOR41" s="191"/>
      <c r="UOT41" s="191"/>
      <c r="UOU41" s="191"/>
      <c r="UOV41" s="191"/>
      <c r="UOX41" s="191"/>
      <c r="UOY41" s="191"/>
      <c r="UOZ41" s="191"/>
      <c r="UPB41" s="191"/>
      <c r="UPC41" s="191"/>
      <c r="UPD41" s="191"/>
      <c r="UPF41" s="191"/>
      <c r="UPG41" s="191"/>
      <c r="UPH41" s="191"/>
      <c r="UPJ41" s="191"/>
      <c r="UPK41" s="191"/>
      <c r="UPL41" s="191"/>
      <c r="UPN41" s="191"/>
      <c r="UPO41" s="191"/>
      <c r="UPP41" s="191"/>
      <c r="UPR41" s="191"/>
      <c r="UPS41" s="191"/>
      <c r="UPT41" s="191"/>
      <c r="UPV41" s="191"/>
      <c r="UPW41" s="191"/>
      <c r="UPX41" s="191"/>
      <c r="UPZ41" s="191"/>
      <c r="UQA41" s="191"/>
      <c r="UQB41" s="191"/>
      <c r="UQD41" s="191"/>
      <c r="UQE41" s="191"/>
      <c r="UQF41" s="191"/>
      <c r="UQH41" s="191"/>
      <c r="UQI41" s="191"/>
      <c r="UQJ41" s="191"/>
      <c r="UQL41" s="191"/>
      <c r="UQM41" s="191"/>
      <c r="UQN41" s="191"/>
      <c r="UQP41" s="191"/>
      <c r="UQQ41" s="191"/>
      <c r="UQR41" s="191"/>
      <c r="UQT41" s="191"/>
      <c r="UQU41" s="191"/>
      <c r="UQV41" s="191"/>
      <c r="UQX41" s="191"/>
      <c r="UQY41" s="191"/>
      <c r="UQZ41" s="191"/>
      <c r="URB41" s="191"/>
      <c r="URC41" s="191"/>
      <c r="URD41" s="191"/>
      <c r="URF41" s="191"/>
      <c r="URG41" s="191"/>
      <c r="URH41" s="191"/>
      <c r="URJ41" s="191"/>
      <c r="URK41" s="191"/>
      <c r="URL41" s="191"/>
      <c r="URN41" s="191"/>
      <c r="URO41" s="191"/>
      <c r="URP41" s="191"/>
      <c r="URR41" s="191"/>
      <c r="URS41" s="191"/>
      <c r="URT41" s="191"/>
      <c r="URV41" s="191"/>
      <c r="URW41" s="191"/>
      <c r="URX41" s="191"/>
      <c r="URZ41" s="191"/>
      <c r="USA41" s="191"/>
      <c r="USB41" s="191"/>
      <c r="USD41" s="191"/>
      <c r="USE41" s="191"/>
      <c r="USF41" s="191"/>
      <c r="USH41" s="191"/>
      <c r="USI41" s="191"/>
      <c r="USJ41" s="191"/>
      <c r="USL41" s="191"/>
      <c r="USM41" s="191"/>
      <c r="USN41" s="191"/>
      <c r="USP41" s="191"/>
      <c r="USQ41" s="191"/>
      <c r="USR41" s="191"/>
      <c r="UST41" s="191"/>
      <c r="USU41" s="191"/>
      <c r="USV41" s="191"/>
      <c r="USX41" s="191"/>
      <c r="USY41" s="191"/>
      <c r="USZ41" s="191"/>
      <c r="UTB41" s="191"/>
      <c r="UTC41" s="191"/>
      <c r="UTD41" s="191"/>
      <c r="UTF41" s="191"/>
      <c r="UTG41" s="191"/>
      <c r="UTH41" s="191"/>
      <c r="UTJ41" s="191"/>
      <c r="UTK41" s="191"/>
      <c r="UTL41" s="191"/>
      <c r="UTN41" s="191"/>
      <c r="UTO41" s="191"/>
      <c r="UTP41" s="191"/>
      <c r="UTR41" s="191"/>
      <c r="UTS41" s="191"/>
      <c r="UTT41" s="191"/>
      <c r="UTV41" s="191"/>
      <c r="UTW41" s="191"/>
      <c r="UTX41" s="191"/>
      <c r="UTZ41" s="191"/>
      <c r="UUA41" s="191"/>
      <c r="UUB41" s="191"/>
      <c r="UUD41" s="191"/>
      <c r="UUE41" s="191"/>
      <c r="UUF41" s="191"/>
      <c r="UUH41" s="191"/>
      <c r="UUI41" s="191"/>
      <c r="UUJ41" s="191"/>
      <c r="UUL41" s="191"/>
      <c r="UUM41" s="191"/>
      <c r="UUN41" s="191"/>
      <c r="UUP41" s="191"/>
      <c r="UUQ41" s="191"/>
      <c r="UUR41" s="191"/>
      <c r="UUT41" s="191"/>
      <c r="UUU41" s="191"/>
      <c r="UUV41" s="191"/>
      <c r="UUX41" s="191"/>
      <c r="UUY41" s="191"/>
      <c r="UUZ41" s="191"/>
      <c r="UVB41" s="191"/>
      <c r="UVC41" s="191"/>
      <c r="UVD41" s="191"/>
      <c r="UVF41" s="191"/>
      <c r="UVG41" s="191"/>
      <c r="UVH41" s="191"/>
      <c r="UVJ41" s="191"/>
      <c r="UVK41" s="191"/>
      <c r="UVL41" s="191"/>
      <c r="UVN41" s="191"/>
      <c r="UVO41" s="191"/>
      <c r="UVP41" s="191"/>
      <c r="UVR41" s="191"/>
      <c r="UVS41" s="191"/>
      <c r="UVT41" s="191"/>
      <c r="UVV41" s="191"/>
      <c r="UVW41" s="191"/>
      <c r="UVX41" s="191"/>
      <c r="UVZ41" s="191"/>
      <c r="UWA41" s="191"/>
      <c r="UWB41" s="191"/>
      <c r="UWD41" s="191"/>
      <c r="UWE41" s="191"/>
      <c r="UWF41" s="191"/>
      <c r="UWH41" s="191"/>
      <c r="UWI41" s="191"/>
      <c r="UWJ41" s="191"/>
      <c r="UWL41" s="191"/>
      <c r="UWM41" s="191"/>
      <c r="UWN41" s="191"/>
      <c r="UWP41" s="191"/>
      <c r="UWQ41" s="191"/>
      <c r="UWR41" s="191"/>
      <c r="UWT41" s="191"/>
      <c r="UWU41" s="191"/>
      <c r="UWV41" s="191"/>
      <c r="UWX41" s="191"/>
      <c r="UWY41" s="191"/>
      <c r="UWZ41" s="191"/>
      <c r="UXB41" s="191"/>
      <c r="UXC41" s="191"/>
      <c r="UXD41" s="191"/>
      <c r="UXF41" s="191"/>
      <c r="UXG41" s="191"/>
      <c r="UXH41" s="191"/>
      <c r="UXJ41" s="191"/>
      <c r="UXK41" s="191"/>
      <c r="UXL41" s="191"/>
      <c r="UXN41" s="191"/>
      <c r="UXO41" s="191"/>
      <c r="UXP41" s="191"/>
      <c r="UXR41" s="191"/>
      <c r="UXS41" s="191"/>
      <c r="UXT41" s="191"/>
      <c r="UXV41" s="191"/>
      <c r="UXW41" s="191"/>
      <c r="UXX41" s="191"/>
      <c r="UXZ41" s="191"/>
      <c r="UYA41" s="191"/>
      <c r="UYB41" s="191"/>
      <c r="UYD41" s="191"/>
      <c r="UYE41" s="191"/>
      <c r="UYF41" s="191"/>
      <c r="UYH41" s="191"/>
      <c r="UYI41" s="191"/>
      <c r="UYJ41" s="191"/>
      <c r="UYL41" s="191"/>
      <c r="UYM41" s="191"/>
      <c r="UYN41" s="191"/>
      <c r="UYP41" s="191"/>
      <c r="UYQ41" s="191"/>
      <c r="UYR41" s="191"/>
      <c r="UYT41" s="191"/>
      <c r="UYU41" s="191"/>
      <c r="UYV41" s="191"/>
      <c r="UYX41" s="191"/>
      <c r="UYY41" s="191"/>
      <c r="UYZ41" s="191"/>
      <c r="UZB41" s="191"/>
      <c r="UZC41" s="191"/>
      <c r="UZD41" s="191"/>
      <c r="UZF41" s="191"/>
      <c r="UZG41" s="191"/>
      <c r="UZH41" s="191"/>
      <c r="UZJ41" s="191"/>
      <c r="UZK41" s="191"/>
      <c r="UZL41" s="191"/>
      <c r="UZN41" s="191"/>
      <c r="UZO41" s="191"/>
      <c r="UZP41" s="191"/>
      <c r="UZR41" s="191"/>
      <c r="UZS41" s="191"/>
      <c r="UZT41" s="191"/>
      <c r="UZV41" s="191"/>
      <c r="UZW41" s="191"/>
      <c r="UZX41" s="191"/>
      <c r="UZZ41" s="191"/>
      <c r="VAA41" s="191"/>
      <c r="VAB41" s="191"/>
      <c r="VAD41" s="191"/>
      <c r="VAE41" s="191"/>
      <c r="VAF41" s="191"/>
      <c r="VAH41" s="191"/>
      <c r="VAI41" s="191"/>
      <c r="VAJ41" s="191"/>
      <c r="VAL41" s="191"/>
      <c r="VAM41" s="191"/>
      <c r="VAN41" s="191"/>
      <c r="VAP41" s="191"/>
      <c r="VAQ41" s="191"/>
      <c r="VAR41" s="191"/>
      <c r="VAT41" s="191"/>
      <c r="VAU41" s="191"/>
      <c r="VAV41" s="191"/>
      <c r="VAX41" s="191"/>
      <c r="VAY41" s="191"/>
      <c r="VAZ41" s="191"/>
      <c r="VBB41" s="191"/>
      <c r="VBC41" s="191"/>
      <c r="VBD41" s="191"/>
      <c r="VBF41" s="191"/>
      <c r="VBG41" s="191"/>
      <c r="VBH41" s="191"/>
      <c r="VBJ41" s="191"/>
      <c r="VBK41" s="191"/>
      <c r="VBL41" s="191"/>
      <c r="VBN41" s="191"/>
      <c r="VBO41" s="191"/>
      <c r="VBP41" s="191"/>
      <c r="VBR41" s="191"/>
      <c r="VBS41" s="191"/>
      <c r="VBT41" s="191"/>
      <c r="VBV41" s="191"/>
      <c r="VBW41" s="191"/>
      <c r="VBX41" s="191"/>
      <c r="VBZ41" s="191"/>
      <c r="VCA41" s="191"/>
      <c r="VCB41" s="191"/>
      <c r="VCD41" s="191"/>
      <c r="VCE41" s="191"/>
      <c r="VCF41" s="191"/>
      <c r="VCH41" s="191"/>
      <c r="VCI41" s="191"/>
      <c r="VCJ41" s="191"/>
      <c r="VCL41" s="191"/>
      <c r="VCM41" s="191"/>
      <c r="VCN41" s="191"/>
      <c r="VCP41" s="191"/>
      <c r="VCQ41" s="191"/>
      <c r="VCR41" s="191"/>
      <c r="VCT41" s="191"/>
      <c r="VCU41" s="191"/>
      <c r="VCV41" s="191"/>
      <c r="VCX41" s="191"/>
      <c r="VCY41" s="191"/>
      <c r="VCZ41" s="191"/>
      <c r="VDB41" s="191"/>
      <c r="VDC41" s="191"/>
      <c r="VDD41" s="191"/>
      <c r="VDF41" s="191"/>
      <c r="VDG41" s="191"/>
      <c r="VDH41" s="191"/>
      <c r="VDJ41" s="191"/>
      <c r="VDK41" s="191"/>
      <c r="VDL41" s="191"/>
      <c r="VDN41" s="191"/>
      <c r="VDO41" s="191"/>
      <c r="VDP41" s="191"/>
      <c r="VDR41" s="191"/>
      <c r="VDS41" s="191"/>
      <c r="VDT41" s="191"/>
      <c r="VDV41" s="191"/>
      <c r="VDW41" s="191"/>
      <c r="VDX41" s="191"/>
      <c r="VDZ41" s="191"/>
      <c r="VEA41" s="191"/>
      <c r="VEB41" s="191"/>
      <c r="VED41" s="191"/>
      <c r="VEE41" s="191"/>
      <c r="VEF41" s="191"/>
      <c r="VEH41" s="191"/>
      <c r="VEI41" s="191"/>
      <c r="VEJ41" s="191"/>
      <c r="VEL41" s="191"/>
      <c r="VEM41" s="191"/>
      <c r="VEN41" s="191"/>
      <c r="VEP41" s="191"/>
      <c r="VEQ41" s="191"/>
      <c r="VER41" s="191"/>
      <c r="VET41" s="191"/>
      <c r="VEU41" s="191"/>
      <c r="VEV41" s="191"/>
      <c r="VEX41" s="191"/>
      <c r="VEY41" s="191"/>
      <c r="VEZ41" s="191"/>
      <c r="VFB41" s="191"/>
      <c r="VFC41" s="191"/>
      <c r="VFD41" s="191"/>
      <c r="VFF41" s="191"/>
      <c r="VFG41" s="191"/>
      <c r="VFH41" s="191"/>
      <c r="VFJ41" s="191"/>
      <c r="VFK41" s="191"/>
      <c r="VFL41" s="191"/>
      <c r="VFN41" s="191"/>
      <c r="VFO41" s="191"/>
      <c r="VFP41" s="191"/>
      <c r="VFR41" s="191"/>
      <c r="VFS41" s="191"/>
      <c r="VFT41" s="191"/>
      <c r="VFV41" s="191"/>
      <c r="VFW41" s="191"/>
      <c r="VFX41" s="191"/>
      <c r="VFZ41" s="191"/>
      <c r="VGA41" s="191"/>
      <c r="VGB41" s="191"/>
      <c r="VGD41" s="191"/>
      <c r="VGE41" s="191"/>
      <c r="VGF41" s="191"/>
      <c r="VGH41" s="191"/>
      <c r="VGI41" s="191"/>
      <c r="VGJ41" s="191"/>
      <c r="VGL41" s="191"/>
      <c r="VGM41" s="191"/>
      <c r="VGN41" s="191"/>
      <c r="VGP41" s="191"/>
      <c r="VGQ41" s="191"/>
      <c r="VGR41" s="191"/>
      <c r="VGT41" s="191"/>
      <c r="VGU41" s="191"/>
      <c r="VGV41" s="191"/>
      <c r="VGX41" s="191"/>
      <c r="VGY41" s="191"/>
      <c r="VGZ41" s="191"/>
      <c r="VHB41" s="191"/>
      <c r="VHC41" s="191"/>
      <c r="VHD41" s="191"/>
      <c r="VHF41" s="191"/>
      <c r="VHG41" s="191"/>
      <c r="VHH41" s="191"/>
      <c r="VHJ41" s="191"/>
      <c r="VHK41" s="191"/>
      <c r="VHL41" s="191"/>
      <c r="VHN41" s="191"/>
      <c r="VHO41" s="191"/>
      <c r="VHP41" s="191"/>
      <c r="VHR41" s="191"/>
      <c r="VHS41" s="191"/>
      <c r="VHT41" s="191"/>
      <c r="VHV41" s="191"/>
      <c r="VHW41" s="191"/>
      <c r="VHX41" s="191"/>
      <c r="VHZ41" s="191"/>
      <c r="VIA41" s="191"/>
      <c r="VIB41" s="191"/>
      <c r="VID41" s="191"/>
      <c r="VIE41" s="191"/>
      <c r="VIF41" s="191"/>
      <c r="VIH41" s="191"/>
      <c r="VII41" s="191"/>
      <c r="VIJ41" s="191"/>
      <c r="VIL41" s="191"/>
      <c r="VIM41" s="191"/>
      <c r="VIN41" s="191"/>
      <c r="VIP41" s="191"/>
      <c r="VIQ41" s="191"/>
      <c r="VIR41" s="191"/>
      <c r="VIT41" s="191"/>
      <c r="VIU41" s="191"/>
      <c r="VIV41" s="191"/>
      <c r="VIX41" s="191"/>
      <c r="VIY41" s="191"/>
      <c r="VIZ41" s="191"/>
      <c r="VJB41" s="191"/>
      <c r="VJC41" s="191"/>
      <c r="VJD41" s="191"/>
      <c r="VJF41" s="191"/>
      <c r="VJG41" s="191"/>
      <c r="VJH41" s="191"/>
      <c r="VJJ41" s="191"/>
      <c r="VJK41" s="191"/>
      <c r="VJL41" s="191"/>
      <c r="VJN41" s="191"/>
      <c r="VJO41" s="191"/>
      <c r="VJP41" s="191"/>
      <c r="VJR41" s="191"/>
      <c r="VJS41" s="191"/>
      <c r="VJT41" s="191"/>
      <c r="VJV41" s="191"/>
      <c r="VJW41" s="191"/>
      <c r="VJX41" s="191"/>
      <c r="VJZ41" s="191"/>
      <c r="VKA41" s="191"/>
      <c r="VKB41" s="191"/>
      <c r="VKD41" s="191"/>
      <c r="VKE41" s="191"/>
      <c r="VKF41" s="191"/>
      <c r="VKH41" s="191"/>
      <c r="VKI41" s="191"/>
      <c r="VKJ41" s="191"/>
      <c r="VKL41" s="191"/>
      <c r="VKM41" s="191"/>
      <c r="VKN41" s="191"/>
      <c r="VKP41" s="191"/>
      <c r="VKQ41" s="191"/>
      <c r="VKR41" s="191"/>
      <c r="VKT41" s="191"/>
      <c r="VKU41" s="191"/>
      <c r="VKV41" s="191"/>
      <c r="VKX41" s="191"/>
      <c r="VKY41" s="191"/>
      <c r="VKZ41" s="191"/>
      <c r="VLB41" s="191"/>
      <c r="VLC41" s="191"/>
      <c r="VLD41" s="191"/>
      <c r="VLF41" s="191"/>
      <c r="VLG41" s="191"/>
      <c r="VLH41" s="191"/>
      <c r="VLJ41" s="191"/>
      <c r="VLK41" s="191"/>
      <c r="VLL41" s="191"/>
      <c r="VLN41" s="191"/>
      <c r="VLO41" s="191"/>
      <c r="VLP41" s="191"/>
      <c r="VLR41" s="191"/>
      <c r="VLS41" s="191"/>
      <c r="VLT41" s="191"/>
      <c r="VLV41" s="191"/>
      <c r="VLW41" s="191"/>
      <c r="VLX41" s="191"/>
      <c r="VLZ41" s="191"/>
      <c r="VMA41" s="191"/>
      <c r="VMB41" s="191"/>
      <c r="VMD41" s="191"/>
      <c r="VME41" s="191"/>
      <c r="VMF41" s="191"/>
      <c r="VMH41" s="191"/>
      <c r="VMI41" s="191"/>
      <c r="VMJ41" s="191"/>
      <c r="VML41" s="191"/>
      <c r="VMM41" s="191"/>
      <c r="VMN41" s="191"/>
      <c r="VMP41" s="191"/>
      <c r="VMQ41" s="191"/>
      <c r="VMR41" s="191"/>
      <c r="VMT41" s="191"/>
      <c r="VMU41" s="191"/>
      <c r="VMV41" s="191"/>
      <c r="VMX41" s="191"/>
      <c r="VMY41" s="191"/>
      <c r="VMZ41" s="191"/>
      <c r="VNB41" s="191"/>
      <c r="VNC41" s="191"/>
      <c r="VND41" s="191"/>
      <c r="VNF41" s="191"/>
      <c r="VNG41" s="191"/>
      <c r="VNH41" s="191"/>
      <c r="VNJ41" s="191"/>
      <c r="VNK41" s="191"/>
      <c r="VNL41" s="191"/>
      <c r="VNN41" s="191"/>
      <c r="VNO41" s="191"/>
      <c r="VNP41" s="191"/>
      <c r="VNR41" s="191"/>
      <c r="VNS41" s="191"/>
      <c r="VNT41" s="191"/>
      <c r="VNV41" s="191"/>
      <c r="VNW41" s="191"/>
      <c r="VNX41" s="191"/>
      <c r="VNZ41" s="191"/>
      <c r="VOA41" s="191"/>
      <c r="VOB41" s="191"/>
      <c r="VOD41" s="191"/>
      <c r="VOE41" s="191"/>
      <c r="VOF41" s="191"/>
      <c r="VOH41" s="191"/>
      <c r="VOI41" s="191"/>
      <c r="VOJ41" s="191"/>
      <c r="VOL41" s="191"/>
      <c r="VOM41" s="191"/>
      <c r="VON41" s="191"/>
      <c r="VOP41" s="191"/>
      <c r="VOQ41" s="191"/>
      <c r="VOR41" s="191"/>
      <c r="VOT41" s="191"/>
      <c r="VOU41" s="191"/>
      <c r="VOV41" s="191"/>
      <c r="VOX41" s="191"/>
      <c r="VOY41" s="191"/>
      <c r="VOZ41" s="191"/>
      <c r="VPB41" s="191"/>
      <c r="VPC41" s="191"/>
      <c r="VPD41" s="191"/>
      <c r="VPF41" s="191"/>
      <c r="VPG41" s="191"/>
      <c r="VPH41" s="191"/>
      <c r="VPJ41" s="191"/>
      <c r="VPK41" s="191"/>
      <c r="VPL41" s="191"/>
      <c r="VPN41" s="191"/>
      <c r="VPO41" s="191"/>
      <c r="VPP41" s="191"/>
      <c r="VPR41" s="191"/>
      <c r="VPS41" s="191"/>
      <c r="VPT41" s="191"/>
      <c r="VPV41" s="191"/>
      <c r="VPW41" s="191"/>
      <c r="VPX41" s="191"/>
      <c r="VPZ41" s="191"/>
      <c r="VQA41" s="191"/>
      <c r="VQB41" s="191"/>
      <c r="VQD41" s="191"/>
      <c r="VQE41" s="191"/>
      <c r="VQF41" s="191"/>
      <c r="VQH41" s="191"/>
      <c r="VQI41" s="191"/>
      <c r="VQJ41" s="191"/>
      <c r="VQL41" s="191"/>
      <c r="VQM41" s="191"/>
      <c r="VQN41" s="191"/>
      <c r="VQP41" s="191"/>
      <c r="VQQ41" s="191"/>
      <c r="VQR41" s="191"/>
      <c r="VQT41" s="191"/>
      <c r="VQU41" s="191"/>
      <c r="VQV41" s="191"/>
      <c r="VQX41" s="191"/>
      <c r="VQY41" s="191"/>
      <c r="VQZ41" s="191"/>
      <c r="VRB41" s="191"/>
      <c r="VRC41" s="191"/>
      <c r="VRD41" s="191"/>
      <c r="VRF41" s="191"/>
      <c r="VRG41" s="191"/>
      <c r="VRH41" s="191"/>
      <c r="VRJ41" s="191"/>
      <c r="VRK41" s="191"/>
      <c r="VRL41" s="191"/>
      <c r="VRN41" s="191"/>
      <c r="VRO41" s="191"/>
      <c r="VRP41" s="191"/>
      <c r="VRR41" s="191"/>
      <c r="VRS41" s="191"/>
      <c r="VRT41" s="191"/>
      <c r="VRV41" s="191"/>
      <c r="VRW41" s="191"/>
      <c r="VRX41" s="191"/>
      <c r="VRZ41" s="191"/>
      <c r="VSA41" s="191"/>
      <c r="VSB41" s="191"/>
      <c r="VSD41" s="191"/>
      <c r="VSE41" s="191"/>
      <c r="VSF41" s="191"/>
      <c r="VSH41" s="191"/>
      <c r="VSI41" s="191"/>
      <c r="VSJ41" s="191"/>
      <c r="VSL41" s="191"/>
      <c r="VSM41" s="191"/>
      <c r="VSN41" s="191"/>
      <c r="VSP41" s="191"/>
      <c r="VSQ41" s="191"/>
      <c r="VSR41" s="191"/>
      <c r="VST41" s="191"/>
      <c r="VSU41" s="191"/>
      <c r="VSV41" s="191"/>
      <c r="VSX41" s="191"/>
      <c r="VSY41" s="191"/>
      <c r="VSZ41" s="191"/>
      <c r="VTB41" s="191"/>
      <c r="VTC41" s="191"/>
      <c r="VTD41" s="191"/>
      <c r="VTF41" s="191"/>
      <c r="VTG41" s="191"/>
      <c r="VTH41" s="191"/>
      <c r="VTJ41" s="191"/>
      <c r="VTK41" s="191"/>
      <c r="VTL41" s="191"/>
      <c r="VTN41" s="191"/>
      <c r="VTO41" s="191"/>
      <c r="VTP41" s="191"/>
      <c r="VTR41" s="191"/>
      <c r="VTS41" s="191"/>
      <c r="VTT41" s="191"/>
      <c r="VTV41" s="191"/>
      <c r="VTW41" s="191"/>
      <c r="VTX41" s="191"/>
      <c r="VTZ41" s="191"/>
      <c r="VUA41" s="191"/>
      <c r="VUB41" s="191"/>
      <c r="VUD41" s="191"/>
      <c r="VUE41" s="191"/>
      <c r="VUF41" s="191"/>
      <c r="VUH41" s="191"/>
      <c r="VUI41" s="191"/>
      <c r="VUJ41" s="191"/>
      <c r="VUL41" s="191"/>
      <c r="VUM41" s="191"/>
      <c r="VUN41" s="191"/>
      <c r="VUP41" s="191"/>
      <c r="VUQ41" s="191"/>
      <c r="VUR41" s="191"/>
      <c r="VUT41" s="191"/>
      <c r="VUU41" s="191"/>
      <c r="VUV41" s="191"/>
      <c r="VUX41" s="191"/>
      <c r="VUY41" s="191"/>
      <c r="VUZ41" s="191"/>
      <c r="VVB41" s="191"/>
      <c r="VVC41" s="191"/>
      <c r="VVD41" s="191"/>
      <c r="VVF41" s="191"/>
      <c r="VVG41" s="191"/>
      <c r="VVH41" s="191"/>
      <c r="VVJ41" s="191"/>
      <c r="VVK41" s="191"/>
      <c r="VVL41" s="191"/>
      <c r="VVN41" s="191"/>
      <c r="VVO41" s="191"/>
      <c r="VVP41" s="191"/>
      <c r="VVR41" s="191"/>
      <c r="VVS41" s="191"/>
      <c r="VVT41" s="191"/>
      <c r="VVV41" s="191"/>
      <c r="VVW41" s="191"/>
      <c r="VVX41" s="191"/>
      <c r="VVZ41" s="191"/>
      <c r="VWA41" s="191"/>
      <c r="VWB41" s="191"/>
      <c r="VWD41" s="191"/>
      <c r="VWE41" s="191"/>
      <c r="VWF41" s="191"/>
      <c r="VWH41" s="191"/>
      <c r="VWI41" s="191"/>
      <c r="VWJ41" s="191"/>
      <c r="VWL41" s="191"/>
      <c r="VWM41" s="191"/>
      <c r="VWN41" s="191"/>
      <c r="VWP41" s="191"/>
      <c r="VWQ41" s="191"/>
      <c r="VWR41" s="191"/>
      <c r="VWT41" s="191"/>
      <c r="VWU41" s="191"/>
      <c r="VWV41" s="191"/>
      <c r="VWX41" s="191"/>
      <c r="VWY41" s="191"/>
      <c r="VWZ41" s="191"/>
      <c r="VXB41" s="191"/>
      <c r="VXC41" s="191"/>
      <c r="VXD41" s="191"/>
      <c r="VXF41" s="191"/>
      <c r="VXG41" s="191"/>
      <c r="VXH41" s="191"/>
      <c r="VXJ41" s="191"/>
      <c r="VXK41" s="191"/>
      <c r="VXL41" s="191"/>
      <c r="VXN41" s="191"/>
      <c r="VXO41" s="191"/>
      <c r="VXP41" s="191"/>
      <c r="VXR41" s="191"/>
      <c r="VXS41" s="191"/>
      <c r="VXT41" s="191"/>
      <c r="VXV41" s="191"/>
      <c r="VXW41" s="191"/>
      <c r="VXX41" s="191"/>
      <c r="VXZ41" s="191"/>
      <c r="VYA41" s="191"/>
      <c r="VYB41" s="191"/>
      <c r="VYD41" s="191"/>
      <c r="VYE41" s="191"/>
      <c r="VYF41" s="191"/>
      <c r="VYH41" s="191"/>
      <c r="VYI41" s="191"/>
      <c r="VYJ41" s="191"/>
      <c r="VYL41" s="191"/>
      <c r="VYM41" s="191"/>
      <c r="VYN41" s="191"/>
      <c r="VYP41" s="191"/>
      <c r="VYQ41" s="191"/>
      <c r="VYR41" s="191"/>
      <c r="VYT41" s="191"/>
      <c r="VYU41" s="191"/>
      <c r="VYV41" s="191"/>
      <c r="VYX41" s="191"/>
      <c r="VYY41" s="191"/>
      <c r="VYZ41" s="191"/>
      <c r="VZB41" s="191"/>
      <c r="VZC41" s="191"/>
      <c r="VZD41" s="191"/>
      <c r="VZF41" s="191"/>
      <c r="VZG41" s="191"/>
      <c r="VZH41" s="191"/>
      <c r="VZJ41" s="191"/>
      <c r="VZK41" s="191"/>
      <c r="VZL41" s="191"/>
      <c r="VZN41" s="191"/>
      <c r="VZO41" s="191"/>
      <c r="VZP41" s="191"/>
      <c r="VZR41" s="191"/>
      <c r="VZS41" s="191"/>
      <c r="VZT41" s="191"/>
      <c r="VZV41" s="191"/>
      <c r="VZW41" s="191"/>
      <c r="VZX41" s="191"/>
      <c r="VZZ41" s="191"/>
      <c r="WAA41" s="191"/>
      <c r="WAB41" s="191"/>
      <c r="WAD41" s="191"/>
      <c r="WAE41" s="191"/>
      <c r="WAF41" s="191"/>
      <c r="WAH41" s="191"/>
      <c r="WAI41" s="191"/>
      <c r="WAJ41" s="191"/>
      <c r="WAL41" s="191"/>
      <c r="WAM41" s="191"/>
      <c r="WAN41" s="191"/>
      <c r="WAP41" s="191"/>
      <c r="WAQ41" s="191"/>
      <c r="WAR41" s="191"/>
      <c r="WAT41" s="191"/>
      <c r="WAU41" s="191"/>
      <c r="WAV41" s="191"/>
      <c r="WAX41" s="191"/>
      <c r="WAY41" s="191"/>
      <c r="WAZ41" s="191"/>
      <c r="WBB41" s="191"/>
      <c r="WBC41" s="191"/>
      <c r="WBD41" s="191"/>
      <c r="WBF41" s="191"/>
      <c r="WBG41" s="191"/>
      <c r="WBH41" s="191"/>
      <c r="WBJ41" s="191"/>
      <c r="WBK41" s="191"/>
      <c r="WBL41" s="191"/>
      <c r="WBN41" s="191"/>
      <c r="WBO41" s="191"/>
      <c r="WBP41" s="191"/>
      <c r="WBR41" s="191"/>
      <c r="WBS41" s="191"/>
      <c r="WBT41" s="191"/>
      <c r="WBV41" s="191"/>
      <c r="WBW41" s="191"/>
      <c r="WBX41" s="191"/>
      <c r="WBZ41" s="191"/>
      <c r="WCA41" s="191"/>
      <c r="WCB41" s="191"/>
      <c r="WCD41" s="191"/>
      <c r="WCE41" s="191"/>
      <c r="WCF41" s="191"/>
      <c r="WCH41" s="191"/>
      <c r="WCI41" s="191"/>
      <c r="WCJ41" s="191"/>
      <c r="WCL41" s="191"/>
      <c r="WCM41" s="191"/>
      <c r="WCN41" s="191"/>
      <c r="WCP41" s="191"/>
      <c r="WCQ41" s="191"/>
      <c r="WCR41" s="191"/>
      <c r="WCT41" s="191"/>
      <c r="WCU41" s="191"/>
      <c r="WCV41" s="191"/>
      <c r="WCX41" s="191"/>
      <c r="WCY41" s="191"/>
      <c r="WCZ41" s="191"/>
      <c r="WDB41" s="191"/>
      <c r="WDC41" s="191"/>
      <c r="WDD41" s="191"/>
      <c r="WDF41" s="191"/>
      <c r="WDG41" s="191"/>
      <c r="WDH41" s="191"/>
      <c r="WDJ41" s="191"/>
      <c r="WDK41" s="191"/>
      <c r="WDL41" s="191"/>
      <c r="WDN41" s="191"/>
      <c r="WDO41" s="191"/>
      <c r="WDP41" s="191"/>
      <c r="WDR41" s="191"/>
      <c r="WDS41" s="191"/>
      <c r="WDT41" s="191"/>
      <c r="WDV41" s="191"/>
      <c r="WDW41" s="191"/>
      <c r="WDX41" s="191"/>
      <c r="WDZ41" s="191"/>
      <c r="WEA41" s="191"/>
      <c r="WEB41" s="191"/>
      <c r="WED41" s="191"/>
      <c r="WEE41" s="191"/>
      <c r="WEF41" s="191"/>
      <c r="WEH41" s="191"/>
      <c r="WEI41" s="191"/>
      <c r="WEJ41" s="191"/>
      <c r="WEL41" s="191"/>
      <c r="WEM41" s="191"/>
      <c r="WEN41" s="191"/>
      <c r="WEP41" s="191"/>
      <c r="WEQ41" s="191"/>
      <c r="WER41" s="191"/>
      <c r="WET41" s="191"/>
      <c r="WEU41" s="191"/>
      <c r="WEV41" s="191"/>
      <c r="WEX41" s="191"/>
      <c r="WEY41" s="191"/>
      <c r="WEZ41" s="191"/>
      <c r="WFB41" s="191"/>
      <c r="WFC41" s="191"/>
      <c r="WFD41" s="191"/>
      <c r="WFF41" s="191"/>
      <c r="WFG41" s="191"/>
      <c r="WFH41" s="191"/>
      <c r="WFJ41" s="191"/>
      <c r="WFK41" s="191"/>
      <c r="WFL41" s="191"/>
      <c r="WFN41" s="191"/>
      <c r="WFO41" s="191"/>
      <c r="WFP41" s="191"/>
      <c r="WFR41" s="191"/>
      <c r="WFS41" s="191"/>
      <c r="WFT41" s="191"/>
      <c r="WFV41" s="191"/>
      <c r="WFW41" s="191"/>
      <c r="WFX41" s="191"/>
      <c r="WFZ41" s="191"/>
      <c r="WGA41" s="191"/>
      <c r="WGB41" s="191"/>
      <c r="WGD41" s="191"/>
      <c r="WGE41" s="191"/>
      <c r="WGF41" s="191"/>
      <c r="WGH41" s="191"/>
      <c r="WGI41" s="191"/>
      <c r="WGJ41" s="191"/>
      <c r="WGL41" s="191"/>
      <c r="WGM41" s="191"/>
      <c r="WGN41" s="191"/>
      <c r="WGP41" s="191"/>
      <c r="WGQ41" s="191"/>
      <c r="WGR41" s="191"/>
      <c r="WGT41" s="191"/>
      <c r="WGU41" s="191"/>
      <c r="WGV41" s="191"/>
      <c r="WGX41" s="191"/>
      <c r="WGY41" s="191"/>
      <c r="WGZ41" s="191"/>
      <c r="WHB41" s="191"/>
      <c r="WHC41" s="191"/>
      <c r="WHD41" s="191"/>
      <c r="WHF41" s="191"/>
      <c r="WHG41" s="191"/>
      <c r="WHH41" s="191"/>
      <c r="WHJ41" s="191"/>
      <c r="WHK41" s="191"/>
      <c r="WHL41" s="191"/>
      <c r="WHN41" s="191"/>
      <c r="WHO41" s="191"/>
      <c r="WHP41" s="191"/>
      <c r="WHR41" s="191"/>
      <c r="WHS41" s="191"/>
      <c r="WHT41" s="191"/>
      <c r="WHV41" s="191"/>
      <c r="WHW41" s="191"/>
      <c r="WHX41" s="191"/>
      <c r="WHZ41" s="191"/>
      <c r="WIA41" s="191"/>
      <c r="WIB41" s="191"/>
      <c r="WID41" s="191"/>
      <c r="WIE41" s="191"/>
      <c r="WIF41" s="191"/>
      <c r="WIH41" s="191"/>
      <c r="WII41" s="191"/>
      <c r="WIJ41" s="191"/>
      <c r="WIL41" s="191"/>
      <c r="WIM41" s="191"/>
      <c r="WIN41" s="191"/>
      <c r="WIP41" s="191"/>
      <c r="WIQ41" s="191"/>
      <c r="WIR41" s="191"/>
      <c r="WIT41" s="191"/>
      <c r="WIU41" s="191"/>
      <c r="WIV41" s="191"/>
      <c r="WIX41" s="191"/>
      <c r="WIY41" s="191"/>
      <c r="WIZ41" s="191"/>
      <c r="WJB41" s="191"/>
      <c r="WJC41" s="191"/>
      <c r="WJD41" s="191"/>
      <c r="WJF41" s="191"/>
      <c r="WJG41" s="191"/>
      <c r="WJH41" s="191"/>
      <c r="WJJ41" s="191"/>
      <c r="WJK41" s="191"/>
      <c r="WJL41" s="191"/>
      <c r="WJN41" s="191"/>
      <c r="WJO41" s="191"/>
      <c r="WJP41" s="191"/>
      <c r="WJR41" s="191"/>
      <c r="WJS41" s="191"/>
      <c r="WJT41" s="191"/>
      <c r="WJV41" s="191"/>
      <c r="WJW41" s="191"/>
      <c r="WJX41" s="191"/>
      <c r="WJZ41" s="191"/>
      <c r="WKA41" s="191"/>
      <c r="WKB41" s="191"/>
      <c r="WKD41" s="191"/>
      <c r="WKE41" s="191"/>
      <c r="WKF41" s="191"/>
      <c r="WKH41" s="191"/>
      <c r="WKI41" s="191"/>
      <c r="WKJ41" s="191"/>
      <c r="WKL41" s="191"/>
      <c r="WKM41" s="191"/>
      <c r="WKN41" s="191"/>
      <c r="WKP41" s="191"/>
      <c r="WKQ41" s="191"/>
      <c r="WKR41" s="191"/>
      <c r="WKT41" s="191"/>
      <c r="WKU41" s="191"/>
      <c r="WKV41" s="191"/>
      <c r="WKX41" s="191"/>
      <c r="WKY41" s="191"/>
      <c r="WKZ41" s="191"/>
      <c r="WLB41" s="191"/>
      <c r="WLC41" s="191"/>
      <c r="WLD41" s="191"/>
      <c r="WLF41" s="191"/>
      <c r="WLG41" s="191"/>
      <c r="WLH41" s="191"/>
      <c r="WLJ41" s="191"/>
      <c r="WLK41" s="191"/>
      <c r="WLL41" s="191"/>
      <c r="WLN41" s="191"/>
      <c r="WLO41" s="191"/>
      <c r="WLP41" s="191"/>
      <c r="WLR41" s="191"/>
      <c r="WLS41" s="191"/>
      <c r="WLT41" s="191"/>
      <c r="WLV41" s="191"/>
      <c r="WLW41" s="191"/>
      <c r="WLX41" s="191"/>
      <c r="WLZ41" s="191"/>
      <c r="WMA41" s="191"/>
      <c r="WMB41" s="191"/>
      <c r="WMD41" s="191"/>
      <c r="WME41" s="191"/>
      <c r="WMF41" s="191"/>
      <c r="WMH41" s="191"/>
      <c r="WMI41" s="191"/>
      <c r="WMJ41" s="191"/>
      <c r="WML41" s="191"/>
      <c r="WMM41" s="191"/>
      <c r="WMN41" s="191"/>
      <c r="WMP41" s="191"/>
      <c r="WMQ41" s="191"/>
      <c r="WMR41" s="191"/>
      <c r="WMT41" s="191"/>
      <c r="WMU41" s="191"/>
      <c r="WMV41" s="191"/>
      <c r="WMX41" s="191"/>
      <c r="WMY41" s="191"/>
      <c r="WMZ41" s="191"/>
      <c r="WNB41" s="191"/>
      <c r="WNC41" s="191"/>
      <c r="WND41" s="191"/>
      <c r="WNF41" s="191"/>
      <c r="WNG41" s="191"/>
      <c r="WNH41" s="191"/>
      <c r="WNJ41" s="191"/>
      <c r="WNK41" s="191"/>
      <c r="WNL41" s="191"/>
      <c r="WNN41" s="191"/>
      <c r="WNO41" s="191"/>
      <c r="WNP41" s="191"/>
      <c r="WNR41" s="191"/>
      <c r="WNS41" s="191"/>
      <c r="WNT41" s="191"/>
      <c r="WNV41" s="191"/>
      <c r="WNW41" s="191"/>
      <c r="WNX41" s="191"/>
      <c r="WNZ41" s="191"/>
      <c r="WOA41" s="191"/>
      <c r="WOB41" s="191"/>
      <c r="WOD41" s="191"/>
      <c r="WOE41" s="191"/>
      <c r="WOF41" s="191"/>
      <c r="WOH41" s="191"/>
      <c r="WOI41" s="191"/>
      <c r="WOJ41" s="191"/>
      <c r="WOL41" s="191"/>
      <c r="WOM41" s="191"/>
      <c r="WON41" s="191"/>
      <c r="WOP41" s="191"/>
      <c r="WOQ41" s="191"/>
      <c r="WOR41" s="191"/>
      <c r="WOT41" s="191"/>
      <c r="WOU41" s="191"/>
      <c r="WOV41" s="191"/>
      <c r="WOX41" s="191"/>
      <c r="WOY41" s="191"/>
      <c r="WOZ41" s="191"/>
      <c r="WPB41" s="191"/>
      <c r="WPC41" s="191"/>
      <c r="WPD41" s="191"/>
      <c r="WPF41" s="191"/>
      <c r="WPG41" s="191"/>
      <c r="WPH41" s="191"/>
      <c r="WPJ41" s="191"/>
      <c r="WPK41" s="191"/>
      <c r="WPL41" s="191"/>
      <c r="WPN41" s="191"/>
      <c r="WPO41" s="191"/>
      <c r="WPP41" s="191"/>
      <c r="WPR41" s="191"/>
      <c r="WPS41" s="191"/>
      <c r="WPT41" s="191"/>
      <c r="WPV41" s="191"/>
      <c r="WPW41" s="191"/>
      <c r="WPX41" s="191"/>
      <c r="WPZ41" s="191"/>
      <c r="WQA41" s="191"/>
      <c r="WQB41" s="191"/>
      <c r="WQD41" s="191"/>
      <c r="WQE41" s="191"/>
      <c r="WQF41" s="191"/>
      <c r="WQH41" s="191"/>
      <c r="WQI41" s="191"/>
      <c r="WQJ41" s="191"/>
      <c r="WQL41" s="191"/>
      <c r="WQM41" s="191"/>
      <c r="WQN41" s="191"/>
      <c r="WQP41" s="191"/>
      <c r="WQQ41" s="191"/>
      <c r="WQR41" s="191"/>
      <c r="WQT41" s="191"/>
      <c r="WQU41" s="191"/>
      <c r="WQV41" s="191"/>
      <c r="WQX41" s="191"/>
      <c r="WQY41" s="191"/>
      <c r="WQZ41" s="191"/>
      <c r="WRB41" s="191"/>
      <c r="WRC41" s="191"/>
      <c r="WRD41" s="191"/>
      <c r="WRF41" s="191"/>
      <c r="WRG41" s="191"/>
      <c r="WRH41" s="191"/>
      <c r="WRJ41" s="191"/>
      <c r="WRK41" s="191"/>
      <c r="WRL41" s="191"/>
      <c r="WRN41" s="191"/>
      <c r="WRO41" s="191"/>
      <c r="WRP41" s="191"/>
      <c r="WRR41" s="191"/>
      <c r="WRS41" s="191"/>
      <c r="WRT41" s="191"/>
      <c r="WRV41" s="191"/>
      <c r="WRW41" s="191"/>
      <c r="WRX41" s="191"/>
      <c r="WRZ41" s="191"/>
      <c r="WSA41" s="191"/>
      <c r="WSB41" s="191"/>
      <c r="WSD41" s="191"/>
      <c r="WSE41" s="191"/>
      <c r="WSF41" s="191"/>
      <c r="WSH41" s="191"/>
      <c r="WSI41" s="191"/>
      <c r="WSJ41" s="191"/>
      <c r="WSL41" s="191"/>
      <c r="WSM41" s="191"/>
      <c r="WSN41" s="191"/>
      <c r="WSP41" s="191"/>
      <c r="WSQ41" s="191"/>
      <c r="WSR41" s="191"/>
      <c r="WST41" s="191"/>
      <c r="WSU41" s="191"/>
      <c r="WSV41" s="191"/>
      <c r="WSX41" s="191"/>
      <c r="WSY41" s="191"/>
      <c r="WSZ41" s="191"/>
      <c r="WTB41" s="191"/>
      <c r="WTC41" s="191"/>
      <c r="WTD41" s="191"/>
      <c r="WTF41" s="191"/>
      <c r="WTG41" s="191"/>
      <c r="WTH41" s="191"/>
      <c r="WTJ41" s="191"/>
      <c r="WTK41" s="191"/>
      <c r="WTL41" s="191"/>
      <c r="WTN41" s="191"/>
      <c r="WTO41" s="191"/>
      <c r="WTP41" s="191"/>
      <c r="WTR41" s="191"/>
      <c r="WTS41" s="191"/>
      <c r="WTT41" s="191"/>
      <c r="WTV41" s="191"/>
      <c r="WTW41" s="191"/>
      <c r="WTX41" s="191"/>
      <c r="WTZ41" s="191"/>
      <c r="WUA41" s="191"/>
      <c r="WUB41" s="191"/>
      <c r="WUD41" s="191"/>
      <c r="WUE41" s="191"/>
      <c r="WUF41" s="191"/>
      <c r="WUH41" s="191"/>
      <c r="WUI41" s="191"/>
      <c r="WUJ41" s="191"/>
      <c r="WUL41" s="191"/>
      <c r="WUM41" s="191"/>
      <c r="WUN41" s="191"/>
      <c r="WUP41" s="191"/>
      <c r="WUQ41" s="191"/>
      <c r="WUR41" s="191"/>
      <c r="WUT41" s="191"/>
      <c r="WUU41" s="191"/>
      <c r="WUV41" s="191"/>
      <c r="WUX41" s="191"/>
      <c r="WUY41" s="191"/>
      <c r="WUZ41" s="191"/>
      <c r="WVB41" s="191"/>
      <c r="WVC41" s="191"/>
      <c r="WVD41" s="191"/>
      <c r="WVF41" s="191"/>
      <c r="WVG41" s="191"/>
      <c r="WVH41" s="191"/>
      <c r="WVJ41" s="191"/>
      <c r="WVK41" s="191"/>
      <c r="WVL41" s="191"/>
      <c r="WVN41" s="191"/>
      <c r="WVO41" s="191"/>
      <c r="WVP41" s="191"/>
      <c r="WVR41" s="191"/>
      <c r="WVS41" s="191"/>
      <c r="WVT41" s="191"/>
      <c r="WVV41" s="191"/>
      <c r="WVW41" s="191"/>
      <c r="WVX41" s="191"/>
      <c r="WVZ41" s="191"/>
      <c r="WWA41" s="191"/>
      <c r="WWB41" s="191"/>
      <c r="WWD41" s="191"/>
      <c r="WWE41" s="191"/>
      <c r="WWF41" s="191"/>
      <c r="WWH41" s="191"/>
      <c r="WWI41" s="191"/>
      <c r="WWJ41" s="191"/>
      <c r="WWL41" s="191"/>
      <c r="WWM41" s="191"/>
      <c r="WWN41" s="191"/>
      <c r="WWP41" s="191"/>
      <c r="WWQ41" s="191"/>
      <c r="WWR41" s="191"/>
      <c r="WWT41" s="191"/>
      <c r="WWU41" s="191"/>
      <c r="WWV41" s="191"/>
      <c r="WWX41" s="191"/>
      <c r="WWY41" s="191"/>
      <c r="WWZ41" s="191"/>
      <c r="WXB41" s="191"/>
      <c r="WXC41" s="191"/>
      <c r="WXD41" s="191"/>
      <c r="WXF41" s="191"/>
      <c r="WXG41" s="191"/>
      <c r="WXH41" s="191"/>
      <c r="WXJ41" s="191"/>
      <c r="WXK41" s="191"/>
      <c r="WXL41" s="191"/>
      <c r="WXN41" s="191"/>
      <c r="WXO41" s="191"/>
      <c r="WXP41" s="191"/>
      <c r="WXR41" s="191"/>
      <c r="WXS41" s="191"/>
      <c r="WXT41" s="191"/>
      <c r="WXV41" s="191"/>
      <c r="WXW41" s="191"/>
      <c r="WXX41" s="191"/>
      <c r="WXZ41" s="191"/>
      <c r="WYA41" s="191"/>
      <c r="WYB41" s="191"/>
      <c r="WYD41" s="191"/>
      <c r="WYE41" s="191"/>
      <c r="WYF41" s="191"/>
      <c r="WYH41" s="191"/>
      <c r="WYI41" s="191"/>
      <c r="WYJ41" s="191"/>
      <c r="WYL41" s="191"/>
      <c r="WYM41" s="191"/>
      <c r="WYN41" s="191"/>
      <c r="WYP41" s="191"/>
      <c r="WYQ41" s="191"/>
      <c r="WYR41" s="191"/>
      <c r="WYT41" s="191"/>
      <c r="WYU41" s="191"/>
      <c r="WYV41" s="191"/>
      <c r="WYX41" s="191"/>
      <c r="WYY41" s="191"/>
      <c r="WYZ41" s="191"/>
      <c r="WZB41" s="191"/>
      <c r="WZC41" s="191"/>
      <c r="WZD41" s="191"/>
      <c r="WZF41" s="191"/>
      <c r="WZG41" s="191"/>
      <c r="WZH41" s="191"/>
      <c r="WZJ41" s="191"/>
      <c r="WZK41" s="191"/>
      <c r="WZL41" s="191"/>
      <c r="WZN41" s="191"/>
      <c r="WZO41" s="191"/>
      <c r="WZP41" s="191"/>
      <c r="WZR41" s="191"/>
      <c r="WZS41" s="191"/>
      <c r="WZT41" s="191"/>
      <c r="WZV41" s="191"/>
      <c r="WZW41" s="191"/>
      <c r="WZX41" s="191"/>
      <c r="WZZ41" s="191"/>
      <c r="XAA41" s="191"/>
      <c r="XAB41" s="191"/>
      <c r="XAD41" s="191"/>
      <c r="XAE41" s="191"/>
      <c r="XAF41" s="191"/>
      <c r="XAH41" s="191"/>
      <c r="XAI41" s="191"/>
      <c r="XAJ41" s="191"/>
      <c r="XAL41" s="191"/>
      <c r="XAM41" s="191"/>
      <c r="XAN41" s="191"/>
      <c r="XAP41" s="191"/>
      <c r="XAQ41" s="191"/>
      <c r="XAR41" s="191"/>
      <c r="XAT41" s="191"/>
      <c r="XAU41" s="191"/>
      <c r="XAV41" s="191"/>
      <c r="XAX41" s="191"/>
      <c r="XAY41" s="191"/>
      <c r="XAZ41" s="191"/>
      <c r="XBB41" s="191"/>
      <c r="XBC41" s="191"/>
      <c r="XBD41" s="191"/>
      <c r="XBF41" s="191"/>
      <c r="XBG41" s="191"/>
      <c r="XBH41" s="191"/>
      <c r="XBJ41" s="191"/>
      <c r="XBK41" s="191"/>
      <c r="XBL41" s="191"/>
      <c r="XBN41" s="191"/>
      <c r="XBO41" s="191"/>
      <c r="XBP41" s="191"/>
      <c r="XBR41" s="191"/>
      <c r="XBS41" s="191"/>
      <c r="XBT41" s="191"/>
      <c r="XBV41" s="191"/>
      <c r="XBW41" s="191"/>
      <c r="XBX41" s="191"/>
      <c r="XBZ41" s="191"/>
      <c r="XCA41" s="191"/>
      <c r="XCB41" s="191"/>
      <c r="XCD41" s="191"/>
      <c r="XCE41" s="191"/>
      <c r="XCF41" s="191"/>
      <c r="XCH41" s="191"/>
      <c r="XCI41" s="191"/>
      <c r="XCJ41" s="191"/>
      <c r="XCL41" s="191"/>
      <c r="XCM41" s="191"/>
      <c r="XCN41" s="191"/>
      <c r="XCP41" s="191"/>
      <c r="XCQ41" s="191"/>
      <c r="XCR41" s="191"/>
      <c r="XCT41" s="191"/>
      <c r="XCU41" s="191"/>
      <c r="XCV41" s="191"/>
      <c r="XCX41" s="191"/>
      <c r="XCY41" s="191"/>
      <c r="XCZ41" s="191"/>
      <c r="XDB41" s="191"/>
      <c r="XDC41" s="191"/>
      <c r="XDD41" s="191"/>
      <c r="XDF41" s="191"/>
      <c r="XDG41" s="191"/>
      <c r="XDH41" s="191"/>
      <c r="XDJ41" s="191"/>
      <c r="XDK41" s="191"/>
      <c r="XDL41" s="191"/>
      <c r="XDN41" s="191"/>
      <c r="XDO41" s="191"/>
      <c r="XDP41" s="191"/>
      <c r="XDR41" s="191"/>
      <c r="XDS41" s="191"/>
      <c r="XDT41" s="191"/>
      <c r="XDV41" s="191"/>
      <c r="XDW41" s="191"/>
      <c r="XDX41" s="191"/>
      <c r="XDZ41" s="191"/>
      <c r="XEA41" s="191"/>
      <c r="XEB41" s="191"/>
      <c r="XED41" s="191"/>
      <c r="XEE41" s="191"/>
      <c r="XEF41" s="191"/>
      <c r="XEH41" s="191"/>
      <c r="XEI41" s="191"/>
      <c r="XEJ41" s="191"/>
      <c r="XEL41" s="191"/>
      <c r="XEM41" s="191"/>
      <c r="XEN41" s="191"/>
      <c r="XEP41" s="191"/>
      <c r="XEQ41" s="191"/>
      <c r="XER41" s="191"/>
      <c r="XET41" s="191"/>
      <c r="XEU41" s="191"/>
      <c r="XEV41" s="191"/>
      <c r="XEX41" s="191"/>
      <c r="XEY41" s="191"/>
      <c r="XEZ41" s="191"/>
      <c r="XFB41" s="191"/>
      <c r="XFC41" s="191"/>
      <c r="XFD41" s="191"/>
    </row>
    <row r="42" spans="1:1024 1026:2048 2050:3072 3074:4096 4098:5120 5122:6144 6146:7168 7170:8192 8194:9216 9218:10240 10242:11264 11266:12288 12290:13312 13314:14336 14338:15360 15362:16384" ht="16.2" thickBot="1" x14ac:dyDescent="0.35">
      <c r="A42" t="s">
        <v>28</v>
      </c>
      <c r="B42" s="194">
        <f>'For Employee'!E53</f>
        <v>3.5043299999999999</v>
      </c>
      <c r="C42" s="194">
        <f>'For Employee'!F53</f>
        <v>13.773284999999998</v>
      </c>
      <c r="D42" s="194">
        <f>'For Employee'!G53</f>
        <v>21.591081999999997</v>
      </c>
      <c r="E42" s="194">
        <f>'For Employee'!H53</f>
        <v>22.9569075</v>
      </c>
      <c r="F42" s="194">
        <f>'For Employee'!I53</f>
        <v>23.431959599999999</v>
      </c>
      <c r="G42" s="194">
        <f>'For Employee'!J53</f>
        <v>20.514662999999999</v>
      </c>
      <c r="H42" s="194">
        <f>'For Employee'!K53</f>
        <v>18.081182571428567</v>
      </c>
      <c r="I42" s="194">
        <f>'For Employee'!L53</f>
        <v>16.499801999999995</v>
      </c>
      <c r="J42" s="194">
        <f>'For Employee'!M53</f>
        <v>14.895167333333331</v>
      </c>
      <c r="K42" s="194">
        <f>'For Employee'!N53</f>
        <v>13.702080599999999</v>
      </c>
      <c r="L42" s="194">
        <f>'For Employee'!O53</f>
        <v>12.836096727272725</v>
      </c>
      <c r="M42" s="194">
        <f>'For Employee'!P53</f>
        <v>12.218440999999999</v>
      </c>
    </row>
    <row r="43" spans="1:1024 1026:2048 2050:3072 3074:4096 4098:5120 5122:6144 6146:7168 7170:8192 8194:9216 9218:10240 10242:11264 11266:12288 12290:13312 13314:14336 14338:15360 15362:16384" ht="16.2" thickTop="1" x14ac:dyDescent="0.3">
      <c r="A43" s="189" t="s">
        <v>294</v>
      </c>
      <c r="B43" s="190">
        <v>1</v>
      </c>
      <c r="C43" s="190">
        <v>1</v>
      </c>
      <c r="D43" s="190">
        <v>1</v>
      </c>
      <c r="E43" s="190">
        <v>1</v>
      </c>
      <c r="F43" s="190">
        <v>1</v>
      </c>
      <c r="G43" s="190">
        <v>1</v>
      </c>
      <c r="H43" s="190">
        <v>1</v>
      </c>
      <c r="I43" s="190">
        <v>1</v>
      </c>
      <c r="J43" s="190">
        <v>1</v>
      </c>
      <c r="K43" s="190">
        <v>1</v>
      </c>
      <c r="L43" s="190">
        <v>1</v>
      </c>
      <c r="M43" s="190">
        <v>1</v>
      </c>
    </row>
  </sheetData>
  <phoneticPr fontId="35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1034537-54CF-4958-A96D-CB402E49BD9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6</vt:i4>
      </vt:variant>
    </vt:vector>
  </HeadingPairs>
  <TitlesOfParts>
    <vt:vector size="18" baseType="lpstr">
      <vt:lpstr>For Manage</vt:lpstr>
      <vt:lpstr>For Employee</vt:lpstr>
      <vt:lpstr>Dataset</vt:lpstr>
      <vt:lpstr>Pivot Target 1</vt:lpstr>
      <vt:lpstr>Pivot Target 2</vt:lpstr>
      <vt:lpstr>Pivot Target 3</vt:lpstr>
      <vt:lpstr>Pivot Target 4</vt:lpstr>
      <vt:lpstr>Xlookup Compensation scheme</vt:lpstr>
      <vt:lpstr>Employees </vt:lpstr>
      <vt:lpstr>1 USD = </vt:lpstr>
      <vt:lpstr>Sheet14</vt:lpstr>
      <vt:lpstr>Chart</vt:lpstr>
      <vt:lpstr>Dataset!Criteria</vt:lpstr>
      <vt:lpstr>'Employees '!Criteria</vt:lpstr>
      <vt:lpstr>Dataset!Extract</vt:lpstr>
      <vt:lpstr>'Employees '!Extract</vt:lpstr>
      <vt:lpstr>note</vt:lpstr>
      <vt:lpstr>TOP_CUSTOMER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 Nguyen</dc:creator>
  <cp:lastModifiedBy>HAN NGA</cp:lastModifiedBy>
  <dcterms:created xsi:type="dcterms:W3CDTF">2024-03-05T16:45:29Z</dcterms:created>
  <dcterms:modified xsi:type="dcterms:W3CDTF">2026-05-08T16:31:26Z</dcterms:modified>
</cp:coreProperties>
</file>